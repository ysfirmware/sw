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Guillermo Rodriquez\Desktop\Support Files\"/>
    </mc:Choice>
  </mc:AlternateContent>
  <bookViews>
    <workbookView xWindow="0" yWindow="0" windowWidth="23040" windowHeight="8568" tabRatio="732" firstSheet="2" activeTab="9"/>
  </bookViews>
  <sheets>
    <sheet name="Cover-Page" sheetId="4" r:id="rId1"/>
    <sheet name="Presentation" sheetId="8" r:id="rId2"/>
    <sheet name="FTS-Initialization" sheetId="1" r:id="rId3"/>
    <sheet name="EEPROM-Contents" sheetId="5" r:id="rId4"/>
    <sheet name="1010-Initial" sheetId="2" r:id="rId5"/>
    <sheet name="1010-GAINC" sheetId="9" r:id="rId6"/>
    <sheet name="1010-Scales" sheetId="10" r:id="rId7"/>
    <sheet name="1204-Initial" sheetId="12" r:id="rId8"/>
    <sheet name="1204-GAINC" sheetId="13" r:id="rId9"/>
    <sheet name="1204-Scale-Volt-Accel" sheetId="14" r:id="rId10"/>
    <sheet name="1204-Scale-Volt-Accel-16mm" sheetId="16" r:id="rId11"/>
  </sheets>
  <functionGroups builtInGroupCount="18"/>
  <calcPr calcId="162913"/>
</workbook>
</file>

<file path=xl/calcChain.xml><?xml version="1.0" encoding="utf-8"?>
<calcChain xmlns="http://schemas.openxmlformats.org/spreadsheetml/2006/main">
  <c r="D41" i="14" l="1"/>
  <c r="D40" i="14"/>
  <c r="M158" i="14" l="1"/>
  <c r="L158" i="14"/>
  <c r="M157" i="14"/>
  <c r="L157" i="14"/>
  <c r="J158" i="14"/>
  <c r="I158" i="14"/>
  <c r="I159" i="14"/>
  <c r="H158" i="14"/>
  <c r="G158" i="14"/>
  <c r="Y237" i="14" l="1"/>
  <c r="Y236" i="14"/>
  <c r="Y235" i="14"/>
  <c r="X237" i="14"/>
  <c r="X236" i="14"/>
  <c r="X235" i="14"/>
  <c r="Y234" i="14"/>
  <c r="X234" i="14"/>
  <c r="Y233" i="14"/>
  <c r="X233" i="14"/>
  <c r="Y238" i="14"/>
  <c r="X238" i="14"/>
  <c r="U237" i="14"/>
  <c r="T237" i="14"/>
  <c r="U236" i="14"/>
  <c r="T236" i="14"/>
  <c r="U235" i="14"/>
  <c r="T235" i="14"/>
  <c r="U234" i="14"/>
  <c r="T234" i="14"/>
  <c r="U233" i="14"/>
  <c r="T233" i="14"/>
  <c r="U238" i="14"/>
  <c r="T238" i="14"/>
  <c r="O609" i="14"/>
  <c r="Q609" i="14" s="1"/>
  <c r="O610" i="14"/>
  <c r="O611" i="14"/>
  <c r="O612" i="14"/>
  <c r="O613" i="14"/>
  <c r="O614" i="14"/>
  <c r="O615" i="14"/>
  <c r="O616" i="14"/>
  <c r="Q616" i="14" s="1"/>
  <c r="O617" i="14"/>
  <c r="Q617" i="14" s="1"/>
  <c r="O618" i="14"/>
  <c r="O619" i="14"/>
  <c r="Q619" i="14" s="1"/>
  <c r="O620" i="14"/>
  <c r="O621" i="14"/>
  <c r="O622" i="14"/>
  <c r="Q622" i="14" s="1"/>
  <c r="O623" i="14"/>
  <c r="O624" i="14"/>
  <c r="Q624" i="14" s="1"/>
  <c r="O625" i="14"/>
  <c r="Q625" i="14" s="1"/>
  <c r="O626" i="14"/>
  <c r="O627" i="14"/>
  <c r="O628" i="14"/>
  <c r="O629" i="14"/>
  <c r="O630" i="14"/>
  <c r="O631" i="14"/>
  <c r="O632" i="14"/>
  <c r="Q632" i="14" s="1"/>
  <c r="O633" i="14"/>
  <c r="Q633" i="14" s="1"/>
  <c r="O634" i="14"/>
  <c r="O635" i="14"/>
  <c r="Q635" i="14" s="1"/>
  <c r="O636" i="14"/>
  <c r="O637" i="14"/>
  <c r="O638" i="14"/>
  <c r="Q638" i="14" s="1"/>
  <c r="O639" i="14"/>
  <c r="O640" i="14"/>
  <c r="O641" i="14"/>
  <c r="Q641" i="14" s="1"/>
  <c r="O642" i="14"/>
  <c r="O643" i="14"/>
  <c r="O644" i="14"/>
  <c r="O645" i="14"/>
  <c r="O646" i="14"/>
  <c r="O647" i="14"/>
  <c r="O648" i="14"/>
  <c r="Q648" i="14" s="1"/>
  <c r="O649" i="14"/>
  <c r="Q649" i="14" s="1"/>
  <c r="O650" i="14"/>
  <c r="O651" i="14"/>
  <c r="O652" i="14"/>
  <c r="O653" i="14"/>
  <c r="O654" i="14"/>
  <c r="O655" i="14"/>
  <c r="O656" i="14"/>
  <c r="Q656" i="14" s="1"/>
  <c r="O657" i="14"/>
  <c r="Q657" i="14" s="1"/>
  <c r="O658" i="14"/>
  <c r="O659" i="14"/>
  <c r="Q659" i="14" s="1"/>
  <c r="O660" i="14"/>
  <c r="O661" i="14"/>
  <c r="O662" i="14"/>
  <c r="Q662" i="14" s="1"/>
  <c r="O663" i="14"/>
  <c r="O664" i="14"/>
  <c r="O665" i="14"/>
  <c r="Q665" i="14" s="1"/>
  <c r="O666" i="14"/>
  <c r="O667" i="14"/>
  <c r="O668" i="14"/>
  <c r="O669" i="14"/>
  <c r="O670" i="14"/>
  <c r="O671" i="14"/>
  <c r="O672" i="14"/>
  <c r="Q672" i="14" s="1"/>
  <c r="O673" i="14"/>
  <c r="O674" i="14"/>
  <c r="O675" i="14"/>
  <c r="Q675" i="14" s="1"/>
  <c r="O676" i="14"/>
  <c r="O677" i="14"/>
  <c r="O678" i="14"/>
  <c r="O679" i="14"/>
  <c r="O680" i="14"/>
  <c r="Q680" i="14" s="1"/>
  <c r="O681" i="14"/>
  <c r="Q681" i="14" s="1"/>
  <c r="O682" i="14"/>
  <c r="O683" i="14"/>
  <c r="Q683" i="14" s="1"/>
  <c r="O684" i="14"/>
  <c r="O685" i="14"/>
  <c r="O686" i="14"/>
  <c r="Q686" i="14" s="1"/>
  <c r="O687" i="14"/>
  <c r="O688" i="14"/>
  <c r="O689" i="14"/>
  <c r="Q689" i="14" s="1"/>
  <c r="O690" i="14"/>
  <c r="O691" i="14"/>
  <c r="O692" i="14"/>
  <c r="O693" i="14"/>
  <c r="O694" i="14"/>
  <c r="O695" i="14"/>
  <c r="O696" i="14"/>
  <c r="Q696" i="14" s="1"/>
  <c r="O697" i="14"/>
  <c r="O698" i="14"/>
  <c r="O699" i="14"/>
  <c r="O700" i="14"/>
  <c r="O701" i="14"/>
  <c r="O702" i="14"/>
  <c r="O703" i="14"/>
  <c r="O704" i="14"/>
  <c r="O705" i="14"/>
  <c r="Q705" i="14" s="1"/>
  <c r="O706" i="14"/>
  <c r="O707" i="14"/>
  <c r="O708" i="14"/>
  <c r="O709" i="14"/>
  <c r="O710" i="14"/>
  <c r="Q710" i="14" s="1"/>
  <c r="O711" i="14"/>
  <c r="O712" i="14"/>
  <c r="Q712" i="14" s="1"/>
  <c r="O713" i="14"/>
  <c r="O714" i="14"/>
  <c r="O715" i="14"/>
  <c r="Q715" i="14" s="1"/>
  <c r="O716" i="14"/>
  <c r="O717" i="14"/>
  <c r="O718" i="14"/>
  <c r="O719" i="14"/>
  <c r="O720" i="14"/>
  <c r="Q720" i="14" s="1"/>
  <c r="O721" i="14"/>
  <c r="Q721" i="14" s="1"/>
  <c r="O722" i="14"/>
  <c r="O723" i="14"/>
  <c r="Q723" i="14" s="1"/>
  <c r="O724" i="14"/>
  <c r="O725" i="14"/>
  <c r="Q725" i="14" s="1"/>
  <c r="O726" i="14"/>
  <c r="Q726" i="14" s="1"/>
  <c r="O608" i="14"/>
  <c r="Q608" i="14" s="1"/>
  <c r="O607" i="14"/>
  <c r="N609" i="14"/>
  <c r="P609" i="14" s="1"/>
  <c r="N610" i="14"/>
  <c r="N611" i="14"/>
  <c r="P611" i="14" s="1"/>
  <c r="N612" i="14"/>
  <c r="N613" i="14"/>
  <c r="N614" i="14"/>
  <c r="P614" i="14" s="1"/>
  <c r="N615" i="14"/>
  <c r="N616" i="14"/>
  <c r="P616" i="14" s="1"/>
  <c r="N617" i="14"/>
  <c r="P617" i="14" s="1"/>
  <c r="N618" i="14"/>
  <c r="N619" i="14"/>
  <c r="N620" i="14"/>
  <c r="N621" i="14"/>
  <c r="N622" i="14"/>
  <c r="P622" i="14" s="1"/>
  <c r="N623" i="14"/>
  <c r="N624" i="14"/>
  <c r="N625" i="14"/>
  <c r="P625" i="14" s="1"/>
  <c r="N626" i="14"/>
  <c r="N627" i="14"/>
  <c r="P627" i="14" s="1"/>
  <c r="N628" i="14"/>
  <c r="N629" i="14"/>
  <c r="N630" i="14"/>
  <c r="P630" i="14" s="1"/>
  <c r="N631" i="14"/>
  <c r="N632" i="14"/>
  <c r="P632" i="14" s="1"/>
  <c r="N633" i="14"/>
  <c r="P633" i="14" s="1"/>
  <c r="N634" i="14"/>
  <c r="N635" i="14"/>
  <c r="P635" i="14" s="1"/>
  <c r="N636" i="14"/>
  <c r="N637" i="14"/>
  <c r="N638" i="14"/>
  <c r="P638" i="14" s="1"/>
  <c r="N639" i="14"/>
  <c r="P639" i="14" s="1"/>
  <c r="N640" i="14"/>
  <c r="N641" i="14"/>
  <c r="P641" i="14" s="1"/>
  <c r="N642" i="14"/>
  <c r="N643" i="14"/>
  <c r="N644" i="14"/>
  <c r="N645" i="14"/>
  <c r="N646" i="14"/>
  <c r="N647" i="14"/>
  <c r="P647" i="14" s="1"/>
  <c r="N648" i="14"/>
  <c r="P648" i="14" s="1"/>
  <c r="N649" i="14"/>
  <c r="P649" i="14" s="1"/>
  <c r="N650" i="14"/>
  <c r="N651" i="14"/>
  <c r="P651" i="14" s="1"/>
  <c r="N652" i="14"/>
  <c r="N653" i="14"/>
  <c r="N654" i="14"/>
  <c r="P654" i="14" s="1"/>
  <c r="N655" i="14"/>
  <c r="P655" i="14" s="1"/>
  <c r="N656" i="14"/>
  <c r="P656" i="14" s="1"/>
  <c r="N657" i="14"/>
  <c r="P657" i="14" s="1"/>
  <c r="N658" i="14"/>
  <c r="N659" i="14"/>
  <c r="P659" i="14" s="1"/>
  <c r="N660" i="14"/>
  <c r="N661" i="14"/>
  <c r="N662" i="14"/>
  <c r="P662" i="14" s="1"/>
  <c r="N663" i="14"/>
  <c r="P663" i="14" s="1"/>
  <c r="N664" i="14"/>
  <c r="N665" i="14"/>
  <c r="P665" i="14" s="1"/>
  <c r="N666" i="14"/>
  <c r="N667" i="14"/>
  <c r="N668" i="14"/>
  <c r="N669" i="14"/>
  <c r="N670" i="14"/>
  <c r="P670" i="14" s="1"/>
  <c r="N671" i="14"/>
  <c r="P671" i="14" s="1"/>
  <c r="N672" i="14"/>
  <c r="P672" i="14" s="1"/>
  <c r="N673" i="14"/>
  <c r="P673" i="14" s="1"/>
  <c r="N674" i="14"/>
  <c r="N675" i="14"/>
  <c r="N676" i="14"/>
  <c r="N677" i="14"/>
  <c r="N678" i="14"/>
  <c r="P678" i="14" s="1"/>
  <c r="N679" i="14"/>
  <c r="P679" i="14" s="1"/>
  <c r="N680" i="14"/>
  <c r="P680" i="14" s="1"/>
  <c r="N681" i="14"/>
  <c r="P681" i="14" s="1"/>
  <c r="N682" i="14"/>
  <c r="N683" i="14"/>
  <c r="P683" i="14" s="1"/>
  <c r="N684" i="14"/>
  <c r="N685" i="14"/>
  <c r="N686" i="14"/>
  <c r="P686" i="14" s="1"/>
  <c r="N687" i="14"/>
  <c r="P687" i="14" s="1"/>
  <c r="N688" i="14"/>
  <c r="N689" i="14"/>
  <c r="P689" i="14" s="1"/>
  <c r="N690" i="14"/>
  <c r="N691" i="14"/>
  <c r="N692" i="14"/>
  <c r="N693" i="14"/>
  <c r="N694" i="14"/>
  <c r="P694" i="14" s="1"/>
  <c r="N695" i="14"/>
  <c r="N696" i="14"/>
  <c r="P696" i="14" s="1"/>
  <c r="N697" i="14"/>
  <c r="P697" i="14" s="1"/>
  <c r="N698" i="14"/>
  <c r="N699" i="14"/>
  <c r="P699" i="14" s="1"/>
  <c r="N700" i="14"/>
  <c r="N701" i="14"/>
  <c r="N702" i="14"/>
  <c r="P702" i="14" s="1"/>
  <c r="N703" i="14"/>
  <c r="N704" i="14"/>
  <c r="P704" i="14" s="1"/>
  <c r="N705" i="14"/>
  <c r="P705" i="14" s="1"/>
  <c r="N706" i="14"/>
  <c r="N707" i="14"/>
  <c r="N708" i="14"/>
  <c r="N709" i="14"/>
  <c r="N710" i="14"/>
  <c r="P710" i="14" s="1"/>
  <c r="N711" i="14"/>
  <c r="P711" i="14" s="1"/>
  <c r="N712" i="14"/>
  <c r="P712" i="14" s="1"/>
  <c r="N713" i="14"/>
  <c r="P713" i="14" s="1"/>
  <c r="N714" i="14"/>
  <c r="N715" i="14"/>
  <c r="N716" i="14"/>
  <c r="N717" i="14"/>
  <c r="N718" i="14"/>
  <c r="P718" i="14" s="1"/>
  <c r="N719" i="14"/>
  <c r="N720" i="14"/>
  <c r="P720" i="14" s="1"/>
  <c r="N721" i="14"/>
  <c r="P721" i="14" s="1"/>
  <c r="N722" i="14"/>
  <c r="N723" i="14"/>
  <c r="P723" i="14" s="1"/>
  <c r="N724" i="14"/>
  <c r="N725" i="14"/>
  <c r="N726" i="14"/>
  <c r="N608" i="14"/>
  <c r="N607" i="14"/>
  <c r="O851" i="14"/>
  <c r="Q851" i="14" s="1"/>
  <c r="N851" i="14"/>
  <c r="P851" i="14" s="1"/>
  <c r="M851" i="14"/>
  <c r="P850" i="14"/>
  <c r="O850" i="14"/>
  <c r="Q850" i="14" s="1"/>
  <c r="N850" i="14"/>
  <c r="M850" i="14"/>
  <c r="O849" i="14"/>
  <c r="Q849" i="14" s="1"/>
  <c r="N849" i="14"/>
  <c r="P849" i="14" s="1"/>
  <c r="M849" i="14"/>
  <c r="Q848" i="14"/>
  <c r="O848" i="14"/>
  <c r="N848" i="14"/>
  <c r="P848" i="14" s="1"/>
  <c r="M848" i="14"/>
  <c r="O847" i="14"/>
  <c r="Q847" i="14" s="1"/>
  <c r="N847" i="14"/>
  <c r="P847" i="14" s="1"/>
  <c r="M847" i="14"/>
  <c r="O846" i="14"/>
  <c r="Q846" i="14" s="1"/>
  <c r="N846" i="14"/>
  <c r="P846" i="14" s="1"/>
  <c r="M846" i="14"/>
  <c r="Q845" i="14"/>
  <c r="P845" i="14"/>
  <c r="O845" i="14"/>
  <c r="N845" i="14"/>
  <c r="M845" i="14"/>
  <c r="O844" i="14"/>
  <c r="Q844" i="14" s="1"/>
  <c r="N844" i="14"/>
  <c r="P844" i="14" s="1"/>
  <c r="M844" i="14"/>
  <c r="O843" i="14"/>
  <c r="Q843" i="14" s="1"/>
  <c r="N843" i="14"/>
  <c r="P843" i="14" s="1"/>
  <c r="M843" i="14"/>
  <c r="P842" i="14"/>
  <c r="O842" i="14"/>
  <c r="Q842" i="14" s="1"/>
  <c r="N842" i="14"/>
  <c r="M842" i="14"/>
  <c r="O841" i="14"/>
  <c r="Q841" i="14" s="1"/>
  <c r="N841" i="14"/>
  <c r="P841" i="14" s="1"/>
  <c r="M841" i="14"/>
  <c r="Q840" i="14"/>
  <c r="O840" i="14"/>
  <c r="N840" i="14"/>
  <c r="P840" i="14" s="1"/>
  <c r="M840" i="14"/>
  <c r="O839" i="14"/>
  <c r="Q839" i="14" s="1"/>
  <c r="N839" i="14"/>
  <c r="P839" i="14" s="1"/>
  <c r="M839" i="14"/>
  <c r="O838" i="14"/>
  <c r="Q838" i="14" s="1"/>
  <c r="N838" i="14"/>
  <c r="P838" i="14" s="1"/>
  <c r="M838" i="14"/>
  <c r="Q837" i="14"/>
  <c r="P837" i="14"/>
  <c r="O837" i="14"/>
  <c r="N837" i="14"/>
  <c r="M837" i="14"/>
  <c r="O836" i="14"/>
  <c r="Q836" i="14" s="1"/>
  <c r="N836" i="14"/>
  <c r="P836" i="14" s="1"/>
  <c r="M836" i="14"/>
  <c r="O835" i="14"/>
  <c r="Q835" i="14" s="1"/>
  <c r="N835" i="14"/>
  <c r="P835" i="14" s="1"/>
  <c r="M835" i="14"/>
  <c r="P834" i="14"/>
  <c r="O834" i="14"/>
  <c r="Q834" i="14" s="1"/>
  <c r="N834" i="14"/>
  <c r="M834" i="14"/>
  <c r="O833" i="14"/>
  <c r="Q833" i="14" s="1"/>
  <c r="N833" i="14"/>
  <c r="P833" i="14" s="1"/>
  <c r="M833" i="14"/>
  <c r="Q832" i="14"/>
  <c r="O832" i="14"/>
  <c r="N832" i="14"/>
  <c r="P832" i="14" s="1"/>
  <c r="M832" i="14"/>
  <c r="O831" i="14"/>
  <c r="Q831" i="14" s="1"/>
  <c r="N831" i="14"/>
  <c r="P831" i="14" s="1"/>
  <c r="M831" i="14"/>
  <c r="O830" i="14"/>
  <c r="Q830" i="14" s="1"/>
  <c r="N830" i="14"/>
  <c r="P830" i="14" s="1"/>
  <c r="M830" i="14"/>
  <c r="Q829" i="14"/>
  <c r="P829" i="14"/>
  <c r="O829" i="14"/>
  <c r="N829" i="14"/>
  <c r="M829" i="14"/>
  <c r="O828" i="14"/>
  <c r="Q828" i="14" s="1"/>
  <c r="N828" i="14"/>
  <c r="P828" i="14" s="1"/>
  <c r="M828" i="14"/>
  <c r="O827" i="14"/>
  <c r="Q827" i="14" s="1"/>
  <c r="N827" i="14"/>
  <c r="P827" i="14" s="1"/>
  <c r="M827" i="14"/>
  <c r="P826" i="14"/>
  <c r="O826" i="14"/>
  <c r="Q826" i="14" s="1"/>
  <c r="N826" i="14"/>
  <c r="M826" i="14"/>
  <c r="O825" i="14"/>
  <c r="Q825" i="14" s="1"/>
  <c r="N825" i="14"/>
  <c r="P825" i="14" s="1"/>
  <c r="M825" i="14"/>
  <c r="Q824" i="14"/>
  <c r="O824" i="14"/>
  <c r="N824" i="14"/>
  <c r="P824" i="14" s="1"/>
  <c r="M824" i="14"/>
  <c r="O823" i="14"/>
  <c r="Q823" i="14" s="1"/>
  <c r="N823" i="14"/>
  <c r="P823" i="14" s="1"/>
  <c r="M823" i="14"/>
  <c r="O822" i="14"/>
  <c r="Q822" i="14" s="1"/>
  <c r="N822" i="14"/>
  <c r="P822" i="14" s="1"/>
  <c r="M822" i="14"/>
  <c r="Q821" i="14"/>
  <c r="P821" i="14"/>
  <c r="O821" i="14"/>
  <c r="N821" i="14"/>
  <c r="M821" i="14"/>
  <c r="O820" i="14"/>
  <c r="Q820" i="14" s="1"/>
  <c r="N820" i="14"/>
  <c r="P820" i="14" s="1"/>
  <c r="M820" i="14"/>
  <c r="O819" i="14"/>
  <c r="Q819" i="14" s="1"/>
  <c r="N819" i="14"/>
  <c r="P819" i="14" s="1"/>
  <c r="M819" i="14"/>
  <c r="P818" i="14"/>
  <c r="O818" i="14"/>
  <c r="Q818" i="14" s="1"/>
  <c r="N818" i="14"/>
  <c r="M818" i="14"/>
  <c r="O817" i="14"/>
  <c r="Q817" i="14" s="1"/>
  <c r="N817" i="14"/>
  <c r="P817" i="14" s="1"/>
  <c r="M817" i="14"/>
  <c r="Q816" i="14"/>
  <c r="O816" i="14"/>
  <c r="N816" i="14"/>
  <c r="P816" i="14" s="1"/>
  <c r="M816" i="14"/>
  <c r="O815" i="14"/>
  <c r="Q815" i="14" s="1"/>
  <c r="N815" i="14"/>
  <c r="P815" i="14" s="1"/>
  <c r="M815" i="14"/>
  <c r="O814" i="14"/>
  <c r="Q814" i="14" s="1"/>
  <c r="N814" i="14"/>
  <c r="P814" i="14" s="1"/>
  <c r="M814" i="14"/>
  <c r="Q813" i="14"/>
  <c r="P813" i="14"/>
  <c r="O813" i="14"/>
  <c r="N813" i="14"/>
  <c r="M813" i="14"/>
  <c r="O812" i="14"/>
  <c r="Q812" i="14" s="1"/>
  <c r="N812" i="14"/>
  <c r="P812" i="14" s="1"/>
  <c r="M812" i="14"/>
  <c r="O811" i="14"/>
  <c r="Q811" i="14" s="1"/>
  <c r="N811" i="14"/>
  <c r="P811" i="14" s="1"/>
  <c r="M811" i="14"/>
  <c r="P810" i="14"/>
  <c r="O810" i="14"/>
  <c r="Q810" i="14" s="1"/>
  <c r="N810" i="14"/>
  <c r="M810" i="14"/>
  <c r="O809" i="14"/>
  <c r="Q809" i="14" s="1"/>
  <c r="N809" i="14"/>
  <c r="P809" i="14" s="1"/>
  <c r="M809" i="14"/>
  <c r="Q808" i="14"/>
  <c r="O808" i="14"/>
  <c r="N808" i="14"/>
  <c r="P808" i="14" s="1"/>
  <c r="M808" i="14"/>
  <c r="O807" i="14"/>
  <c r="Q807" i="14" s="1"/>
  <c r="N807" i="14"/>
  <c r="P807" i="14" s="1"/>
  <c r="M807" i="14"/>
  <c r="O806" i="14"/>
  <c r="Q806" i="14" s="1"/>
  <c r="N806" i="14"/>
  <c r="P806" i="14" s="1"/>
  <c r="M806" i="14"/>
  <c r="Q805" i="14"/>
  <c r="P805" i="14"/>
  <c r="O805" i="14"/>
  <c r="N805" i="14"/>
  <c r="M805" i="14"/>
  <c r="O804" i="14"/>
  <c r="Q804" i="14" s="1"/>
  <c r="N804" i="14"/>
  <c r="P804" i="14" s="1"/>
  <c r="M804" i="14"/>
  <c r="O803" i="14"/>
  <c r="Q803" i="14" s="1"/>
  <c r="N803" i="14"/>
  <c r="P803" i="14" s="1"/>
  <c r="M803" i="14"/>
  <c r="P802" i="14"/>
  <c r="O802" i="14"/>
  <c r="Q802" i="14" s="1"/>
  <c r="N802" i="14"/>
  <c r="M802" i="14"/>
  <c r="O801" i="14"/>
  <c r="Q801" i="14" s="1"/>
  <c r="N801" i="14"/>
  <c r="P801" i="14" s="1"/>
  <c r="M801" i="14"/>
  <c r="Q800" i="14"/>
  <c r="O800" i="14"/>
  <c r="N800" i="14"/>
  <c r="P800" i="14" s="1"/>
  <c r="M800" i="14"/>
  <c r="O799" i="14"/>
  <c r="Q799" i="14" s="1"/>
  <c r="N799" i="14"/>
  <c r="P799" i="14" s="1"/>
  <c r="M799" i="14"/>
  <c r="O798" i="14"/>
  <c r="Q798" i="14" s="1"/>
  <c r="N798" i="14"/>
  <c r="P798" i="14" s="1"/>
  <c r="M798" i="14"/>
  <c r="Q797" i="14"/>
  <c r="P797" i="14"/>
  <c r="O797" i="14"/>
  <c r="N797" i="14"/>
  <c r="M797" i="14"/>
  <c r="O796" i="14"/>
  <c r="Q796" i="14" s="1"/>
  <c r="N796" i="14"/>
  <c r="P796" i="14" s="1"/>
  <c r="M796" i="14"/>
  <c r="O795" i="14"/>
  <c r="Q795" i="14" s="1"/>
  <c r="N795" i="14"/>
  <c r="P795" i="14" s="1"/>
  <c r="M795" i="14"/>
  <c r="P794" i="14"/>
  <c r="O794" i="14"/>
  <c r="Q794" i="14" s="1"/>
  <c r="N794" i="14"/>
  <c r="M794" i="14"/>
  <c r="O793" i="14"/>
  <c r="Q793" i="14" s="1"/>
  <c r="N793" i="14"/>
  <c r="P793" i="14" s="1"/>
  <c r="M793" i="14"/>
  <c r="Q792" i="14"/>
  <c r="O792" i="14"/>
  <c r="N792" i="14"/>
  <c r="M792" i="14"/>
  <c r="P792" i="14" s="1"/>
  <c r="O791" i="14"/>
  <c r="Q791" i="14" s="1"/>
  <c r="N791" i="14"/>
  <c r="P791" i="14" s="1"/>
  <c r="M791" i="14"/>
  <c r="O790" i="14"/>
  <c r="Q790" i="14" s="1"/>
  <c r="N790" i="14"/>
  <c r="P790" i="14" s="1"/>
  <c r="M790" i="14"/>
  <c r="Q789" i="14"/>
  <c r="P789" i="14"/>
  <c r="O789" i="14"/>
  <c r="N789" i="14"/>
  <c r="M789" i="14"/>
  <c r="O788" i="14"/>
  <c r="Q788" i="14" s="1"/>
  <c r="N788" i="14"/>
  <c r="P788" i="14" s="1"/>
  <c r="M788" i="14"/>
  <c r="O787" i="14"/>
  <c r="N787" i="14"/>
  <c r="P787" i="14" s="1"/>
  <c r="M787" i="14"/>
  <c r="Q787" i="14" s="1"/>
  <c r="P786" i="14"/>
  <c r="O786" i="14"/>
  <c r="Q786" i="14" s="1"/>
  <c r="N786" i="14"/>
  <c r="M786" i="14"/>
  <c r="O785" i="14"/>
  <c r="Q785" i="14" s="1"/>
  <c r="N785" i="14"/>
  <c r="P785" i="14" s="1"/>
  <c r="M785" i="14"/>
  <c r="Q784" i="14"/>
  <c r="O784" i="14"/>
  <c r="N784" i="14"/>
  <c r="P784" i="14" s="1"/>
  <c r="M784" i="14"/>
  <c r="O783" i="14"/>
  <c r="Q783" i="14" s="1"/>
  <c r="N783" i="14"/>
  <c r="P783" i="14" s="1"/>
  <c r="M783" i="14"/>
  <c r="O782" i="14"/>
  <c r="Q782" i="14" s="1"/>
  <c r="N782" i="14"/>
  <c r="P782" i="14" s="1"/>
  <c r="M782" i="14"/>
  <c r="Q781" i="14"/>
  <c r="P781" i="14"/>
  <c r="O781" i="14"/>
  <c r="N781" i="14"/>
  <c r="M781" i="14"/>
  <c r="O780" i="14"/>
  <c r="Q780" i="14" s="1"/>
  <c r="N780" i="14"/>
  <c r="P780" i="14" s="1"/>
  <c r="M780" i="14"/>
  <c r="O779" i="14"/>
  <c r="Q779" i="14" s="1"/>
  <c r="N779" i="14"/>
  <c r="P779" i="14" s="1"/>
  <c r="M779" i="14"/>
  <c r="P778" i="14"/>
  <c r="O778" i="14"/>
  <c r="Q778" i="14" s="1"/>
  <c r="N778" i="14"/>
  <c r="M778" i="14"/>
  <c r="O777" i="14"/>
  <c r="Q777" i="14" s="1"/>
  <c r="N777" i="14"/>
  <c r="P777" i="14" s="1"/>
  <c r="M777" i="14"/>
  <c r="Q776" i="14"/>
  <c r="O776" i="14"/>
  <c r="N776" i="14"/>
  <c r="P776" i="14" s="1"/>
  <c r="M776" i="14"/>
  <c r="O775" i="14"/>
  <c r="Q775" i="14" s="1"/>
  <c r="N775" i="14"/>
  <c r="P775" i="14" s="1"/>
  <c r="M775" i="14"/>
  <c r="O774" i="14"/>
  <c r="Q774" i="14" s="1"/>
  <c r="N774" i="14"/>
  <c r="P774" i="14" s="1"/>
  <c r="M774" i="14"/>
  <c r="Q773" i="14"/>
  <c r="P773" i="14"/>
  <c r="O773" i="14"/>
  <c r="N773" i="14"/>
  <c r="M773" i="14"/>
  <c r="O772" i="14"/>
  <c r="Q772" i="14" s="1"/>
  <c r="N772" i="14"/>
  <c r="P772" i="14" s="1"/>
  <c r="M772" i="14"/>
  <c r="O771" i="14"/>
  <c r="Q771" i="14" s="1"/>
  <c r="N771" i="14"/>
  <c r="P771" i="14" s="1"/>
  <c r="M771" i="14"/>
  <c r="P770" i="14"/>
  <c r="O770" i="14"/>
  <c r="Q770" i="14" s="1"/>
  <c r="N770" i="14"/>
  <c r="M770" i="14"/>
  <c r="O769" i="14"/>
  <c r="Q769" i="14" s="1"/>
  <c r="N769" i="14"/>
  <c r="P769" i="14" s="1"/>
  <c r="M769" i="14"/>
  <c r="Q768" i="14"/>
  <c r="O768" i="14"/>
  <c r="N768" i="14"/>
  <c r="P768" i="14" s="1"/>
  <c r="M768" i="14"/>
  <c r="O767" i="14"/>
  <c r="Q767" i="14" s="1"/>
  <c r="N767" i="14"/>
  <c r="P767" i="14" s="1"/>
  <c r="M767" i="14"/>
  <c r="O766" i="14"/>
  <c r="Q766" i="14" s="1"/>
  <c r="N766" i="14"/>
  <c r="P766" i="14" s="1"/>
  <c r="M766" i="14"/>
  <c r="Q765" i="14"/>
  <c r="P765" i="14"/>
  <c r="O765" i="14"/>
  <c r="N765" i="14"/>
  <c r="M765" i="14"/>
  <c r="O764" i="14"/>
  <c r="Q764" i="14" s="1"/>
  <c r="N764" i="14"/>
  <c r="P764" i="14" s="1"/>
  <c r="M764" i="14"/>
  <c r="O763" i="14"/>
  <c r="Q763" i="14" s="1"/>
  <c r="N763" i="14"/>
  <c r="P763" i="14" s="1"/>
  <c r="M763" i="14"/>
  <c r="P762" i="14"/>
  <c r="O762" i="14"/>
  <c r="Q762" i="14" s="1"/>
  <c r="N762" i="14"/>
  <c r="M762" i="14"/>
  <c r="O761" i="14"/>
  <c r="Q761" i="14" s="1"/>
  <c r="N761" i="14"/>
  <c r="P761" i="14" s="1"/>
  <c r="M761" i="14"/>
  <c r="Q760" i="14"/>
  <c r="O760" i="14"/>
  <c r="N760" i="14"/>
  <c r="P760" i="14" s="1"/>
  <c r="M760" i="14"/>
  <c r="O759" i="14"/>
  <c r="Q759" i="14" s="1"/>
  <c r="N759" i="14"/>
  <c r="P759" i="14" s="1"/>
  <c r="M759" i="14"/>
  <c r="O758" i="14"/>
  <c r="Q758" i="14" s="1"/>
  <c r="N758" i="14"/>
  <c r="P758" i="14" s="1"/>
  <c r="M758" i="14"/>
  <c r="Q757" i="14"/>
  <c r="P757" i="14"/>
  <c r="O757" i="14"/>
  <c r="N757" i="14"/>
  <c r="M757" i="14"/>
  <c r="O756" i="14"/>
  <c r="Q756" i="14" s="1"/>
  <c r="N756" i="14"/>
  <c r="P756" i="14" s="1"/>
  <c r="M756" i="14"/>
  <c r="O755" i="14"/>
  <c r="Q755" i="14" s="1"/>
  <c r="N755" i="14"/>
  <c r="P755" i="14" s="1"/>
  <c r="M755" i="14"/>
  <c r="P754" i="14"/>
  <c r="O754" i="14"/>
  <c r="Q754" i="14" s="1"/>
  <c r="N754" i="14"/>
  <c r="M754" i="14"/>
  <c r="O753" i="14"/>
  <c r="Q753" i="14" s="1"/>
  <c r="N753" i="14"/>
  <c r="P753" i="14" s="1"/>
  <c r="M753" i="14"/>
  <c r="Q752" i="14"/>
  <c r="O752" i="14"/>
  <c r="N752" i="14"/>
  <c r="P752" i="14" s="1"/>
  <c r="M752" i="14"/>
  <c r="O751" i="14"/>
  <c r="Q751" i="14" s="1"/>
  <c r="N751" i="14"/>
  <c r="P751" i="14" s="1"/>
  <c r="M751" i="14"/>
  <c r="O750" i="14"/>
  <c r="Q750" i="14" s="1"/>
  <c r="N750" i="14"/>
  <c r="P750" i="14" s="1"/>
  <c r="M750" i="14"/>
  <c r="Q749" i="14"/>
  <c r="P749" i="14"/>
  <c r="O749" i="14"/>
  <c r="N749" i="14"/>
  <c r="M749" i="14"/>
  <c r="O748" i="14"/>
  <c r="Q748" i="14" s="1"/>
  <c r="N748" i="14"/>
  <c r="P748" i="14" s="1"/>
  <c r="M748" i="14"/>
  <c r="O747" i="14"/>
  <c r="Q747" i="14" s="1"/>
  <c r="N747" i="14"/>
  <c r="P747" i="14" s="1"/>
  <c r="M747" i="14"/>
  <c r="P746" i="14"/>
  <c r="O746" i="14"/>
  <c r="Q746" i="14" s="1"/>
  <c r="N746" i="14"/>
  <c r="M746" i="14"/>
  <c r="O745" i="14"/>
  <c r="Q745" i="14" s="1"/>
  <c r="N745" i="14"/>
  <c r="P745" i="14" s="1"/>
  <c r="M745" i="14"/>
  <c r="Q744" i="14"/>
  <c r="O744" i="14"/>
  <c r="N744" i="14"/>
  <c r="P744" i="14" s="1"/>
  <c r="M744" i="14"/>
  <c r="O743" i="14"/>
  <c r="Q743" i="14" s="1"/>
  <c r="N743" i="14"/>
  <c r="P743" i="14" s="1"/>
  <c r="M743" i="14"/>
  <c r="O742" i="14"/>
  <c r="Q742" i="14" s="1"/>
  <c r="N742" i="14"/>
  <c r="P742" i="14" s="1"/>
  <c r="M742" i="14"/>
  <c r="Q741" i="14"/>
  <c r="P741" i="14"/>
  <c r="O741" i="14"/>
  <c r="N741" i="14"/>
  <c r="M741" i="14"/>
  <c r="O740" i="14"/>
  <c r="Q740" i="14" s="1"/>
  <c r="N740" i="14"/>
  <c r="P740" i="14" s="1"/>
  <c r="M740" i="14"/>
  <c r="O739" i="14"/>
  <c r="Q739" i="14" s="1"/>
  <c r="N739" i="14"/>
  <c r="P739" i="14" s="1"/>
  <c r="M739" i="14"/>
  <c r="P738" i="14"/>
  <c r="O738" i="14"/>
  <c r="Q738" i="14" s="1"/>
  <c r="N738" i="14"/>
  <c r="M738" i="14"/>
  <c r="O737" i="14"/>
  <c r="Q737" i="14" s="1"/>
  <c r="N737" i="14"/>
  <c r="P737" i="14" s="1"/>
  <c r="M737" i="14"/>
  <c r="Q736" i="14"/>
  <c r="O736" i="14"/>
  <c r="N736" i="14"/>
  <c r="P736" i="14" s="1"/>
  <c r="M736" i="14"/>
  <c r="O735" i="14"/>
  <c r="Q735" i="14" s="1"/>
  <c r="N735" i="14"/>
  <c r="P735" i="14" s="1"/>
  <c r="M735" i="14"/>
  <c r="O734" i="14"/>
  <c r="Q734" i="14" s="1"/>
  <c r="N734" i="14"/>
  <c r="P734" i="14" s="1"/>
  <c r="M734" i="14"/>
  <c r="Q733" i="14"/>
  <c r="P733" i="14"/>
  <c r="O733" i="14"/>
  <c r="N733" i="14"/>
  <c r="M733" i="14"/>
  <c r="O732" i="14"/>
  <c r="Q732" i="14" s="1"/>
  <c r="N732" i="14"/>
  <c r="P732" i="14" s="1"/>
  <c r="M732" i="14"/>
  <c r="P726" i="14"/>
  <c r="M726" i="14"/>
  <c r="P725" i="14"/>
  <c r="M725" i="14"/>
  <c r="Q724" i="14"/>
  <c r="P724" i="14"/>
  <c r="M724" i="14"/>
  <c r="M723" i="14"/>
  <c r="P722" i="14"/>
  <c r="M722" i="14"/>
  <c r="Q722" i="14" s="1"/>
  <c r="M721" i="14"/>
  <c r="M720" i="14"/>
  <c r="M719" i="14"/>
  <c r="Q718" i="14"/>
  <c r="M718" i="14"/>
  <c r="Q717" i="14"/>
  <c r="P717" i="14"/>
  <c r="M717" i="14"/>
  <c r="Q716" i="14"/>
  <c r="P716" i="14"/>
  <c r="M716" i="14"/>
  <c r="P715" i="14"/>
  <c r="M715" i="14"/>
  <c r="Q714" i="14"/>
  <c r="P714" i="14"/>
  <c r="M714" i="14"/>
  <c r="Q713" i="14"/>
  <c r="M713" i="14"/>
  <c r="M712" i="14"/>
  <c r="M711" i="14"/>
  <c r="M710" i="14"/>
  <c r="Q709" i="14"/>
  <c r="P709" i="14"/>
  <c r="M709" i="14"/>
  <c r="Q708" i="14"/>
  <c r="P708" i="14"/>
  <c r="M708" i="14"/>
  <c r="Q707" i="14"/>
  <c r="P707" i="14"/>
  <c r="M707" i="14"/>
  <c r="Q706" i="14"/>
  <c r="P706" i="14"/>
  <c r="M706" i="14"/>
  <c r="M705" i="14"/>
  <c r="Q704" i="14"/>
  <c r="M704" i="14"/>
  <c r="M703" i="14"/>
  <c r="Q702" i="14"/>
  <c r="M702" i="14"/>
  <c r="Q701" i="14"/>
  <c r="P701" i="14"/>
  <c r="M701" i="14"/>
  <c r="Q700" i="14"/>
  <c r="P700" i="14"/>
  <c r="M700" i="14"/>
  <c r="Q699" i="14"/>
  <c r="M699" i="14"/>
  <c r="P698" i="14"/>
  <c r="M698" i="14"/>
  <c r="Q698" i="14" s="1"/>
  <c r="Q697" i="14"/>
  <c r="M697" i="14"/>
  <c r="M696" i="14"/>
  <c r="M695" i="14"/>
  <c r="Q694" i="14"/>
  <c r="M694" i="14"/>
  <c r="Q693" i="14"/>
  <c r="P693" i="14"/>
  <c r="M693" i="14"/>
  <c r="Q692" i="14"/>
  <c r="P692" i="14"/>
  <c r="M692" i="14"/>
  <c r="Q691" i="14"/>
  <c r="P691" i="14"/>
  <c r="M691" i="14"/>
  <c r="Q690" i="14"/>
  <c r="P690" i="14"/>
  <c r="M690" i="14"/>
  <c r="M689" i="14"/>
  <c r="P688" i="14"/>
  <c r="Q688" i="14"/>
  <c r="M688" i="14"/>
  <c r="M687" i="14"/>
  <c r="M686" i="14"/>
  <c r="Q685" i="14"/>
  <c r="P685" i="14"/>
  <c r="M685" i="14"/>
  <c r="Q684" i="14"/>
  <c r="P684" i="14"/>
  <c r="M684" i="14"/>
  <c r="M683" i="14"/>
  <c r="Q682" i="14"/>
  <c r="P682" i="14"/>
  <c r="M682" i="14"/>
  <c r="M681" i="14"/>
  <c r="M680" i="14"/>
  <c r="M679" i="14"/>
  <c r="Q678" i="14"/>
  <c r="M678" i="14"/>
  <c r="Q677" i="14"/>
  <c r="P677" i="14"/>
  <c r="M677" i="14"/>
  <c r="Q676" i="14"/>
  <c r="P676" i="14"/>
  <c r="M676" i="14"/>
  <c r="P675" i="14"/>
  <c r="M675" i="14"/>
  <c r="Q674" i="14"/>
  <c r="P674" i="14"/>
  <c r="M674" i="14"/>
  <c r="Q673" i="14"/>
  <c r="M673" i="14"/>
  <c r="M672" i="14"/>
  <c r="M671" i="14"/>
  <c r="Q670" i="14"/>
  <c r="M670" i="14"/>
  <c r="Q669" i="14"/>
  <c r="P669" i="14"/>
  <c r="M669" i="14"/>
  <c r="Q668" i="14"/>
  <c r="P668" i="14"/>
  <c r="M668" i="14"/>
  <c r="Q667" i="14"/>
  <c r="P667" i="14"/>
  <c r="M667" i="14"/>
  <c r="Q666" i="14"/>
  <c r="P666" i="14"/>
  <c r="M666" i="14"/>
  <c r="M665" i="14"/>
  <c r="P664" i="14"/>
  <c r="Q664" i="14"/>
  <c r="M664" i="14"/>
  <c r="M663" i="14"/>
  <c r="M662" i="14"/>
  <c r="Q661" i="14"/>
  <c r="P661" i="14"/>
  <c r="M661" i="14"/>
  <c r="Q660" i="14"/>
  <c r="P660" i="14"/>
  <c r="M660" i="14"/>
  <c r="M659" i="14"/>
  <c r="Q658" i="14"/>
  <c r="P658" i="14"/>
  <c r="M658" i="14"/>
  <c r="M657" i="14"/>
  <c r="M656" i="14"/>
  <c r="M655" i="14"/>
  <c r="Q654" i="14"/>
  <c r="M654" i="14"/>
  <c r="Q653" i="14"/>
  <c r="P653" i="14"/>
  <c r="M653" i="14"/>
  <c r="Q652" i="14"/>
  <c r="P652" i="14"/>
  <c r="M652" i="14"/>
  <c r="Q651" i="14"/>
  <c r="M651" i="14"/>
  <c r="Q650" i="14"/>
  <c r="P650" i="14"/>
  <c r="M650" i="14"/>
  <c r="M649" i="14"/>
  <c r="M648" i="14"/>
  <c r="M647" i="14"/>
  <c r="Q646" i="14"/>
  <c r="P646" i="14"/>
  <c r="M646" i="14"/>
  <c r="Q645" i="14"/>
  <c r="P645" i="14"/>
  <c r="M645" i="14"/>
  <c r="Q644" i="14"/>
  <c r="P644" i="14"/>
  <c r="M644" i="14"/>
  <c r="Q643" i="14"/>
  <c r="P643" i="14"/>
  <c r="M643" i="14"/>
  <c r="Q642" i="14"/>
  <c r="P642" i="14"/>
  <c r="M642" i="14"/>
  <c r="M641" i="14"/>
  <c r="P640" i="14"/>
  <c r="Q640" i="14"/>
  <c r="M640" i="14"/>
  <c r="M639" i="14"/>
  <c r="M638" i="14"/>
  <c r="Q637" i="14"/>
  <c r="P637" i="14"/>
  <c r="M637" i="14"/>
  <c r="Q636" i="14"/>
  <c r="P636" i="14"/>
  <c r="M636" i="14"/>
  <c r="M635" i="14"/>
  <c r="Q634" i="14"/>
  <c r="P634" i="14"/>
  <c r="M634" i="14"/>
  <c r="M633" i="14"/>
  <c r="M632" i="14"/>
  <c r="M631" i="14"/>
  <c r="Q630" i="14"/>
  <c r="M630" i="14"/>
  <c r="Q629" i="14"/>
  <c r="P629" i="14"/>
  <c r="M629" i="14"/>
  <c r="Q628" i="14"/>
  <c r="P628" i="14"/>
  <c r="M628" i="14"/>
  <c r="Q627" i="14"/>
  <c r="M627" i="14"/>
  <c r="P626" i="14"/>
  <c r="M626" i="14"/>
  <c r="Q626" i="14" s="1"/>
  <c r="M625" i="14"/>
  <c r="P624" i="14"/>
  <c r="M624" i="14"/>
  <c r="M623" i="14"/>
  <c r="M622" i="14"/>
  <c r="Q621" i="14"/>
  <c r="P621" i="14"/>
  <c r="M621" i="14"/>
  <c r="Q620" i="14"/>
  <c r="P620" i="14"/>
  <c r="M620" i="14"/>
  <c r="P619" i="14"/>
  <c r="M619" i="14"/>
  <c r="P618" i="14"/>
  <c r="M618" i="14"/>
  <c r="Q618" i="14" s="1"/>
  <c r="M617" i="14"/>
  <c r="M616" i="14"/>
  <c r="M615" i="14"/>
  <c r="Q614" i="14"/>
  <c r="M614" i="14"/>
  <c r="Q613" i="14"/>
  <c r="P613" i="14"/>
  <c r="M613" i="14"/>
  <c r="Q612" i="14"/>
  <c r="P612" i="14"/>
  <c r="M612" i="14"/>
  <c r="Q611" i="14"/>
  <c r="M611" i="14"/>
  <c r="P610" i="14"/>
  <c r="M610" i="14"/>
  <c r="Q610" i="14" s="1"/>
  <c r="M609" i="14"/>
  <c r="P608" i="14"/>
  <c r="M608" i="14"/>
  <c r="M607" i="14"/>
  <c r="Q647" i="14" l="1"/>
  <c r="Q711" i="14"/>
  <c r="Q607" i="14"/>
  <c r="Q615" i="14"/>
  <c r="Q671" i="14"/>
  <c r="Q695" i="14"/>
  <c r="Q663" i="14"/>
  <c r="Q687" i="14"/>
  <c r="Q639" i="14"/>
  <c r="Q703" i="14"/>
  <c r="Q631" i="14"/>
  <c r="Q655" i="14"/>
  <c r="Q679" i="14"/>
  <c r="Q623" i="14"/>
  <c r="Q719" i="14"/>
  <c r="P607" i="14"/>
  <c r="P615" i="14"/>
  <c r="P623" i="14"/>
  <c r="P631" i="14"/>
  <c r="P695" i="14"/>
  <c r="P703" i="14"/>
  <c r="P719" i="14"/>
  <c r="O734" i="16"/>
  <c r="O735" i="16"/>
  <c r="O736" i="16"/>
  <c r="O737" i="16"/>
  <c r="O738" i="16"/>
  <c r="O739" i="16"/>
  <c r="O740" i="16"/>
  <c r="O741" i="16"/>
  <c r="Q741" i="16" s="1"/>
  <c r="O742" i="16"/>
  <c r="O743" i="16"/>
  <c r="O744" i="16"/>
  <c r="O745" i="16"/>
  <c r="O746" i="16"/>
  <c r="O747" i="16"/>
  <c r="O748" i="16"/>
  <c r="O749" i="16"/>
  <c r="Q749" i="16" s="1"/>
  <c r="O750" i="16"/>
  <c r="O751" i="16"/>
  <c r="O752" i="16"/>
  <c r="O753" i="16"/>
  <c r="O754" i="16"/>
  <c r="O755" i="16"/>
  <c r="O756" i="16"/>
  <c r="O757" i="16"/>
  <c r="Q757" i="16" s="1"/>
  <c r="O758" i="16"/>
  <c r="O759" i="16"/>
  <c r="O760" i="16"/>
  <c r="O761" i="16"/>
  <c r="O762" i="16"/>
  <c r="O763" i="16"/>
  <c r="O764" i="16"/>
  <c r="O765" i="16"/>
  <c r="O766" i="16"/>
  <c r="O767" i="16"/>
  <c r="O768" i="16"/>
  <c r="O769" i="16"/>
  <c r="O770" i="16"/>
  <c r="O771" i="16"/>
  <c r="O772" i="16"/>
  <c r="O773" i="16"/>
  <c r="Q773" i="16" s="1"/>
  <c r="O774" i="16"/>
  <c r="O775" i="16"/>
  <c r="O776" i="16"/>
  <c r="O777" i="16"/>
  <c r="O778" i="16"/>
  <c r="O779" i="16"/>
  <c r="O780" i="16"/>
  <c r="O781" i="16"/>
  <c r="Q781" i="16" s="1"/>
  <c r="O782" i="16"/>
  <c r="O783" i="16"/>
  <c r="O784" i="16"/>
  <c r="O785" i="16"/>
  <c r="O786" i="16"/>
  <c r="O787" i="16"/>
  <c r="O788" i="16"/>
  <c r="O789" i="16"/>
  <c r="Q789" i="16" s="1"/>
  <c r="O790" i="16"/>
  <c r="O791" i="16"/>
  <c r="O792" i="16"/>
  <c r="O793" i="16"/>
  <c r="O794" i="16"/>
  <c r="O795" i="16"/>
  <c r="O796" i="16"/>
  <c r="O797" i="16"/>
  <c r="Q797" i="16" s="1"/>
  <c r="O798" i="16"/>
  <c r="O799" i="16"/>
  <c r="O800" i="16"/>
  <c r="O801" i="16"/>
  <c r="O802" i="16"/>
  <c r="O803" i="16"/>
  <c r="O804" i="16"/>
  <c r="O805" i="16"/>
  <c r="Q805" i="16" s="1"/>
  <c r="O806" i="16"/>
  <c r="O807" i="16"/>
  <c r="O808" i="16"/>
  <c r="O809" i="16"/>
  <c r="O810" i="16"/>
  <c r="O811" i="16"/>
  <c r="O812" i="16"/>
  <c r="O813" i="16"/>
  <c r="Q813" i="16" s="1"/>
  <c r="O814" i="16"/>
  <c r="O815" i="16"/>
  <c r="O816" i="16"/>
  <c r="O817" i="16"/>
  <c r="O818" i="16"/>
  <c r="O819" i="16"/>
  <c r="O820" i="16"/>
  <c r="O821" i="16"/>
  <c r="Q821" i="16" s="1"/>
  <c r="O822" i="16"/>
  <c r="O823" i="16"/>
  <c r="O824" i="16"/>
  <c r="O825" i="16"/>
  <c r="O826" i="16"/>
  <c r="O827" i="16"/>
  <c r="O828" i="16"/>
  <c r="O829" i="16"/>
  <c r="O830" i="16"/>
  <c r="O831" i="16"/>
  <c r="O832" i="16"/>
  <c r="O833" i="16"/>
  <c r="O834" i="16"/>
  <c r="O835" i="16"/>
  <c r="O836" i="16"/>
  <c r="O837" i="16"/>
  <c r="Q837" i="16" s="1"/>
  <c r="O838" i="16"/>
  <c r="O839" i="16"/>
  <c r="O840" i="16"/>
  <c r="O841" i="16"/>
  <c r="O842" i="16"/>
  <c r="O843" i="16"/>
  <c r="O844" i="16"/>
  <c r="O845" i="16"/>
  <c r="Q845" i="16" s="1"/>
  <c r="O846" i="16"/>
  <c r="O847" i="16"/>
  <c r="O848" i="16"/>
  <c r="O849" i="16"/>
  <c r="O850" i="16"/>
  <c r="O851" i="16"/>
  <c r="O733" i="16"/>
  <c r="O732" i="16"/>
  <c r="Q732" i="16" s="1"/>
  <c r="N734" i="16"/>
  <c r="P734" i="16" s="1"/>
  <c r="N735" i="16"/>
  <c r="P735" i="16" s="1"/>
  <c r="N736" i="16"/>
  <c r="N737" i="16"/>
  <c r="N738" i="16"/>
  <c r="N739" i="16"/>
  <c r="N740" i="16"/>
  <c r="P740" i="16" s="1"/>
  <c r="N741" i="16"/>
  <c r="N742" i="16"/>
  <c r="P742" i="16" s="1"/>
  <c r="N743" i="16"/>
  <c r="N744" i="16"/>
  <c r="N745" i="16"/>
  <c r="N746" i="16"/>
  <c r="N747" i="16"/>
  <c r="N748" i="16"/>
  <c r="P748" i="16" s="1"/>
  <c r="N749" i="16"/>
  <c r="N750" i="16"/>
  <c r="P750" i="16" s="1"/>
  <c r="N751" i="16"/>
  <c r="N752" i="16"/>
  <c r="N753" i="16"/>
  <c r="N754" i="16"/>
  <c r="N755" i="16"/>
  <c r="N756" i="16"/>
  <c r="P756" i="16" s="1"/>
  <c r="N757" i="16"/>
  <c r="P757" i="16" s="1"/>
  <c r="N758" i="16"/>
  <c r="N759" i="16"/>
  <c r="N760" i="16"/>
  <c r="N761" i="16"/>
  <c r="N762" i="16"/>
  <c r="N763" i="16"/>
  <c r="P763" i="16" s="1"/>
  <c r="N764" i="16"/>
  <c r="N765" i="16"/>
  <c r="P765" i="16" s="1"/>
  <c r="N766" i="16"/>
  <c r="N767" i="16"/>
  <c r="N768" i="16"/>
  <c r="N769" i="16"/>
  <c r="N770" i="16"/>
  <c r="N771" i="16"/>
  <c r="P771" i="16" s="1"/>
  <c r="N772" i="16"/>
  <c r="N773" i="16"/>
  <c r="P773" i="16" s="1"/>
  <c r="N774" i="16"/>
  <c r="N775" i="16"/>
  <c r="P775" i="16" s="1"/>
  <c r="N776" i="16"/>
  <c r="N777" i="16"/>
  <c r="N778" i="16"/>
  <c r="N779" i="16"/>
  <c r="P779" i="16" s="1"/>
  <c r="N780" i="16"/>
  <c r="N781" i="16"/>
  <c r="P781" i="16" s="1"/>
  <c r="N782" i="16"/>
  <c r="N783" i="16"/>
  <c r="P783" i="16" s="1"/>
  <c r="N784" i="16"/>
  <c r="N785" i="16"/>
  <c r="N786" i="16"/>
  <c r="N787" i="16"/>
  <c r="N788" i="16"/>
  <c r="N789" i="16"/>
  <c r="P789" i="16" s="1"/>
  <c r="N790" i="16"/>
  <c r="P790" i="16" s="1"/>
  <c r="N791" i="16"/>
  <c r="P791" i="16" s="1"/>
  <c r="N792" i="16"/>
  <c r="N793" i="16"/>
  <c r="N794" i="16"/>
  <c r="N795" i="16"/>
  <c r="N796" i="16"/>
  <c r="P796" i="16" s="1"/>
  <c r="N797" i="16"/>
  <c r="P797" i="16" s="1"/>
  <c r="N798" i="16"/>
  <c r="P798" i="16" s="1"/>
  <c r="N799" i="16"/>
  <c r="P799" i="16" s="1"/>
  <c r="N800" i="16"/>
  <c r="N801" i="16"/>
  <c r="N802" i="16"/>
  <c r="N803" i="16"/>
  <c r="N804" i="16"/>
  <c r="P804" i="16" s="1"/>
  <c r="N805" i="16"/>
  <c r="P805" i="16" s="1"/>
  <c r="N806" i="16"/>
  <c r="P806" i="16" s="1"/>
  <c r="N807" i="16"/>
  <c r="N808" i="16"/>
  <c r="N809" i="16"/>
  <c r="N810" i="16"/>
  <c r="N811" i="16"/>
  <c r="N812" i="16"/>
  <c r="P812" i="16" s="1"/>
  <c r="N813" i="16"/>
  <c r="N814" i="16"/>
  <c r="P814" i="16" s="1"/>
  <c r="N815" i="16"/>
  <c r="N816" i="16"/>
  <c r="N817" i="16"/>
  <c r="N818" i="16"/>
  <c r="N819" i="16"/>
  <c r="N820" i="16"/>
  <c r="P820" i="16" s="1"/>
  <c r="N821" i="16"/>
  <c r="P821" i="16" s="1"/>
  <c r="N822" i="16"/>
  <c r="N823" i="16"/>
  <c r="N824" i="16"/>
  <c r="N825" i="16"/>
  <c r="N826" i="16"/>
  <c r="N827" i="16"/>
  <c r="P827" i="16" s="1"/>
  <c r="N828" i="16"/>
  <c r="N829" i="16"/>
  <c r="P829" i="16" s="1"/>
  <c r="N830" i="16"/>
  <c r="N831" i="16"/>
  <c r="P831" i="16" s="1"/>
  <c r="N832" i="16"/>
  <c r="N833" i="16"/>
  <c r="N834" i="16"/>
  <c r="N835" i="16"/>
  <c r="P835" i="16" s="1"/>
  <c r="N836" i="16"/>
  <c r="N837" i="16"/>
  <c r="P837" i="16" s="1"/>
  <c r="N838" i="16"/>
  <c r="N839" i="16"/>
  <c r="P839" i="16" s="1"/>
  <c r="N840" i="16"/>
  <c r="N841" i="16"/>
  <c r="N842" i="16"/>
  <c r="N843" i="16"/>
  <c r="P843" i="16" s="1"/>
  <c r="N844" i="16"/>
  <c r="N845" i="16"/>
  <c r="P845" i="16" s="1"/>
  <c r="N846" i="16"/>
  <c r="N847" i="16"/>
  <c r="P847" i="16" s="1"/>
  <c r="N848" i="16"/>
  <c r="N849" i="16"/>
  <c r="N850" i="16"/>
  <c r="N851" i="16"/>
  <c r="N733" i="16"/>
  <c r="P733" i="16" s="1"/>
  <c r="N732"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Q640" i="16" s="1"/>
  <c r="O641" i="16"/>
  <c r="O642" i="16"/>
  <c r="O643" i="16"/>
  <c r="O644" i="16"/>
  <c r="O645" i="16"/>
  <c r="O646" i="16"/>
  <c r="O647" i="16"/>
  <c r="O648" i="16"/>
  <c r="Q648" i="16" s="1"/>
  <c r="O649" i="16"/>
  <c r="O650" i="16"/>
  <c r="O651" i="16"/>
  <c r="O652" i="16"/>
  <c r="O653" i="16"/>
  <c r="O654" i="16"/>
  <c r="O655" i="16"/>
  <c r="O656" i="16"/>
  <c r="Q656" i="16" s="1"/>
  <c r="O657" i="16"/>
  <c r="O658" i="16"/>
  <c r="O659" i="16"/>
  <c r="O660" i="16"/>
  <c r="O661" i="16"/>
  <c r="O662" i="16"/>
  <c r="O663" i="16"/>
  <c r="O664" i="16"/>
  <c r="Q664" i="16" s="1"/>
  <c r="O665" i="16"/>
  <c r="O666" i="16"/>
  <c r="O667" i="16"/>
  <c r="O668" i="16"/>
  <c r="O669" i="16"/>
  <c r="O670" i="16"/>
  <c r="O671" i="16"/>
  <c r="O672" i="16"/>
  <c r="Q672" i="16" s="1"/>
  <c r="O673" i="16"/>
  <c r="O674" i="16"/>
  <c r="O675" i="16"/>
  <c r="O676" i="16"/>
  <c r="O677" i="16"/>
  <c r="O678" i="16"/>
  <c r="O679" i="16"/>
  <c r="O680" i="16"/>
  <c r="O681" i="16"/>
  <c r="O682" i="16"/>
  <c r="O683" i="16"/>
  <c r="O684" i="16"/>
  <c r="O685" i="16"/>
  <c r="O686" i="16"/>
  <c r="O687" i="16"/>
  <c r="O688" i="16"/>
  <c r="Q688" i="16" s="1"/>
  <c r="O689" i="16"/>
  <c r="O690" i="16"/>
  <c r="O691" i="16"/>
  <c r="O692" i="16"/>
  <c r="O693" i="16"/>
  <c r="O694" i="16"/>
  <c r="O695" i="16"/>
  <c r="O696" i="16"/>
  <c r="Q696" i="16" s="1"/>
  <c r="O697" i="16"/>
  <c r="O698" i="16"/>
  <c r="O699" i="16"/>
  <c r="O700" i="16"/>
  <c r="O701" i="16"/>
  <c r="O702" i="16"/>
  <c r="O703" i="16"/>
  <c r="O704" i="16"/>
  <c r="Q704" i="16" s="1"/>
  <c r="O705" i="16"/>
  <c r="O706" i="16"/>
  <c r="O707" i="16"/>
  <c r="O708" i="16"/>
  <c r="O709" i="16"/>
  <c r="O710" i="16"/>
  <c r="O711" i="16"/>
  <c r="O712" i="16"/>
  <c r="Q712" i="16" s="1"/>
  <c r="O713" i="16"/>
  <c r="O714" i="16"/>
  <c r="O715" i="16"/>
  <c r="O716" i="16"/>
  <c r="O717" i="16"/>
  <c r="O718" i="16"/>
  <c r="O719" i="16"/>
  <c r="O720" i="16"/>
  <c r="Q720" i="16" s="1"/>
  <c r="O721" i="16"/>
  <c r="O722" i="16"/>
  <c r="O723" i="16"/>
  <c r="O724" i="16"/>
  <c r="O725" i="16"/>
  <c r="O726" i="16"/>
  <c r="O608" i="16"/>
  <c r="O607" i="16"/>
  <c r="N609" i="16"/>
  <c r="N610" i="16"/>
  <c r="N611" i="16"/>
  <c r="N612" i="16"/>
  <c r="N613" i="16"/>
  <c r="N614" i="16"/>
  <c r="N615" i="16"/>
  <c r="N616" i="16"/>
  <c r="P616" i="16" s="1"/>
  <c r="N617" i="16"/>
  <c r="N618" i="16"/>
  <c r="N619" i="16"/>
  <c r="N620" i="16"/>
  <c r="N621" i="16"/>
  <c r="N622" i="16"/>
  <c r="N623" i="16"/>
  <c r="N624" i="16"/>
  <c r="P624" i="16" s="1"/>
  <c r="N625" i="16"/>
  <c r="N626" i="16"/>
  <c r="N627" i="16"/>
  <c r="N628" i="16"/>
  <c r="N629" i="16"/>
  <c r="N630" i="16"/>
  <c r="N631" i="16"/>
  <c r="N632" i="16"/>
  <c r="P632" i="16" s="1"/>
  <c r="N633" i="16"/>
  <c r="N634" i="16"/>
  <c r="N635" i="16"/>
  <c r="N636" i="16"/>
  <c r="N637" i="16"/>
  <c r="N638" i="16"/>
  <c r="N639" i="16"/>
  <c r="N640" i="16"/>
  <c r="P640" i="16" s="1"/>
  <c r="N641" i="16"/>
  <c r="N642" i="16"/>
  <c r="N643" i="16"/>
  <c r="N644" i="16"/>
  <c r="N645" i="16"/>
  <c r="N646" i="16"/>
  <c r="N647" i="16"/>
  <c r="N648" i="16"/>
  <c r="P648" i="16" s="1"/>
  <c r="N649" i="16"/>
  <c r="N650" i="16"/>
  <c r="N651" i="16"/>
  <c r="N652" i="16"/>
  <c r="N653" i="16"/>
  <c r="N654" i="16"/>
  <c r="N655" i="16"/>
  <c r="N656" i="16"/>
  <c r="P656" i="16" s="1"/>
  <c r="N657" i="16"/>
  <c r="N658" i="16"/>
  <c r="N659" i="16"/>
  <c r="N660" i="16"/>
  <c r="N661" i="16"/>
  <c r="N662" i="16"/>
  <c r="N663" i="16"/>
  <c r="N664" i="16"/>
  <c r="P664" i="16" s="1"/>
  <c r="N665" i="16"/>
  <c r="N666" i="16"/>
  <c r="N667" i="16"/>
  <c r="N668" i="16"/>
  <c r="N669" i="16"/>
  <c r="N670" i="16"/>
  <c r="N671" i="16"/>
  <c r="N672" i="16"/>
  <c r="P672" i="16" s="1"/>
  <c r="N673" i="16"/>
  <c r="N674" i="16"/>
  <c r="N675" i="16"/>
  <c r="N676" i="16"/>
  <c r="N677" i="16"/>
  <c r="N678" i="16"/>
  <c r="N679" i="16"/>
  <c r="N680" i="16"/>
  <c r="P680" i="16" s="1"/>
  <c r="N681" i="16"/>
  <c r="N682" i="16"/>
  <c r="N683" i="16"/>
  <c r="N684" i="16"/>
  <c r="N685" i="16"/>
  <c r="N686" i="16"/>
  <c r="N687" i="16"/>
  <c r="N688" i="16"/>
  <c r="P688" i="16" s="1"/>
  <c r="N689" i="16"/>
  <c r="N690" i="16"/>
  <c r="N691" i="16"/>
  <c r="N692" i="16"/>
  <c r="N693" i="16"/>
  <c r="N694" i="16"/>
  <c r="N695" i="16"/>
  <c r="N696" i="16"/>
  <c r="P696" i="16" s="1"/>
  <c r="N697" i="16"/>
  <c r="N698" i="16"/>
  <c r="N699" i="16"/>
  <c r="N700" i="16"/>
  <c r="N701" i="16"/>
  <c r="N702" i="16"/>
  <c r="N703" i="16"/>
  <c r="N704" i="16"/>
  <c r="P704" i="16" s="1"/>
  <c r="N705" i="16"/>
  <c r="N706" i="16"/>
  <c r="N707" i="16"/>
  <c r="N708" i="16"/>
  <c r="N709" i="16"/>
  <c r="N710" i="16"/>
  <c r="N711" i="16"/>
  <c r="N712" i="16"/>
  <c r="P712" i="16" s="1"/>
  <c r="N713" i="16"/>
  <c r="N714" i="16"/>
  <c r="N715" i="16"/>
  <c r="N716" i="16"/>
  <c r="N717" i="16"/>
  <c r="N718" i="16"/>
  <c r="N719" i="16"/>
  <c r="N720" i="16"/>
  <c r="P720" i="16" s="1"/>
  <c r="N721" i="16"/>
  <c r="N722" i="16"/>
  <c r="N723" i="16"/>
  <c r="N724" i="16"/>
  <c r="N725" i="16"/>
  <c r="N726" i="16"/>
  <c r="N608" i="16"/>
  <c r="P608" i="16" s="1"/>
  <c r="N607" i="16"/>
  <c r="Y238" i="16"/>
  <c r="X238" i="16"/>
  <c r="Y237" i="16"/>
  <c r="Y236" i="16"/>
  <c r="Y235" i="16"/>
  <c r="Y234" i="16"/>
  <c r="Y233" i="16"/>
  <c r="X237" i="16"/>
  <c r="X236" i="16"/>
  <c r="X235" i="16"/>
  <c r="X234" i="16"/>
  <c r="X233" i="16"/>
  <c r="U237" i="16"/>
  <c r="U236" i="16"/>
  <c r="U235" i="16"/>
  <c r="U234" i="16"/>
  <c r="U233" i="16"/>
  <c r="U238" i="16"/>
  <c r="T238" i="16"/>
  <c r="T237" i="16"/>
  <c r="T236" i="16"/>
  <c r="T235" i="16"/>
  <c r="T234" i="16"/>
  <c r="T233" i="16"/>
  <c r="Q851" i="16"/>
  <c r="P851" i="16"/>
  <c r="M851" i="16"/>
  <c r="P850" i="16"/>
  <c r="Q850" i="16"/>
  <c r="M850" i="16"/>
  <c r="Q849" i="16"/>
  <c r="M849" i="16"/>
  <c r="P849" i="16" s="1"/>
  <c r="Q848" i="16"/>
  <c r="P848" i="16"/>
  <c r="M848" i="16"/>
  <c r="Q847" i="16"/>
  <c r="M847" i="16"/>
  <c r="Q846" i="16"/>
  <c r="P846" i="16"/>
  <c r="M846" i="16"/>
  <c r="M845" i="16"/>
  <c r="Q844" i="16"/>
  <c r="P844" i="16"/>
  <c r="M844" i="16"/>
  <c r="Q843" i="16"/>
  <c r="M843" i="16"/>
  <c r="P842" i="16"/>
  <c r="Q842" i="16"/>
  <c r="M842" i="16"/>
  <c r="Q841" i="16"/>
  <c r="M841" i="16"/>
  <c r="P841" i="16" s="1"/>
  <c r="Q840" i="16"/>
  <c r="P840" i="16"/>
  <c r="M840" i="16"/>
  <c r="Q839" i="16"/>
  <c r="M839" i="16"/>
  <c r="Q838" i="16"/>
  <c r="P838" i="16"/>
  <c r="M838" i="16"/>
  <c r="M837" i="16"/>
  <c r="Q836" i="16"/>
  <c r="P836" i="16"/>
  <c r="M836" i="16"/>
  <c r="Q835" i="16"/>
  <c r="M835" i="16"/>
  <c r="P834" i="16"/>
  <c r="Q834" i="16"/>
  <c r="M834" i="16"/>
  <c r="M833" i="16"/>
  <c r="Q833" i="16" s="1"/>
  <c r="Q832" i="16"/>
  <c r="P832" i="16"/>
  <c r="M832" i="16"/>
  <c r="Q831" i="16"/>
  <c r="M831" i="16"/>
  <c r="P830" i="16"/>
  <c r="Q830" i="16"/>
  <c r="M830" i="16"/>
  <c r="Q829" i="16"/>
  <c r="M829" i="16"/>
  <c r="Q828" i="16"/>
  <c r="P828" i="16"/>
  <c r="M828" i="16"/>
  <c r="Q827" i="16"/>
  <c r="M827" i="16"/>
  <c r="P826" i="16"/>
  <c r="Q826" i="16"/>
  <c r="M826" i="16"/>
  <c r="M825" i="16"/>
  <c r="Q825" i="16" s="1"/>
  <c r="Q824" i="16"/>
  <c r="P824" i="16"/>
  <c r="M824" i="16"/>
  <c r="Q823" i="16"/>
  <c r="P823" i="16"/>
  <c r="M823" i="16"/>
  <c r="P822" i="16"/>
  <c r="Q822" i="16"/>
  <c r="M822" i="16"/>
  <c r="M821" i="16"/>
  <c r="Q820" i="16"/>
  <c r="M820" i="16"/>
  <c r="Q819" i="16"/>
  <c r="P819" i="16"/>
  <c r="M819" i="16"/>
  <c r="P818" i="16"/>
  <c r="Q818" i="16"/>
  <c r="M818" i="16"/>
  <c r="M817" i="16"/>
  <c r="Q817" i="16" s="1"/>
  <c r="Q816" i="16"/>
  <c r="P816" i="16"/>
  <c r="M816" i="16"/>
  <c r="Q815" i="16"/>
  <c r="P815" i="16"/>
  <c r="M815" i="16"/>
  <c r="Q814" i="16"/>
  <c r="M814" i="16"/>
  <c r="P813" i="16"/>
  <c r="M813" i="16"/>
  <c r="Q812" i="16"/>
  <c r="M812" i="16"/>
  <c r="Q811" i="16"/>
  <c r="P811" i="16"/>
  <c r="M811" i="16"/>
  <c r="P810" i="16"/>
  <c r="Q810" i="16"/>
  <c r="M810" i="16"/>
  <c r="M809" i="16"/>
  <c r="Q809" i="16" s="1"/>
  <c r="Q808" i="16"/>
  <c r="P808" i="16"/>
  <c r="M808" i="16"/>
  <c r="Q807" i="16"/>
  <c r="P807" i="16"/>
  <c r="M807" i="16"/>
  <c r="Q806" i="16"/>
  <c r="M806" i="16"/>
  <c r="M805" i="16"/>
  <c r="Q804" i="16"/>
  <c r="M804" i="16"/>
  <c r="Q803" i="16"/>
  <c r="P803" i="16"/>
  <c r="M803" i="16"/>
  <c r="P802" i="16"/>
  <c r="Q802" i="16"/>
  <c r="M802" i="16"/>
  <c r="M801" i="16"/>
  <c r="Q801" i="16" s="1"/>
  <c r="Q800" i="16"/>
  <c r="P800" i="16"/>
  <c r="M800" i="16"/>
  <c r="Q799" i="16"/>
  <c r="M799" i="16"/>
  <c r="Q798" i="16"/>
  <c r="M798" i="16"/>
  <c r="M797" i="16"/>
  <c r="Q796" i="16"/>
  <c r="M796" i="16"/>
  <c r="Q795" i="16"/>
  <c r="P795" i="16"/>
  <c r="M795" i="16"/>
  <c r="P794" i="16"/>
  <c r="Q794" i="16"/>
  <c r="M794" i="16"/>
  <c r="M793" i="16"/>
  <c r="Q793" i="16" s="1"/>
  <c r="Q792" i="16"/>
  <c r="P792" i="16"/>
  <c r="M792" i="16"/>
  <c r="Q791" i="16"/>
  <c r="M791" i="16"/>
  <c r="Q790" i="16"/>
  <c r="M790" i="16"/>
  <c r="M789" i="16"/>
  <c r="Q788" i="16"/>
  <c r="P788" i="16"/>
  <c r="M788" i="16"/>
  <c r="Q787" i="16"/>
  <c r="P787" i="16"/>
  <c r="M787" i="16"/>
  <c r="P786" i="16"/>
  <c r="M786" i="16"/>
  <c r="Q786" i="16" s="1"/>
  <c r="M785" i="16"/>
  <c r="Q785" i="16" s="1"/>
  <c r="Q784" i="16"/>
  <c r="P784" i="16"/>
  <c r="M784" i="16"/>
  <c r="Q783" i="16"/>
  <c r="M783" i="16"/>
  <c r="P782" i="16"/>
  <c r="Q782" i="16"/>
  <c r="M782" i="16"/>
  <c r="M781" i="16"/>
  <c r="Q780" i="16"/>
  <c r="P780" i="16"/>
  <c r="M780" i="16"/>
  <c r="Q779" i="16"/>
  <c r="M779" i="16"/>
  <c r="P778" i="16"/>
  <c r="M778" i="16"/>
  <c r="Q778" i="16" s="1"/>
  <c r="M777" i="16"/>
  <c r="Q777" i="16" s="1"/>
  <c r="Q776" i="16"/>
  <c r="P776" i="16"/>
  <c r="M776" i="16"/>
  <c r="Q775" i="16"/>
  <c r="M775" i="16"/>
  <c r="P774" i="16"/>
  <c r="Q774" i="16"/>
  <c r="M774" i="16"/>
  <c r="M773" i="16"/>
  <c r="Q772" i="16"/>
  <c r="P772" i="16"/>
  <c r="M772" i="16"/>
  <c r="Q771" i="16"/>
  <c r="M771" i="16"/>
  <c r="P770" i="16"/>
  <c r="Q770" i="16"/>
  <c r="M770" i="16"/>
  <c r="M769" i="16"/>
  <c r="Q769" i="16" s="1"/>
  <c r="Q768" i="16"/>
  <c r="P768" i="16"/>
  <c r="M768" i="16"/>
  <c r="Q767" i="16"/>
  <c r="P767" i="16"/>
  <c r="M767" i="16"/>
  <c r="P766" i="16"/>
  <c r="Q766" i="16"/>
  <c r="M766" i="16"/>
  <c r="Q765" i="16"/>
  <c r="M765" i="16"/>
  <c r="Q764" i="16"/>
  <c r="P764" i="16"/>
  <c r="M764" i="16"/>
  <c r="Q763" i="16"/>
  <c r="M763" i="16"/>
  <c r="P762" i="16"/>
  <c r="Q762" i="16"/>
  <c r="M762" i="16"/>
  <c r="M761" i="16"/>
  <c r="Q761" i="16" s="1"/>
  <c r="Q760" i="16"/>
  <c r="P760" i="16"/>
  <c r="M760" i="16"/>
  <c r="Q759" i="16"/>
  <c r="P759" i="16"/>
  <c r="M759" i="16"/>
  <c r="P758" i="16"/>
  <c r="Q758" i="16"/>
  <c r="M758" i="16"/>
  <c r="M757" i="16"/>
  <c r="Q756" i="16"/>
  <c r="M756" i="16"/>
  <c r="Q755" i="16"/>
  <c r="P755" i="16"/>
  <c r="M755" i="16"/>
  <c r="P754" i="16"/>
  <c r="Q754" i="16"/>
  <c r="M754" i="16"/>
  <c r="M753" i="16"/>
  <c r="Q753" i="16" s="1"/>
  <c r="Q752" i="16"/>
  <c r="P752" i="16"/>
  <c r="M752" i="16"/>
  <c r="Q751" i="16"/>
  <c r="P751" i="16"/>
  <c r="M751" i="16"/>
  <c r="Q750" i="16"/>
  <c r="M750" i="16"/>
  <c r="P749" i="16"/>
  <c r="M749" i="16"/>
  <c r="Q748" i="16"/>
  <c r="M748" i="16"/>
  <c r="Q747" i="16"/>
  <c r="P747" i="16"/>
  <c r="M747" i="16"/>
  <c r="P746" i="16"/>
  <c r="Q746" i="16"/>
  <c r="M746" i="16"/>
  <c r="M745" i="16"/>
  <c r="Q745" i="16" s="1"/>
  <c r="Q744" i="16"/>
  <c r="P744" i="16"/>
  <c r="M744" i="16"/>
  <c r="Q743" i="16"/>
  <c r="P743" i="16"/>
  <c r="M743" i="16"/>
  <c r="Q742" i="16"/>
  <c r="M742" i="16"/>
  <c r="P741" i="16"/>
  <c r="M741" i="16"/>
  <c r="Q740" i="16"/>
  <c r="M740" i="16"/>
  <c r="Q739" i="16"/>
  <c r="P739" i="16"/>
  <c r="M739" i="16"/>
  <c r="P738" i="16"/>
  <c r="Q738" i="16"/>
  <c r="M738" i="16"/>
  <c r="M737" i="16"/>
  <c r="Q737" i="16" s="1"/>
  <c r="Q736" i="16"/>
  <c r="P736" i="16"/>
  <c r="M736" i="16"/>
  <c r="Q735" i="16"/>
  <c r="M735" i="16"/>
  <c r="Q734" i="16"/>
  <c r="M734" i="16"/>
  <c r="Q733" i="16"/>
  <c r="M733" i="16"/>
  <c r="P732" i="16"/>
  <c r="M732" i="16"/>
  <c r="Q726" i="16"/>
  <c r="P726" i="16"/>
  <c r="M726" i="16"/>
  <c r="Q725" i="16"/>
  <c r="P725" i="16"/>
  <c r="M725" i="16"/>
  <c r="Q724" i="16"/>
  <c r="P724" i="16"/>
  <c r="M724" i="16"/>
  <c r="Q723" i="16"/>
  <c r="P723" i="16"/>
  <c r="M723" i="16"/>
  <c r="P722" i="16"/>
  <c r="M722" i="16"/>
  <c r="Q722" i="16" s="1"/>
  <c r="P721" i="16"/>
  <c r="Q721" i="16"/>
  <c r="M721" i="16"/>
  <c r="M720" i="16"/>
  <c r="M719" i="16"/>
  <c r="Q719" i="16" s="1"/>
  <c r="Q718" i="16"/>
  <c r="P718" i="16"/>
  <c r="M718" i="16"/>
  <c r="Q717" i="16"/>
  <c r="P717" i="16"/>
  <c r="M717" i="16"/>
  <c r="Q716" i="16"/>
  <c r="P716" i="16"/>
  <c r="M716" i="16"/>
  <c r="Q715" i="16"/>
  <c r="P715" i="16"/>
  <c r="M715" i="16"/>
  <c r="Q714" i="16"/>
  <c r="P714" i="16"/>
  <c r="M714" i="16"/>
  <c r="P713" i="16"/>
  <c r="Q713" i="16"/>
  <c r="M713" i="16"/>
  <c r="M712" i="16"/>
  <c r="M711" i="16"/>
  <c r="Q711" i="16" s="1"/>
  <c r="Q710" i="16"/>
  <c r="P710" i="16"/>
  <c r="M710" i="16"/>
  <c r="Q709" i="16"/>
  <c r="P709" i="16"/>
  <c r="M709" i="16"/>
  <c r="Q708" i="16"/>
  <c r="P708" i="16"/>
  <c r="M708" i="16"/>
  <c r="Q707" i="16"/>
  <c r="P707" i="16"/>
  <c r="M707" i="16"/>
  <c r="Q706" i="16"/>
  <c r="P706" i="16"/>
  <c r="M706" i="16"/>
  <c r="P705" i="16"/>
  <c r="Q705" i="16"/>
  <c r="M705" i="16"/>
  <c r="M704" i="16"/>
  <c r="M703" i="16"/>
  <c r="Q703" i="16" s="1"/>
  <c r="Q702" i="16"/>
  <c r="P702" i="16"/>
  <c r="M702" i="16"/>
  <c r="Q701" i="16"/>
  <c r="P701" i="16"/>
  <c r="M701" i="16"/>
  <c r="P700" i="16"/>
  <c r="Q700" i="16"/>
  <c r="M700" i="16"/>
  <c r="Q699" i="16"/>
  <c r="P699" i="16"/>
  <c r="M699" i="16"/>
  <c r="Q698" i="16"/>
  <c r="P698" i="16"/>
  <c r="M698" i="16"/>
  <c r="P697" i="16"/>
  <c r="Q697" i="16"/>
  <c r="M697" i="16"/>
  <c r="M696" i="16"/>
  <c r="M695" i="16"/>
  <c r="Q695" i="16" s="1"/>
  <c r="Q694" i="16"/>
  <c r="P694" i="16"/>
  <c r="M694" i="16"/>
  <c r="Q693" i="16"/>
  <c r="P693" i="16"/>
  <c r="M693" i="16"/>
  <c r="Q692" i="16"/>
  <c r="P692" i="16"/>
  <c r="M692" i="16"/>
  <c r="Q691" i="16"/>
  <c r="P691" i="16"/>
  <c r="M691" i="16"/>
  <c r="Q690" i="16"/>
  <c r="P690" i="16"/>
  <c r="M690" i="16"/>
  <c r="P689" i="16"/>
  <c r="Q689" i="16"/>
  <c r="M689" i="16"/>
  <c r="M688" i="16"/>
  <c r="M687" i="16"/>
  <c r="Q687" i="16" s="1"/>
  <c r="Q686" i="16"/>
  <c r="P686" i="16"/>
  <c r="M686" i="16"/>
  <c r="Q685" i="16"/>
  <c r="P685" i="16"/>
  <c r="M685" i="16"/>
  <c r="Q684" i="16"/>
  <c r="P684" i="16"/>
  <c r="M684" i="16"/>
  <c r="Q683" i="16"/>
  <c r="P683" i="16"/>
  <c r="M683" i="16"/>
  <c r="Q682" i="16"/>
  <c r="P682" i="16"/>
  <c r="M682" i="16"/>
  <c r="P681" i="16"/>
  <c r="Q681" i="16"/>
  <c r="M681" i="16"/>
  <c r="Q680" i="16"/>
  <c r="M680" i="16"/>
  <c r="M679" i="16"/>
  <c r="Q679" i="16" s="1"/>
  <c r="Q678" i="16"/>
  <c r="P678" i="16"/>
  <c r="M678" i="16"/>
  <c r="Q677" i="16"/>
  <c r="P677" i="16"/>
  <c r="M677" i="16"/>
  <c r="Q676" i="16"/>
  <c r="P676" i="16"/>
  <c r="M676" i="16"/>
  <c r="Q675" i="16"/>
  <c r="P675" i="16"/>
  <c r="M675" i="16"/>
  <c r="Q674" i="16"/>
  <c r="P674" i="16"/>
  <c r="M674" i="16"/>
  <c r="P673" i="16"/>
  <c r="Q673" i="16"/>
  <c r="M673" i="16"/>
  <c r="M672" i="16"/>
  <c r="M671" i="16"/>
  <c r="Q671" i="16" s="1"/>
  <c r="Q670" i="16"/>
  <c r="P670" i="16"/>
  <c r="M670" i="16"/>
  <c r="Q669" i="16"/>
  <c r="P669" i="16"/>
  <c r="M669" i="16"/>
  <c r="Q668" i="16"/>
  <c r="P668" i="16"/>
  <c r="M668" i="16"/>
  <c r="Q667" i="16"/>
  <c r="P667" i="16"/>
  <c r="M667" i="16"/>
  <c r="Q666" i="16"/>
  <c r="P666" i="16"/>
  <c r="M666" i="16"/>
  <c r="P665" i="16"/>
  <c r="Q665" i="16"/>
  <c r="M665" i="16"/>
  <c r="M664" i="16"/>
  <c r="M663" i="16"/>
  <c r="Q663" i="16" s="1"/>
  <c r="Q662" i="16"/>
  <c r="P662" i="16"/>
  <c r="M662" i="16"/>
  <c r="Q661" i="16"/>
  <c r="P661" i="16"/>
  <c r="M661" i="16"/>
  <c r="Q660" i="16"/>
  <c r="P660" i="16"/>
  <c r="M660" i="16"/>
  <c r="Q659" i="16"/>
  <c r="P659" i="16"/>
  <c r="M659" i="16"/>
  <c r="Q658" i="16"/>
  <c r="P658" i="16"/>
  <c r="M658" i="16"/>
  <c r="P657" i="16"/>
  <c r="Q657" i="16"/>
  <c r="M657" i="16"/>
  <c r="M656" i="16"/>
  <c r="M655" i="16"/>
  <c r="Q655" i="16" s="1"/>
  <c r="Q654" i="16"/>
  <c r="P654" i="16"/>
  <c r="M654" i="16"/>
  <c r="Q653" i="16"/>
  <c r="P653" i="16"/>
  <c r="M653" i="16"/>
  <c r="Q652" i="16"/>
  <c r="P652" i="16"/>
  <c r="M652" i="16"/>
  <c r="Q651" i="16"/>
  <c r="P651" i="16"/>
  <c r="M651" i="16"/>
  <c r="Q650" i="16"/>
  <c r="P650" i="16"/>
  <c r="M650" i="16"/>
  <c r="P649" i="16"/>
  <c r="Q649" i="16"/>
  <c r="M649" i="16"/>
  <c r="M648" i="16"/>
  <c r="M647" i="16"/>
  <c r="Q647" i="16" s="1"/>
  <c r="Q646" i="16"/>
  <c r="P646" i="16"/>
  <c r="M646" i="16"/>
  <c r="Q645" i="16"/>
  <c r="P645" i="16"/>
  <c r="M645" i="16"/>
  <c r="Q644" i="16"/>
  <c r="P644" i="16"/>
  <c r="M644" i="16"/>
  <c r="Q643" i="16"/>
  <c r="P643" i="16"/>
  <c r="M643" i="16"/>
  <c r="Q642" i="16"/>
  <c r="P642" i="16"/>
  <c r="M642" i="16"/>
  <c r="P641" i="16"/>
  <c r="Q641" i="16"/>
  <c r="M641" i="16"/>
  <c r="M640" i="16"/>
  <c r="M639" i="16"/>
  <c r="Q639" i="16" s="1"/>
  <c r="Q638" i="16"/>
  <c r="P638" i="16"/>
  <c r="M638" i="16"/>
  <c r="P637" i="16"/>
  <c r="Q637" i="16"/>
  <c r="M637" i="16"/>
  <c r="Q636" i="16"/>
  <c r="P636" i="16"/>
  <c r="M636" i="16"/>
  <c r="Q635" i="16"/>
  <c r="P635" i="16"/>
  <c r="M635" i="16"/>
  <c r="Q634" i="16"/>
  <c r="P634" i="16"/>
  <c r="M634" i="16"/>
  <c r="P633" i="16"/>
  <c r="Q633" i="16"/>
  <c r="M633" i="16"/>
  <c r="M632" i="16"/>
  <c r="M631" i="16"/>
  <c r="Q631" i="16" s="1"/>
  <c r="Q630" i="16"/>
  <c r="P630" i="16"/>
  <c r="M630" i="16"/>
  <c r="P629" i="16"/>
  <c r="Q629" i="16"/>
  <c r="M629" i="16"/>
  <c r="Q628" i="16"/>
  <c r="P628" i="16"/>
  <c r="M628" i="16"/>
  <c r="Q627" i="16"/>
  <c r="P627" i="16"/>
  <c r="M627" i="16"/>
  <c r="Q626" i="16"/>
  <c r="P626" i="16"/>
  <c r="M626" i="16"/>
  <c r="P625" i="16"/>
  <c r="Q625" i="16"/>
  <c r="M625" i="16"/>
  <c r="M624" i="16"/>
  <c r="M623" i="16"/>
  <c r="Q623" i="16" s="1"/>
  <c r="Q622" i="16"/>
  <c r="P622" i="16"/>
  <c r="M622" i="16"/>
  <c r="P621" i="16"/>
  <c r="Q621" i="16"/>
  <c r="M621" i="16"/>
  <c r="Q620" i="16"/>
  <c r="P620" i="16"/>
  <c r="M620" i="16"/>
  <c r="Q619" i="16"/>
  <c r="P619" i="16"/>
  <c r="M619" i="16"/>
  <c r="Q618" i="16"/>
  <c r="P618" i="16"/>
  <c r="M618" i="16"/>
  <c r="P617" i="16"/>
  <c r="Q617" i="16"/>
  <c r="M617" i="16"/>
  <c r="M616" i="16"/>
  <c r="M615" i="16"/>
  <c r="Q615" i="16" s="1"/>
  <c r="Q614" i="16"/>
  <c r="P614" i="16"/>
  <c r="M614" i="16"/>
  <c r="P613" i="16"/>
  <c r="Q613" i="16"/>
  <c r="M613" i="16"/>
  <c r="Q612" i="16"/>
  <c r="P612" i="16"/>
  <c r="M612" i="16"/>
  <c r="Q611" i="16"/>
  <c r="P611" i="16"/>
  <c r="M611" i="16"/>
  <c r="Q610" i="16"/>
  <c r="P610" i="16"/>
  <c r="M610" i="16"/>
  <c r="P609" i="16"/>
  <c r="Q609" i="16"/>
  <c r="M609" i="16"/>
  <c r="M608" i="16"/>
  <c r="Q608" i="16" s="1"/>
  <c r="M607" i="16"/>
  <c r="Q607" i="16" s="1"/>
  <c r="Q616" i="16" l="1"/>
  <c r="Q632" i="16"/>
  <c r="Q624" i="16"/>
  <c r="P737" i="16"/>
  <c r="P745" i="16"/>
  <c r="P753" i="16"/>
  <c r="P761" i="16"/>
  <c r="P769" i="16"/>
  <c r="P777" i="16"/>
  <c r="P785" i="16"/>
  <c r="P793" i="16"/>
  <c r="P801" i="16"/>
  <c r="P809" i="16"/>
  <c r="P817" i="16"/>
  <c r="P825" i="16"/>
  <c r="P833" i="16"/>
  <c r="P607" i="16"/>
  <c r="P615" i="16"/>
  <c r="P623" i="16"/>
  <c r="P631" i="16"/>
  <c r="P639" i="16"/>
  <c r="P647" i="16"/>
  <c r="P655" i="16"/>
  <c r="P663" i="16"/>
  <c r="P671" i="16"/>
  <c r="P679" i="16"/>
  <c r="P687" i="16"/>
  <c r="P695" i="16"/>
  <c r="P703" i="16"/>
  <c r="P711" i="16"/>
  <c r="P719" i="16"/>
  <c r="U46" i="14"/>
  <c r="T46" i="14"/>
  <c r="U45" i="14"/>
  <c r="T45" i="14"/>
  <c r="M601" i="16"/>
  <c r="M600" i="16"/>
  <c r="M599" i="16"/>
  <c r="M598" i="16"/>
  <c r="M597" i="16"/>
  <c r="M596" i="16"/>
  <c r="M595" i="16"/>
  <c r="M594" i="16"/>
  <c r="M593" i="16"/>
  <c r="M592" i="16"/>
  <c r="M591" i="16"/>
  <c r="M590" i="16"/>
  <c r="M589" i="16"/>
  <c r="M588" i="16"/>
  <c r="M587" i="16"/>
  <c r="M586" i="16"/>
  <c r="M585" i="16"/>
  <c r="M584" i="16"/>
  <c r="M583" i="16"/>
  <c r="M582" i="16"/>
  <c r="M581" i="16"/>
  <c r="M580" i="16"/>
  <c r="M579" i="16"/>
  <c r="M578" i="16"/>
  <c r="M577" i="16"/>
  <c r="M576" i="16"/>
  <c r="M575" i="16"/>
  <c r="M574" i="16"/>
  <c r="M573" i="16"/>
  <c r="M572" i="16"/>
  <c r="M571" i="16"/>
  <c r="M570" i="16"/>
  <c r="M569" i="16"/>
  <c r="M568" i="16"/>
  <c r="M567" i="16"/>
  <c r="M566" i="16"/>
  <c r="M565" i="16"/>
  <c r="M564" i="16"/>
  <c r="M563" i="16"/>
  <c r="M562" i="16"/>
  <c r="M561" i="16"/>
  <c r="M560" i="16"/>
  <c r="M559" i="16"/>
  <c r="M558" i="16"/>
  <c r="M557" i="16"/>
  <c r="M556" i="16"/>
  <c r="M555" i="16"/>
  <c r="M554" i="16"/>
  <c r="M553" i="16"/>
  <c r="M552" i="16"/>
  <c r="M551" i="16"/>
  <c r="M550" i="16"/>
  <c r="M549" i="16"/>
  <c r="M548" i="16"/>
  <c r="M547" i="16"/>
  <c r="M546" i="16"/>
  <c r="M545" i="16"/>
  <c r="M544" i="16"/>
  <c r="M543" i="16"/>
  <c r="M542" i="16"/>
  <c r="M541" i="16"/>
  <c r="M540" i="16"/>
  <c r="M539" i="16"/>
  <c r="M538" i="16"/>
  <c r="M537" i="16"/>
  <c r="M536" i="16"/>
  <c r="M535" i="16"/>
  <c r="M534" i="16"/>
  <c r="M533" i="16"/>
  <c r="M532" i="16"/>
  <c r="M531" i="16"/>
  <c r="M530" i="16"/>
  <c r="M529" i="16"/>
  <c r="M528" i="16"/>
  <c r="M527" i="16"/>
  <c r="M526" i="16"/>
  <c r="M525" i="16"/>
  <c r="M524" i="16"/>
  <c r="M523" i="16"/>
  <c r="M522" i="16"/>
  <c r="M521" i="16"/>
  <c r="M520" i="16"/>
  <c r="M519" i="16"/>
  <c r="M518" i="16"/>
  <c r="M517" i="16"/>
  <c r="M516" i="16"/>
  <c r="M515" i="16"/>
  <c r="M514" i="16"/>
  <c r="M513" i="16"/>
  <c r="M512" i="16"/>
  <c r="M511" i="16"/>
  <c r="M510" i="16"/>
  <c r="M509" i="16"/>
  <c r="M508" i="16"/>
  <c r="M507" i="16"/>
  <c r="M506" i="16"/>
  <c r="M505" i="16"/>
  <c r="M504" i="16"/>
  <c r="M503" i="16"/>
  <c r="M502" i="16"/>
  <c r="M501" i="16"/>
  <c r="M500" i="16"/>
  <c r="M499" i="16"/>
  <c r="M498" i="16"/>
  <c r="M497" i="16"/>
  <c r="M496" i="16"/>
  <c r="M495" i="16"/>
  <c r="M494" i="16"/>
  <c r="M493" i="16"/>
  <c r="M492" i="16"/>
  <c r="M491" i="16"/>
  <c r="M490" i="16"/>
  <c r="M489" i="16"/>
  <c r="M488" i="16"/>
  <c r="M487" i="16"/>
  <c r="M486" i="16"/>
  <c r="M485" i="16"/>
  <c r="M484" i="16"/>
  <c r="M483" i="16"/>
  <c r="M482" i="16"/>
  <c r="M476" i="16"/>
  <c r="M475" i="16"/>
  <c r="M474" i="16"/>
  <c r="M473" i="16"/>
  <c r="M472" i="16"/>
  <c r="M471" i="16"/>
  <c r="M470" i="16"/>
  <c r="M469" i="16"/>
  <c r="M468" i="16"/>
  <c r="M467" i="16"/>
  <c r="M466" i="16"/>
  <c r="M465" i="16"/>
  <c r="M464" i="16"/>
  <c r="M463" i="16"/>
  <c r="M462" i="16"/>
  <c r="M461" i="16"/>
  <c r="M460" i="16"/>
  <c r="M459" i="16"/>
  <c r="M458" i="16"/>
  <c r="M457" i="16"/>
  <c r="M456" i="16"/>
  <c r="M455" i="16"/>
  <c r="M454" i="16"/>
  <c r="M453" i="16"/>
  <c r="M452" i="16"/>
  <c r="M451" i="16"/>
  <c r="M450" i="16"/>
  <c r="M449" i="16"/>
  <c r="M448" i="16"/>
  <c r="M447" i="16"/>
  <c r="M446" i="16"/>
  <c r="M445" i="16"/>
  <c r="M444" i="16"/>
  <c r="M443" i="16"/>
  <c r="M442" i="16"/>
  <c r="M441" i="16"/>
  <c r="M440" i="16"/>
  <c r="M439" i="16"/>
  <c r="M438" i="16"/>
  <c r="M437" i="16"/>
  <c r="M436" i="16"/>
  <c r="M435" i="16"/>
  <c r="M434" i="16"/>
  <c r="M433" i="16"/>
  <c r="M432" i="16"/>
  <c r="M431" i="16"/>
  <c r="M430" i="16"/>
  <c r="M429" i="16"/>
  <c r="M428" i="16"/>
  <c r="M427" i="16"/>
  <c r="M426" i="16"/>
  <c r="M425" i="16"/>
  <c r="M424" i="16"/>
  <c r="M423" i="16"/>
  <c r="M422" i="16"/>
  <c r="M421" i="16"/>
  <c r="M420" i="16"/>
  <c r="M419" i="16"/>
  <c r="M418" i="16"/>
  <c r="M417" i="16"/>
  <c r="M416" i="16"/>
  <c r="M415" i="16"/>
  <c r="M414" i="16"/>
  <c r="M413" i="16"/>
  <c r="M412" i="16"/>
  <c r="M411" i="16"/>
  <c r="M410" i="16"/>
  <c r="M409" i="16"/>
  <c r="M408" i="16"/>
  <c r="M407" i="16"/>
  <c r="M406" i="16"/>
  <c r="M405" i="16"/>
  <c r="M404" i="16"/>
  <c r="M403" i="16"/>
  <c r="M402" i="16"/>
  <c r="M401" i="16"/>
  <c r="M400" i="16"/>
  <c r="M399" i="16"/>
  <c r="M398" i="16"/>
  <c r="M397" i="16"/>
  <c r="M396" i="16"/>
  <c r="M395" i="16"/>
  <c r="M394" i="16"/>
  <c r="M393" i="16"/>
  <c r="M392" i="16"/>
  <c r="M391" i="16"/>
  <c r="M390" i="16"/>
  <c r="M389" i="16"/>
  <c r="M388" i="16"/>
  <c r="M387" i="16"/>
  <c r="M386" i="16"/>
  <c r="M385" i="16"/>
  <c r="M384" i="16"/>
  <c r="M383" i="16"/>
  <c r="M382" i="16"/>
  <c r="M381" i="16"/>
  <c r="M380" i="16"/>
  <c r="M379" i="16"/>
  <c r="M378" i="16"/>
  <c r="M377" i="16"/>
  <c r="M376" i="16"/>
  <c r="M375" i="16"/>
  <c r="M374" i="16"/>
  <c r="M373" i="16"/>
  <c r="M372" i="16"/>
  <c r="M371" i="16"/>
  <c r="M370" i="16"/>
  <c r="M369" i="16"/>
  <c r="M368" i="16"/>
  <c r="M367" i="16"/>
  <c r="M366" i="16"/>
  <c r="M365" i="16"/>
  <c r="M364" i="16"/>
  <c r="M363" i="16"/>
  <c r="M362" i="16"/>
  <c r="M361" i="16"/>
  <c r="M360" i="16"/>
  <c r="M359" i="16"/>
  <c r="M358" i="16"/>
  <c r="M357" i="16"/>
  <c r="M352" i="16"/>
  <c r="M351" i="16"/>
  <c r="M350" i="16"/>
  <c r="M349" i="16"/>
  <c r="M348" i="16"/>
  <c r="M347" i="16"/>
  <c r="M346" i="16"/>
  <c r="M345" i="16"/>
  <c r="M344" i="16"/>
  <c r="M343" i="16"/>
  <c r="M342" i="16"/>
  <c r="M341" i="16"/>
  <c r="M340" i="16"/>
  <c r="M339" i="16"/>
  <c r="M338" i="16"/>
  <c r="M337" i="16"/>
  <c r="M336" i="16"/>
  <c r="M335" i="16"/>
  <c r="M334" i="16"/>
  <c r="M333" i="16"/>
  <c r="M332" i="16"/>
  <c r="M331" i="16"/>
  <c r="M330" i="16"/>
  <c r="M329" i="16"/>
  <c r="M328" i="16"/>
  <c r="M327" i="16"/>
  <c r="M326" i="16"/>
  <c r="M325" i="16"/>
  <c r="M324" i="16"/>
  <c r="M323" i="16"/>
  <c r="M322" i="16"/>
  <c r="M321" i="16"/>
  <c r="M320" i="16"/>
  <c r="S236" i="16" s="1"/>
  <c r="M319" i="16"/>
  <c r="M318" i="16"/>
  <c r="M317" i="16"/>
  <c r="M316" i="16"/>
  <c r="M315" i="16"/>
  <c r="M314" i="16"/>
  <c r="M313" i="16"/>
  <c r="M312" i="16"/>
  <c r="M311" i="16"/>
  <c r="M310" i="16"/>
  <c r="M309" i="16"/>
  <c r="M308" i="16"/>
  <c r="M307" i="16"/>
  <c r="M306" i="16"/>
  <c r="M305" i="16"/>
  <c r="M304" i="16"/>
  <c r="M303" i="16"/>
  <c r="M302" i="16"/>
  <c r="M301" i="16"/>
  <c r="M300" i="16"/>
  <c r="M299" i="16"/>
  <c r="M298" i="16"/>
  <c r="M297" i="16"/>
  <c r="M296" i="16"/>
  <c r="M295" i="16"/>
  <c r="M294" i="16"/>
  <c r="W235" i="16" s="1"/>
  <c r="M293" i="16"/>
  <c r="M292" i="16"/>
  <c r="M291" i="16"/>
  <c r="M290" i="16"/>
  <c r="M289" i="16"/>
  <c r="M288" i="16"/>
  <c r="M287" i="16"/>
  <c r="M286" i="16"/>
  <c r="M285" i="16"/>
  <c r="M284" i="16"/>
  <c r="M283" i="16"/>
  <c r="M282" i="16"/>
  <c r="M281" i="16"/>
  <c r="M280" i="16"/>
  <c r="M279" i="16"/>
  <c r="M278" i="16"/>
  <c r="S234" i="16" s="1"/>
  <c r="M277" i="16"/>
  <c r="M276" i="16"/>
  <c r="M275" i="16"/>
  <c r="M274" i="16"/>
  <c r="M273" i="16"/>
  <c r="M272" i="16"/>
  <c r="M271" i="16"/>
  <c r="M270" i="16"/>
  <c r="M269" i="16"/>
  <c r="M268" i="16"/>
  <c r="M267" i="16"/>
  <c r="M266" i="16"/>
  <c r="M265" i="16"/>
  <c r="M264" i="16"/>
  <c r="M263" i="16"/>
  <c r="M262" i="16"/>
  <c r="M261" i="16"/>
  <c r="M260" i="16"/>
  <c r="M259" i="16"/>
  <c r="M258" i="16"/>
  <c r="M257" i="16"/>
  <c r="M256" i="16"/>
  <c r="M255" i="16"/>
  <c r="M254" i="16"/>
  <c r="M253" i="16"/>
  <c r="M252" i="16"/>
  <c r="M251" i="16"/>
  <c r="M250" i="16"/>
  <c r="M249" i="16"/>
  <c r="M248" i="16"/>
  <c r="M247" i="16"/>
  <c r="M246" i="16"/>
  <c r="M245" i="16"/>
  <c r="M244" i="16"/>
  <c r="M243" i="16"/>
  <c r="M242" i="16"/>
  <c r="M241" i="16"/>
  <c r="M240" i="16"/>
  <c r="M239" i="16"/>
  <c r="M238" i="16"/>
  <c r="M237" i="16"/>
  <c r="W236" i="16"/>
  <c r="M236" i="16"/>
  <c r="S235" i="16"/>
  <c r="M235" i="16"/>
  <c r="W234" i="16"/>
  <c r="M234" i="16"/>
  <c r="M233" i="16"/>
  <c r="B212" i="16"/>
  <c r="B211" i="16"/>
  <c r="B210" i="16"/>
  <c r="B209" i="16"/>
  <c r="B208" i="16"/>
  <c r="J207" i="16"/>
  <c r="I207" i="16"/>
  <c r="B207" i="16"/>
  <c r="I184" i="16"/>
  <c r="H184" i="16"/>
  <c r="G184" i="16"/>
  <c r="J184" i="16" s="1"/>
  <c r="F184" i="16"/>
  <c r="E184" i="16"/>
  <c r="D184" i="16"/>
  <c r="C184" i="16"/>
  <c r="I183" i="16"/>
  <c r="H183" i="16"/>
  <c r="G183" i="16"/>
  <c r="F183" i="16"/>
  <c r="E183" i="16"/>
  <c r="D183" i="16"/>
  <c r="C183" i="16"/>
  <c r="I182" i="16"/>
  <c r="H182" i="16"/>
  <c r="G182" i="16"/>
  <c r="F182" i="16"/>
  <c r="E182" i="16"/>
  <c r="D182" i="16"/>
  <c r="C182" i="16"/>
  <c r="I181" i="16"/>
  <c r="H181" i="16"/>
  <c r="G181" i="16"/>
  <c r="J181" i="16" s="1"/>
  <c r="F181" i="16"/>
  <c r="E181" i="16"/>
  <c r="D181" i="16"/>
  <c r="C181" i="16"/>
  <c r="I180" i="16"/>
  <c r="H180" i="16"/>
  <c r="G180" i="16"/>
  <c r="F180" i="16"/>
  <c r="E180" i="16"/>
  <c r="D180" i="16"/>
  <c r="C180" i="16"/>
  <c r="B179" i="16"/>
  <c r="R171" i="16"/>
  <c r="P171" i="16"/>
  <c r="I159" i="16"/>
  <c r="G159" i="16"/>
  <c r="J155" i="16"/>
  <c r="H155" i="16"/>
  <c r="E155" i="16"/>
  <c r="H159" i="16" s="1"/>
  <c r="C155" i="16"/>
  <c r="E128" i="16"/>
  <c r="B128" i="16"/>
  <c r="E127" i="16"/>
  <c r="G126" i="16"/>
  <c r="H125" i="16"/>
  <c r="B124" i="16"/>
  <c r="R91" i="16" s="1"/>
  <c r="S112" i="16"/>
  <c r="R112" i="16"/>
  <c r="G128" i="16" s="1"/>
  <c r="Q112" i="16"/>
  <c r="P112" i="16"/>
  <c r="O112" i="16"/>
  <c r="N112" i="16"/>
  <c r="M112" i="16"/>
  <c r="S111" i="16"/>
  <c r="R111" i="16"/>
  <c r="Q111" i="16"/>
  <c r="F127" i="16" s="1"/>
  <c r="J127" i="16" s="1"/>
  <c r="P111" i="16"/>
  <c r="O111" i="16"/>
  <c r="N111" i="16"/>
  <c r="M111" i="16"/>
  <c r="S110" i="16"/>
  <c r="R110" i="16"/>
  <c r="Q110" i="16"/>
  <c r="P110" i="16"/>
  <c r="E126" i="16" s="1"/>
  <c r="O110" i="16"/>
  <c r="N110" i="16"/>
  <c r="M110" i="16"/>
  <c r="B126" i="16" s="1"/>
  <c r="S109" i="16"/>
  <c r="R109" i="16"/>
  <c r="Q109" i="16"/>
  <c r="F125" i="16" s="1"/>
  <c r="J125" i="16" s="1"/>
  <c r="S92" i="16" s="1"/>
  <c r="P109" i="16"/>
  <c r="O109" i="16"/>
  <c r="N109" i="16"/>
  <c r="M109" i="16"/>
  <c r="B125" i="16" s="1"/>
  <c r="R92" i="16" s="1"/>
  <c r="S108" i="16"/>
  <c r="H124" i="16" s="1"/>
  <c r="R108" i="16"/>
  <c r="G124" i="16" s="1"/>
  <c r="Q108" i="16"/>
  <c r="P108" i="16"/>
  <c r="E124" i="16" s="1"/>
  <c r="O108" i="16"/>
  <c r="N108" i="16"/>
  <c r="M108" i="16"/>
  <c r="S107" i="16"/>
  <c r="R107" i="16"/>
  <c r="G125" i="16" s="1"/>
  <c r="Q107" i="16"/>
  <c r="F124" i="16" s="1"/>
  <c r="J124" i="16" s="1"/>
  <c r="S91" i="16" s="1"/>
  <c r="S96" i="16" s="1"/>
  <c r="P107" i="16"/>
  <c r="O107" i="16"/>
  <c r="N107" i="16"/>
  <c r="M107" i="16"/>
  <c r="B74" i="16" s="1"/>
  <c r="B96" i="16" s="1"/>
  <c r="D96" i="16"/>
  <c r="C96" i="16"/>
  <c r="B92" i="16"/>
  <c r="B89" i="16"/>
  <c r="B87" i="16"/>
  <c r="N86" i="16"/>
  <c r="M86" i="16"/>
  <c r="L86" i="16"/>
  <c r="B83" i="16"/>
  <c r="J81" i="16"/>
  <c r="H81" i="16"/>
  <c r="L79" i="16"/>
  <c r="B79" i="16"/>
  <c r="B101" i="16" s="1"/>
  <c r="L78" i="16"/>
  <c r="B78" i="16"/>
  <c r="B100" i="16" s="1"/>
  <c r="L77" i="16"/>
  <c r="L76" i="16"/>
  <c r="B76" i="16"/>
  <c r="B98" i="16" s="1"/>
  <c r="L75" i="16"/>
  <c r="B75" i="16"/>
  <c r="B97" i="16" s="1"/>
  <c r="L74" i="16"/>
  <c r="E74" i="16"/>
  <c r="N73" i="16"/>
  <c r="M73" i="16"/>
  <c r="L73" i="16"/>
  <c r="N71" i="16"/>
  <c r="M71" i="16"/>
  <c r="E67" i="16"/>
  <c r="C67" i="16"/>
  <c r="J66" i="16"/>
  <c r="H66" i="16"/>
  <c r="J67" i="16" s="1"/>
  <c r="L67" i="16" s="1"/>
  <c r="J64" i="16"/>
  <c r="L64" i="16" s="1"/>
  <c r="E64" i="16"/>
  <c r="C64" i="16"/>
  <c r="S63" i="16"/>
  <c r="J63" i="16"/>
  <c r="H63" i="16"/>
  <c r="S62" i="16"/>
  <c r="G62" i="16"/>
  <c r="G74" i="16" s="1"/>
  <c r="F62" i="16"/>
  <c r="F74" i="16" s="1"/>
  <c r="E62" i="16"/>
  <c r="P61" i="16"/>
  <c r="P60" i="16"/>
  <c r="P59" i="16"/>
  <c r="S58" i="16"/>
  <c r="P58" i="16"/>
  <c r="P57" i="16"/>
  <c r="P56" i="16"/>
  <c r="P55" i="16"/>
  <c r="P54" i="16"/>
  <c r="P53" i="16"/>
  <c r="P52" i="16"/>
  <c r="P51" i="16"/>
  <c r="E47" i="16"/>
  <c r="B47" i="16"/>
  <c r="S66" i="16" s="1"/>
  <c r="U46" i="16"/>
  <c r="T46" i="16"/>
  <c r="E46" i="16"/>
  <c r="B46" i="16"/>
  <c r="S65" i="16" s="1"/>
  <c r="T45" i="16"/>
  <c r="U45" i="16" s="1"/>
  <c r="E45" i="16"/>
  <c r="B45" i="16"/>
  <c r="S64" i="16" s="1"/>
  <c r="E44" i="16"/>
  <c r="B44" i="16"/>
  <c r="E43" i="16"/>
  <c r="B43" i="16"/>
  <c r="E42" i="16"/>
  <c r="D42" i="16"/>
  <c r="C42" i="16" s="1"/>
  <c r="B42" i="16"/>
  <c r="S61" i="16" s="1"/>
  <c r="AD41" i="16"/>
  <c r="AC41" i="16"/>
  <c r="AB41" i="16"/>
  <c r="AA41" i="16"/>
  <c r="E41" i="16"/>
  <c r="B41" i="16"/>
  <c r="S60" i="16" s="1"/>
  <c r="T40" i="16"/>
  <c r="E40" i="16"/>
  <c r="B40" i="16"/>
  <c r="S59" i="16" s="1"/>
  <c r="E39" i="16"/>
  <c r="B39" i="16"/>
  <c r="AC38" i="16"/>
  <c r="E38" i="16"/>
  <c r="B38" i="16"/>
  <c r="S57" i="16" s="1"/>
  <c r="V37" i="16"/>
  <c r="E37" i="16"/>
  <c r="B37" i="16"/>
  <c r="S56" i="16" s="1"/>
  <c r="O36" i="16"/>
  <c r="E36" i="16"/>
  <c r="B36" i="16"/>
  <c r="S55" i="16" s="1"/>
  <c r="E35" i="16"/>
  <c r="B35" i="16"/>
  <c r="S54" i="16" s="1"/>
  <c r="X34" i="16"/>
  <c r="K34" i="16"/>
  <c r="E34" i="16"/>
  <c r="B34" i="16"/>
  <c r="S53" i="16" s="1"/>
  <c r="Q33" i="16"/>
  <c r="K33" i="16"/>
  <c r="E33" i="16"/>
  <c r="B33" i="16"/>
  <c r="S52" i="16" s="1"/>
  <c r="K32" i="16"/>
  <c r="E32" i="16"/>
  <c r="D32" i="16"/>
  <c r="C32" i="16" s="1"/>
  <c r="B32" i="16"/>
  <c r="S51" i="16" s="1"/>
  <c r="Z31" i="16"/>
  <c r="E31" i="16"/>
  <c r="B31" i="16"/>
  <c r="S50" i="16" s="1"/>
  <c r="S30" i="16"/>
  <c r="E30" i="16"/>
  <c r="B30" i="16"/>
  <c r="S49" i="16" s="1"/>
  <c r="K29" i="16"/>
  <c r="D43" i="16" s="1"/>
  <c r="C43" i="16" s="1"/>
  <c r="E29" i="16"/>
  <c r="B29" i="16"/>
  <c r="S48" i="16" s="1"/>
  <c r="AB28" i="16"/>
  <c r="K28" i="16"/>
  <c r="E28" i="16"/>
  <c r="B28" i="16"/>
  <c r="S47" i="16" s="1"/>
  <c r="U27" i="16"/>
  <c r="K27" i="16"/>
  <c r="E27" i="16"/>
  <c r="B27" i="16"/>
  <c r="S46" i="16" s="1"/>
  <c r="E26" i="16"/>
  <c r="B26" i="16"/>
  <c r="S45" i="16" s="1"/>
  <c r="AD25" i="16"/>
  <c r="E25" i="16"/>
  <c r="D25" i="16"/>
  <c r="C25" i="16" s="1"/>
  <c r="B25" i="16"/>
  <c r="X24" i="16"/>
  <c r="W24" i="16"/>
  <c r="E24" i="16"/>
  <c r="D24" i="16"/>
  <c r="B24" i="16"/>
  <c r="P23" i="16"/>
  <c r="E23" i="16"/>
  <c r="D23" i="16"/>
  <c r="B23" i="16"/>
  <c r="L22" i="16"/>
  <c r="L24" i="16" s="1"/>
  <c r="D41" i="16" s="1"/>
  <c r="C41" i="16" s="1"/>
  <c r="E22" i="16"/>
  <c r="D22" i="16"/>
  <c r="B22" i="16"/>
  <c r="Y21" i="16"/>
  <c r="E21" i="16"/>
  <c r="B21" i="16"/>
  <c r="R20" i="16"/>
  <c r="E20" i="16"/>
  <c r="B20" i="16"/>
  <c r="E19" i="16"/>
  <c r="D19" i="16"/>
  <c r="C19" i="16"/>
  <c r="B19" i="16"/>
  <c r="AA18" i="16"/>
  <c r="E18" i="16"/>
  <c r="B18" i="16"/>
  <c r="T17" i="16"/>
  <c r="E17" i="16"/>
  <c r="B17" i="16"/>
  <c r="E16" i="16"/>
  <c r="B16" i="16"/>
  <c r="AB15" i="16"/>
  <c r="Z15" i="16"/>
  <c r="Y15" i="16"/>
  <c r="X15" i="16"/>
  <c r="W15" i="16"/>
  <c r="V15" i="16"/>
  <c r="U15" i="16"/>
  <c r="T15" i="16"/>
  <c r="S15" i="16"/>
  <c r="R15" i="16"/>
  <c r="Q15" i="16"/>
  <c r="P15" i="16"/>
  <c r="O15" i="16"/>
  <c r="E15" i="16"/>
  <c r="B15" i="16"/>
  <c r="AD14" i="16"/>
  <c r="AC14" i="16"/>
  <c r="AB14" i="16"/>
  <c r="AA14" i="16"/>
  <c r="Z14" i="16"/>
  <c r="Y14" i="16"/>
  <c r="X14" i="16"/>
  <c r="W14" i="16"/>
  <c r="V14" i="16"/>
  <c r="U14" i="16"/>
  <c r="T14" i="16"/>
  <c r="S14" i="16"/>
  <c r="R14" i="16"/>
  <c r="Q14" i="16"/>
  <c r="P14" i="16"/>
  <c r="O14" i="16"/>
  <c r="E14" i="16"/>
  <c r="B14" i="16"/>
  <c r="AD13" i="16"/>
  <c r="AC13" i="16"/>
  <c r="AB13" i="16"/>
  <c r="AA13" i="16"/>
  <c r="Y13" i="16"/>
  <c r="X13" i="16"/>
  <c r="W13" i="16"/>
  <c r="V13" i="16"/>
  <c r="U13" i="16"/>
  <c r="T13" i="16"/>
  <c r="S13" i="16"/>
  <c r="R13" i="16"/>
  <c r="Q13" i="16"/>
  <c r="P13" i="16"/>
  <c r="O13" i="16"/>
  <c r="E13" i="16"/>
  <c r="B13" i="16"/>
  <c r="AC12" i="16"/>
  <c r="AB12" i="16"/>
  <c r="AA12" i="16"/>
  <c r="Z12" i="16"/>
  <c r="Y12" i="16"/>
  <c r="X12" i="16"/>
  <c r="W12" i="16"/>
  <c r="V12" i="16"/>
  <c r="E12" i="16"/>
  <c r="B12" i="16"/>
  <c r="X35" i="16" s="1"/>
  <c r="AA11" i="16"/>
  <c r="Z11" i="16"/>
  <c r="Y11" i="16"/>
  <c r="X11" i="16"/>
  <c r="W11" i="16"/>
  <c r="V11" i="16"/>
  <c r="U11" i="16"/>
  <c r="T11" i="16"/>
  <c r="S11" i="16"/>
  <c r="R11" i="16"/>
  <c r="Q11" i="16"/>
  <c r="P11" i="16"/>
  <c r="O11" i="16"/>
  <c r="E11" i="16"/>
  <c r="B11" i="16"/>
  <c r="AD10" i="16"/>
  <c r="AC10" i="16"/>
  <c r="AB10" i="16"/>
  <c r="AA10" i="16"/>
  <c r="Z10" i="16"/>
  <c r="Y10" i="16"/>
  <c r="X10" i="16"/>
  <c r="W10" i="16"/>
  <c r="V10" i="16"/>
  <c r="U10" i="16"/>
  <c r="T10" i="16"/>
  <c r="S10" i="16"/>
  <c r="R10" i="16"/>
  <c r="Q10" i="16"/>
  <c r="P10" i="16"/>
  <c r="O10" i="16"/>
  <c r="E10" i="16"/>
  <c r="B10" i="16"/>
  <c r="E9" i="16"/>
  <c r="B9" i="16"/>
  <c r="S6" i="16"/>
  <c r="E6" i="16"/>
  <c r="D6" i="16"/>
  <c r="C6" i="16"/>
  <c r="B6" i="16"/>
  <c r="S5" i="16"/>
  <c r="R5" i="16"/>
  <c r="Q5" i="16"/>
  <c r="P5" i="16"/>
  <c r="L5" i="16"/>
  <c r="D26" i="16" s="1"/>
  <c r="C26" i="16" s="1"/>
  <c r="K5" i="16"/>
  <c r="I5" i="16"/>
  <c r="E5" i="16"/>
  <c r="C5" i="16"/>
  <c r="K4" i="16"/>
  <c r="J4" i="16"/>
  <c r="J5" i="16" s="1"/>
  <c r="I4" i="16"/>
  <c r="G5" i="16" s="1"/>
  <c r="D28" i="16" s="1"/>
  <c r="F4" i="16"/>
  <c r="D44" i="16" s="1"/>
  <c r="E4" i="16"/>
  <c r="D4" i="16"/>
  <c r="D5" i="16" s="1"/>
  <c r="C4" i="16"/>
  <c r="D21" i="16" s="1"/>
  <c r="C21" i="16" s="1"/>
  <c r="B4" i="16"/>
  <c r="AB18" i="16" l="1"/>
  <c r="U17" i="16"/>
  <c r="C28" i="16"/>
  <c r="U20" i="16"/>
  <c r="H5" i="16"/>
  <c r="D29" i="16" s="1"/>
  <c r="C29" i="16" s="1"/>
  <c r="C76" i="16"/>
  <c r="C62" i="16"/>
  <c r="C74" i="16" s="1"/>
  <c r="C126" i="16"/>
  <c r="I126" i="16" s="1"/>
  <c r="Q93" i="16" s="1"/>
  <c r="C125" i="16"/>
  <c r="I125" i="16" s="1"/>
  <c r="Q92" i="16" s="1"/>
  <c r="H128" i="16"/>
  <c r="H62" i="16"/>
  <c r="H74" i="16" s="1"/>
  <c r="Z13" i="16"/>
  <c r="Z21" i="16"/>
  <c r="Z22" i="16"/>
  <c r="O30" i="16"/>
  <c r="W37" i="16"/>
  <c r="B146" i="16"/>
  <c r="L92" i="16"/>
  <c r="AC18" i="16"/>
  <c r="G127" i="16"/>
  <c r="D34" i="16"/>
  <c r="D33" i="16"/>
  <c r="R32" i="16" s="1"/>
  <c r="AC16" i="16"/>
  <c r="R6" i="16"/>
  <c r="C24" i="16"/>
  <c r="Y37" i="16"/>
  <c r="C44" i="16"/>
  <c r="T63" i="16" s="1"/>
  <c r="U63" i="16"/>
  <c r="AD19" i="16" s="1"/>
  <c r="P27" i="16"/>
  <c r="P6" i="16"/>
  <c r="C22" i="16"/>
  <c r="Q6" i="16"/>
  <c r="C23" i="16"/>
  <c r="T31" i="16"/>
  <c r="D35" i="16"/>
  <c r="C35" i="16" s="1"/>
  <c r="E125" i="16"/>
  <c r="V26" i="16"/>
  <c r="AB32" i="16"/>
  <c r="X33" i="16"/>
  <c r="W36" i="16"/>
  <c r="O40" i="16"/>
  <c r="F126" i="16"/>
  <c r="J126" i="16" s="1"/>
  <c r="S93" i="16" s="1"/>
  <c r="Z24" i="16"/>
  <c r="P24" i="16"/>
  <c r="W18" i="16"/>
  <c r="R24" i="16"/>
  <c r="X27" i="16"/>
  <c r="AB29" i="16"/>
  <c r="B141" i="16"/>
  <c r="L87" i="16"/>
  <c r="D124" i="16"/>
  <c r="D75" i="16"/>
  <c r="J154" i="16"/>
  <c r="G4" i="16"/>
  <c r="D20" i="16" s="1"/>
  <c r="C20" i="16" s="1"/>
  <c r="H4" i="16"/>
  <c r="B5" i="16"/>
  <c r="U16" i="16"/>
  <c r="V17" i="16"/>
  <c r="R21" i="16"/>
  <c r="P22" i="16"/>
  <c r="AD26" i="16"/>
  <c r="AD29" i="16"/>
  <c r="B143" i="16"/>
  <c r="L89" i="16"/>
  <c r="W237" i="16"/>
  <c r="S237" i="16"/>
  <c r="AD40" i="16"/>
  <c r="X38" i="16"/>
  <c r="AC37" i="16"/>
  <c r="R36" i="16"/>
  <c r="O35" i="16"/>
  <c r="T34" i="16"/>
  <c r="Z33" i="16"/>
  <c r="AC40" i="16"/>
  <c r="U40" i="16"/>
  <c r="W38" i="16"/>
  <c r="O38" i="16"/>
  <c r="AA34" i="16"/>
  <c r="S34" i="16"/>
  <c r="W41" i="16"/>
  <c r="AD38" i="16"/>
  <c r="V38" i="16"/>
  <c r="V41" i="16"/>
  <c r="AA40" i="16"/>
  <c r="P39" i="16"/>
  <c r="U41" i="16"/>
  <c r="T41" i="16"/>
  <c r="AD39" i="16"/>
  <c r="V39" i="16"/>
  <c r="AA15" i="16"/>
  <c r="T16" i="16"/>
  <c r="Y22" i="16"/>
  <c r="Q23" i="16"/>
  <c r="Y23" i="16"/>
  <c r="Q24" i="16"/>
  <c r="O26" i="16"/>
  <c r="W26" i="16"/>
  <c r="Q27" i="16"/>
  <c r="U29" i="16"/>
  <c r="AC29" i="16"/>
  <c r="S31" i="16"/>
  <c r="AA31" i="16"/>
  <c r="AC32" i="16"/>
  <c r="V36" i="16"/>
  <c r="T91" i="16"/>
  <c r="C124" i="16"/>
  <c r="I124" i="16" s="1"/>
  <c r="Q91" i="16" s="1"/>
  <c r="Q96" i="16" s="1"/>
  <c r="S94" i="16"/>
  <c r="Q171" i="16"/>
  <c r="AC15" i="16"/>
  <c r="V16" i="16"/>
  <c r="AD16" i="16"/>
  <c r="O17" i="16"/>
  <c r="S21" i="16"/>
  <c r="AA22" i="16"/>
  <c r="S23" i="16"/>
  <c r="S24" i="16"/>
  <c r="V25" i="16"/>
  <c r="Q26" i="16"/>
  <c r="U28" i="16"/>
  <c r="AC28" i="16"/>
  <c r="O29" i="16"/>
  <c r="Z30" i="16"/>
  <c r="U31" i="16"/>
  <c r="AC31" i="16"/>
  <c r="AA33" i="16"/>
  <c r="Y34" i="16"/>
  <c r="Y35" i="16"/>
  <c r="X36" i="16"/>
  <c r="O37" i="16"/>
  <c r="P40" i="16"/>
  <c r="D62" i="16"/>
  <c r="D74" i="16" s="1"/>
  <c r="H79" i="16" s="1"/>
  <c r="D126" i="16"/>
  <c r="D127" i="16"/>
  <c r="D78" i="16"/>
  <c r="G77" i="16"/>
  <c r="H127" i="16"/>
  <c r="AF10" i="16"/>
  <c r="AD15" i="16"/>
  <c r="AF15" i="16" s="1"/>
  <c r="W16" i="16"/>
  <c r="P17" i="16"/>
  <c r="Y20" i="16"/>
  <c r="T21" i="16"/>
  <c r="AB21" i="16"/>
  <c r="AB22" i="16"/>
  <c r="W25" i="16"/>
  <c r="AB27" i="16"/>
  <c r="V28" i="16"/>
  <c r="AA30" i="16"/>
  <c r="V31" i="16"/>
  <c r="R33" i="16"/>
  <c r="P35" i="16"/>
  <c r="Z35" i="16"/>
  <c r="P37" i="16"/>
  <c r="T39" i="16"/>
  <c r="T95" i="16"/>
  <c r="R95" i="16"/>
  <c r="AF9" i="16"/>
  <c r="P16" i="16"/>
  <c r="Z20" i="16"/>
  <c r="U21" i="16"/>
  <c r="P25" i="16"/>
  <c r="X25" i="16"/>
  <c r="W28" i="16"/>
  <c r="T30" i="16"/>
  <c r="AB30" i="16"/>
  <c r="Q32" i="16"/>
  <c r="Y32" i="16"/>
  <c r="Q34" i="16"/>
  <c r="Q35" i="16"/>
  <c r="AA35" i="16"/>
  <c r="P36" i="16"/>
  <c r="Q37" i="16"/>
  <c r="Y38" i="16"/>
  <c r="W40" i="16"/>
  <c r="J74" i="16"/>
  <c r="F76" i="16"/>
  <c r="T92" i="16"/>
  <c r="C128" i="16"/>
  <c r="I128" i="16" s="1"/>
  <c r="Q95" i="16" s="1"/>
  <c r="F5" i="16"/>
  <c r="D27" i="16" s="1"/>
  <c r="C27" i="16" s="1"/>
  <c r="AF14" i="16"/>
  <c r="S20" i="16"/>
  <c r="AA20" i="16"/>
  <c r="L23" i="16"/>
  <c r="D40" i="16" s="1"/>
  <c r="C40" i="16" s="1"/>
  <c r="AD24" i="16"/>
  <c r="Y25" i="16"/>
  <c r="V27" i="16"/>
  <c r="AD27" i="16"/>
  <c r="X28" i="16"/>
  <c r="Z32" i="16"/>
  <c r="T33" i="16"/>
  <c r="R34" i="16"/>
  <c r="R37" i="16"/>
  <c r="E75" i="16"/>
  <c r="B91" i="16"/>
  <c r="T93" i="16"/>
  <c r="R93" i="16"/>
  <c r="C127" i="16"/>
  <c r="I127" i="16" s="1"/>
  <c r="Q94" i="16" s="1"/>
  <c r="D128" i="16"/>
  <c r="AD12" i="16"/>
  <c r="AF13" i="16"/>
  <c r="AB20" i="16"/>
  <c r="W23" i="16"/>
  <c r="O24" i="16"/>
  <c r="Z25" i="16"/>
  <c r="U26" i="16"/>
  <c r="AC26" i="16"/>
  <c r="O27" i="16"/>
  <c r="S29" i="16"/>
  <c r="AA29" i="16"/>
  <c r="V30" i="16"/>
  <c r="S32" i="16"/>
  <c r="AA32" i="16"/>
  <c r="AC39" i="16"/>
  <c r="L171" i="16"/>
  <c r="W233" i="16"/>
  <c r="S233" i="16"/>
  <c r="B77" i="16"/>
  <c r="H126" i="16"/>
  <c r="J180" i="16"/>
  <c r="J182" i="16"/>
  <c r="J183" i="16"/>
  <c r="B127" i="16"/>
  <c r="D125" i="16"/>
  <c r="B88" i="16"/>
  <c r="F128" i="16"/>
  <c r="J128" i="16" s="1"/>
  <c r="S95" i="16" s="1"/>
  <c r="J159" i="16"/>
  <c r="P29" i="16" l="1"/>
  <c r="S36" i="16"/>
  <c r="U33" i="16"/>
  <c r="AC21" i="16"/>
  <c r="X40" i="16"/>
  <c r="Q16" i="16"/>
  <c r="Z37" i="16"/>
  <c r="Y27" i="16"/>
  <c r="V20" i="16"/>
  <c r="T23" i="16"/>
  <c r="AD31" i="16"/>
  <c r="Q39" i="16"/>
  <c r="AB34" i="16"/>
  <c r="U30" i="16"/>
  <c r="AB31" i="16"/>
  <c r="AA21" i="16"/>
  <c r="X37" i="16"/>
  <c r="W27" i="16"/>
  <c r="T20" i="16"/>
  <c r="Z34" i="16"/>
  <c r="R26" i="16"/>
  <c r="O16" i="16"/>
  <c r="AA24" i="16"/>
  <c r="W30" i="16"/>
  <c r="Y24" i="16"/>
  <c r="Z86" i="16"/>
  <c r="X76" i="16"/>
  <c r="J76" i="16"/>
  <c r="B90" i="16"/>
  <c r="B99" i="16"/>
  <c r="Q25" i="16"/>
  <c r="AB16" i="16"/>
  <c r="Y33" i="16"/>
  <c r="V75" i="16"/>
  <c r="V82" i="16" s="1"/>
  <c r="X22" i="16"/>
  <c r="E77" i="16"/>
  <c r="I74" i="16"/>
  <c r="G79" i="16"/>
  <c r="E78" i="16"/>
  <c r="G75" i="16"/>
  <c r="G76" i="16"/>
  <c r="Y77" i="16" s="1"/>
  <c r="E79" i="16"/>
  <c r="L91" i="16"/>
  <c r="B145" i="16"/>
  <c r="O28" i="16"/>
  <c r="P34" i="16"/>
  <c r="D77" i="16"/>
  <c r="D76" i="16"/>
  <c r="P38" i="16"/>
  <c r="C34" i="16"/>
  <c r="R22" i="16"/>
  <c r="C75" i="16"/>
  <c r="U76" i="16" s="1"/>
  <c r="I158" i="16"/>
  <c r="G158" i="16"/>
  <c r="H158" i="16" s="1"/>
  <c r="G157" i="16"/>
  <c r="H157" i="16" s="1"/>
  <c r="I157" i="16"/>
  <c r="C33" i="16"/>
  <c r="X23" i="16"/>
  <c r="I76" i="16"/>
  <c r="R94" i="16"/>
  <c r="R96" i="16" s="1"/>
  <c r="F70" i="16" s="1"/>
  <c r="T94" i="16"/>
  <c r="T96" i="16" s="1"/>
  <c r="G70" i="16" s="1"/>
  <c r="W75" i="16"/>
  <c r="W82" i="16" s="1"/>
  <c r="U39" i="16"/>
  <c r="AC27" i="16"/>
  <c r="U38" i="16"/>
  <c r="O25" i="16"/>
  <c r="R23" i="16"/>
  <c r="T29" i="16"/>
  <c r="T32" i="16"/>
  <c r="G78" i="16"/>
  <c r="C79" i="16"/>
  <c r="AD36" i="16"/>
  <c r="R35" i="16"/>
  <c r="AD37" i="16"/>
  <c r="AD28" i="16"/>
  <c r="Q22" i="16"/>
  <c r="D30" i="16"/>
  <c r="D31" i="16"/>
  <c r="X26" i="16"/>
  <c r="E76" i="16"/>
  <c r="R31" i="16"/>
  <c r="AC30" i="16"/>
  <c r="F78" i="16"/>
  <c r="H75" i="16"/>
  <c r="F79" i="16"/>
  <c r="H76" i="16"/>
  <c r="F75" i="16"/>
  <c r="H77" i="16"/>
  <c r="D79" i="16"/>
  <c r="Q21" i="16"/>
  <c r="O39" i="16"/>
  <c r="AB40" i="16"/>
  <c r="Q36" i="16"/>
  <c r="W35" i="16"/>
  <c r="D17" i="16"/>
  <c r="D11" i="16"/>
  <c r="D18" i="16"/>
  <c r="D12" i="16"/>
  <c r="D13" i="16"/>
  <c r="D9" i="16"/>
  <c r="D15" i="16"/>
  <c r="D10" i="16"/>
  <c r="D14" i="16"/>
  <c r="D16" i="16"/>
  <c r="V29" i="16"/>
  <c r="C78" i="16"/>
  <c r="C77" i="16"/>
  <c r="Z23" i="16"/>
  <c r="B142" i="16"/>
  <c r="L88" i="16"/>
  <c r="AB39" i="16"/>
  <c r="S33" i="16"/>
  <c r="H78" i="16"/>
  <c r="Z79" i="16" s="1"/>
  <c r="S41" i="16"/>
  <c r="S22" i="16"/>
  <c r="W39" i="16"/>
  <c r="Y36" i="16"/>
  <c r="V40" i="16"/>
  <c r="F77" i="16"/>
  <c r="T28" i="16"/>
  <c r="P26" i="16"/>
  <c r="G71" i="16" l="1"/>
  <c r="G137" i="16"/>
  <c r="AA47" i="16"/>
  <c r="AB47" i="16" s="1"/>
  <c r="E137" i="16"/>
  <c r="F71" i="16"/>
  <c r="AA46" i="16"/>
  <c r="AB46" i="16" s="1"/>
  <c r="C15" i="16"/>
  <c r="R12" i="16"/>
  <c r="X86" i="16"/>
  <c r="J79" i="16"/>
  <c r="D83" i="16" s="1"/>
  <c r="F83" i="16" s="1"/>
  <c r="F84" i="16" s="1"/>
  <c r="F92" i="16"/>
  <c r="X79" i="16"/>
  <c r="D90" i="16"/>
  <c r="D144" i="16" s="1"/>
  <c r="V77" i="16"/>
  <c r="L90" i="16"/>
  <c r="B144" i="16"/>
  <c r="C9" i="16"/>
  <c r="AB11" i="16"/>
  <c r="W76" i="16"/>
  <c r="E89" i="16"/>
  <c r="E143" i="16" s="1"/>
  <c r="J158" i="16"/>
  <c r="K22" i="16"/>
  <c r="G88" i="16"/>
  <c r="G142" i="16" s="1"/>
  <c r="Y75" i="16"/>
  <c r="Y82" i="16" s="1"/>
  <c r="E91" i="16"/>
  <c r="E145" i="16" s="1"/>
  <c r="W78" i="16"/>
  <c r="I78" i="16"/>
  <c r="C91" i="16"/>
  <c r="U78" i="16"/>
  <c r="C12" i="16"/>
  <c r="O12" i="16"/>
  <c r="F91" i="16"/>
  <c r="X78" i="16"/>
  <c r="J78" i="16"/>
  <c r="C31" i="16"/>
  <c r="U36" i="16"/>
  <c r="P32" i="16"/>
  <c r="T26" i="16"/>
  <c r="AD34" i="16"/>
  <c r="S39" i="16"/>
  <c r="W33" i="16"/>
  <c r="AA27" i="16"/>
  <c r="V23" i="16"/>
  <c r="O22" i="16"/>
  <c r="S16" i="16"/>
  <c r="X20" i="16"/>
  <c r="Y30" i="16"/>
  <c r="AB37" i="16"/>
  <c r="Z40" i="16"/>
  <c r="AC24" i="16"/>
  <c r="R29" i="16"/>
  <c r="U79" i="16"/>
  <c r="I79" i="16"/>
  <c r="C83" i="16" s="1"/>
  <c r="E83" i="16" s="1"/>
  <c r="U86" i="16"/>
  <c r="C92" i="16"/>
  <c r="Y86" i="16"/>
  <c r="G92" i="16"/>
  <c r="G146" i="16" s="1"/>
  <c r="Y79" i="16"/>
  <c r="H91" i="16"/>
  <c r="H145" i="16" s="1"/>
  <c r="Z78" i="16"/>
  <c r="C18" i="16"/>
  <c r="U12" i="16"/>
  <c r="V79" i="16"/>
  <c r="V86" i="16"/>
  <c r="D92" i="16"/>
  <c r="D146" i="16" s="1"/>
  <c r="C30" i="16"/>
  <c r="Y40" i="16"/>
  <c r="W20" i="16"/>
  <c r="S26" i="16"/>
  <c r="AB24" i="16"/>
  <c r="T36" i="16"/>
  <c r="R16" i="16"/>
  <c r="Q29" i="16"/>
  <c r="R39" i="16"/>
  <c r="U23" i="16"/>
  <c r="AC34" i="16"/>
  <c r="X30" i="16"/>
  <c r="O32" i="16"/>
  <c r="V33" i="16"/>
  <c r="Z27" i="16"/>
  <c r="AA37" i="16"/>
  <c r="AD21" i="16"/>
  <c r="G91" i="16"/>
  <c r="G145" i="16" s="1"/>
  <c r="Y78" i="16"/>
  <c r="C90" i="16"/>
  <c r="U77" i="16"/>
  <c r="I77" i="16"/>
  <c r="C16" i="16"/>
  <c r="S12" i="16"/>
  <c r="C11" i="16"/>
  <c r="AD11" i="16"/>
  <c r="Z77" i="16"/>
  <c r="H90" i="16"/>
  <c r="H144" i="16" s="1"/>
  <c r="V78" i="16"/>
  <c r="W77" i="16"/>
  <c r="E90" i="16"/>
  <c r="E144" i="16" s="1"/>
  <c r="C13" i="16"/>
  <c r="P12" i="16"/>
  <c r="H88" i="16"/>
  <c r="H142" i="16" s="1"/>
  <c r="Z75" i="16"/>
  <c r="Z82" i="16" s="1"/>
  <c r="C88" i="16"/>
  <c r="U75" i="16"/>
  <c r="U82" i="16" s="1"/>
  <c r="I75" i="16"/>
  <c r="X77" i="16"/>
  <c r="J77" i="16"/>
  <c r="F90" i="16"/>
  <c r="C14" i="16"/>
  <c r="Q12" i="16"/>
  <c r="C17" i="16"/>
  <c r="T12" i="16"/>
  <c r="J75" i="16"/>
  <c r="F88" i="16"/>
  <c r="X75" i="16"/>
  <c r="X82" i="16" s="1"/>
  <c r="J157" i="16"/>
  <c r="J22" i="16"/>
  <c r="W86" i="16"/>
  <c r="E92" i="16"/>
  <c r="E146" i="16" s="1"/>
  <c r="W79" i="16"/>
  <c r="AC11" i="16"/>
  <c r="C10" i="16"/>
  <c r="H89" i="16"/>
  <c r="H143" i="16" s="1"/>
  <c r="Z76" i="16"/>
  <c r="V76" i="16"/>
  <c r="D89" i="16"/>
  <c r="D143" i="16" s="1"/>
  <c r="G89" i="16"/>
  <c r="G143" i="16" s="1"/>
  <c r="Y76" i="16"/>
  <c r="M601" i="14"/>
  <c r="M600" i="14"/>
  <c r="M599" i="14"/>
  <c r="M598" i="14"/>
  <c r="M597" i="14"/>
  <c r="M596" i="14"/>
  <c r="M595" i="14"/>
  <c r="M594" i="14"/>
  <c r="M593" i="14"/>
  <c r="M592" i="14"/>
  <c r="M591" i="14"/>
  <c r="M590" i="14"/>
  <c r="M589" i="14"/>
  <c r="M588" i="14"/>
  <c r="M587" i="14"/>
  <c r="M586" i="14"/>
  <c r="M585" i="14"/>
  <c r="M584" i="14"/>
  <c r="M583" i="14"/>
  <c r="M582" i="14"/>
  <c r="M581" i="14"/>
  <c r="M580" i="14"/>
  <c r="M579" i="14"/>
  <c r="M578" i="14"/>
  <c r="M577" i="14"/>
  <c r="M576" i="14"/>
  <c r="M575" i="14"/>
  <c r="M574" i="14"/>
  <c r="M573" i="14"/>
  <c r="M572" i="14"/>
  <c r="M571" i="14"/>
  <c r="M570" i="14"/>
  <c r="M569" i="14"/>
  <c r="M568" i="14"/>
  <c r="M567" i="14"/>
  <c r="M566" i="14"/>
  <c r="M565" i="14"/>
  <c r="M564" i="14"/>
  <c r="M563" i="14"/>
  <c r="M562" i="14"/>
  <c r="M561" i="14"/>
  <c r="M560" i="14"/>
  <c r="M559" i="14"/>
  <c r="M558" i="14"/>
  <c r="M557" i="14"/>
  <c r="M556" i="14"/>
  <c r="M555" i="14"/>
  <c r="M554" i="14"/>
  <c r="M553" i="14"/>
  <c r="M552" i="14"/>
  <c r="M551" i="14"/>
  <c r="M550" i="14"/>
  <c r="M549" i="14"/>
  <c r="M548" i="14"/>
  <c r="M547" i="14"/>
  <c r="M546" i="14"/>
  <c r="M545" i="14"/>
  <c r="M544" i="14"/>
  <c r="M543" i="14"/>
  <c r="M542" i="14"/>
  <c r="M541" i="14"/>
  <c r="M540" i="14"/>
  <c r="M539" i="14"/>
  <c r="M538" i="14"/>
  <c r="M537" i="14"/>
  <c r="M536" i="14"/>
  <c r="M535" i="14"/>
  <c r="M534" i="14"/>
  <c r="M533" i="14"/>
  <c r="M532" i="14"/>
  <c r="M531" i="14"/>
  <c r="M530" i="14"/>
  <c r="M529" i="14"/>
  <c r="M528" i="14"/>
  <c r="M527" i="14"/>
  <c r="M526" i="14"/>
  <c r="M525" i="14"/>
  <c r="M524" i="14"/>
  <c r="M523" i="14"/>
  <c r="M522" i="14"/>
  <c r="M521" i="14"/>
  <c r="M520" i="14"/>
  <c r="M519" i="14"/>
  <c r="M518" i="14"/>
  <c r="M517" i="14"/>
  <c r="M516" i="14"/>
  <c r="M515" i="14"/>
  <c r="M514" i="14"/>
  <c r="M513" i="14"/>
  <c r="M512" i="14"/>
  <c r="M511" i="14"/>
  <c r="M510" i="14"/>
  <c r="M509" i="14"/>
  <c r="M508" i="14"/>
  <c r="M507" i="14"/>
  <c r="M506" i="14"/>
  <c r="M505" i="14"/>
  <c r="M504" i="14"/>
  <c r="M503" i="14"/>
  <c r="M502" i="14"/>
  <c r="M501" i="14"/>
  <c r="M500" i="14"/>
  <c r="M499" i="14"/>
  <c r="M498" i="14"/>
  <c r="M497" i="14"/>
  <c r="M496" i="14"/>
  <c r="M495" i="14"/>
  <c r="M494" i="14"/>
  <c r="M493" i="14"/>
  <c r="M492" i="14"/>
  <c r="M491" i="14"/>
  <c r="M490" i="14"/>
  <c r="M489" i="14"/>
  <c r="M488" i="14"/>
  <c r="M487" i="14"/>
  <c r="M486" i="14"/>
  <c r="M485" i="14"/>
  <c r="M484" i="14"/>
  <c r="M483" i="14"/>
  <c r="M482" i="14"/>
  <c r="M476" i="14"/>
  <c r="M475" i="14"/>
  <c r="M474" i="14"/>
  <c r="M473" i="14"/>
  <c r="M472" i="14"/>
  <c r="M471" i="14"/>
  <c r="M470" i="14"/>
  <c r="M469" i="14"/>
  <c r="M468" i="14"/>
  <c r="M467" i="14"/>
  <c r="M466" i="14"/>
  <c r="M465" i="14"/>
  <c r="M464" i="14"/>
  <c r="M463" i="14"/>
  <c r="M462" i="14"/>
  <c r="M461" i="14"/>
  <c r="M460" i="14"/>
  <c r="M459" i="14"/>
  <c r="M458" i="14"/>
  <c r="M457" i="14"/>
  <c r="M456" i="14"/>
  <c r="M455" i="14"/>
  <c r="M454" i="14"/>
  <c r="M453" i="14"/>
  <c r="M452" i="14"/>
  <c r="M451" i="14"/>
  <c r="M450" i="14"/>
  <c r="M449" i="14"/>
  <c r="M448" i="14"/>
  <c r="M447" i="14"/>
  <c r="M446" i="14"/>
  <c r="M445" i="14"/>
  <c r="M444" i="14"/>
  <c r="M443" i="14"/>
  <c r="M442" i="14"/>
  <c r="M441" i="14"/>
  <c r="M440" i="14"/>
  <c r="M439" i="14"/>
  <c r="M438" i="14"/>
  <c r="M437" i="14"/>
  <c r="M436" i="14"/>
  <c r="M435" i="14"/>
  <c r="M434" i="14"/>
  <c r="M433" i="14"/>
  <c r="M432" i="14"/>
  <c r="M431" i="14"/>
  <c r="M430" i="14"/>
  <c r="M429" i="14"/>
  <c r="M428" i="14"/>
  <c r="M427" i="14"/>
  <c r="M426" i="14"/>
  <c r="M425" i="14"/>
  <c r="M424" i="14"/>
  <c r="M423" i="14"/>
  <c r="M422" i="14"/>
  <c r="M421" i="14"/>
  <c r="M420" i="14"/>
  <c r="M419" i="14"/>
  <c r="M418" i="14"/>
  <c r="M417" i="14"/>
  <c r="M416" i="14"/>
  <c r="M415" i="14"/>
  <c r="M414" i="14"/>
  <c r="M413" i="14"/>
  <c r="M412" i="14"/>
  <c r="M411" i="14"/>
  <c r="M410" i="14"/>
  <c r="M409" i="14"/>
  <c r="M408" i="14"/>
  <c r="M407" i="14"/>
  <c r="M406" i="14"/>
  <c r="M405" i="14"/>
  <c r="M404" i="14"/>
  <c r="M403" i="14"/>
  <c r="M402" i="14"/>
  <c r="M401" i="14"/>
  <c r="M400" i="14"/>
  <c r="M399" i="14"/>
  <c r="M398" i="14"/>
  <c r="M397" i="14"/>
  <c r="M396" i="14"/>
  <c r="M395" i="14"/>
  <c r="M394" i="14"/>
  <c r="M393" i="14"/>
  <c r="M392" i="14"/>
  <c r="M391" i="14"/>
  <c r="M390" i="14"/>
  <c r="M389" i="14"/>
  <c r="M388" i="14"/>
  <c r="M387" i="14"/>
  <c r="M386" i="14"/>
  <c r="M385" i="14"/>
  <c r="M384" i="14"/>
  <c r="M383" i="14"/>
  <c r="M382" i="14"/>
  <c r="M381" i="14"/>
  <c r="M380" i="14"/>
  <c r="M379" i="14"/>
  <c r="M378" i="14"/>
  <c r="M377" i="14"/>
  <c r="M376" i="14"/>
  <c r="M375" i="14"/>
  <c r="M374" i="14"/>
  <c r="M373" i="14"/>
  <c r="M372" i="14"/>
  <c r="M371" i="14"/>
  <c r="M370" i="14"/>
  <c r="M369" i="14"/>
  <c r="M368" i="14"/>
  <c r="M367" i="14"/>
  <c r="M366" i="14"/>
  <c r="M365" i="14"/>
  <c r="M364" i="14"/>
  <c r="M363" i="14"/>
  <c r="M362" i="14"/>
  <c r="M361" i="14"/>
  <c r="M360" i="14"/>
  <c r="M359" i="14"/>
  <c r="M358" i="14"/>
  <c r="M357" i="14"/>
  <c r="J24" i="16" l="1"/>
  <c r="D37" i="16" s="1"/>
  <c r="J23" i="16"/>
  <c r="D36" i="16" s="1"/>
  <c r="F144" i="16"/>
  <c r="J144" i="16" s="1"/>
  <c r="L144" i="16" s="1"/>
  <c r="J90" i="16"/>
  <c r="E84" i="16"/>
  <c r="J83" i="16"/>
  <c r="L83" i="16" s="1"/>
  <c r="C145" i="16"/>
  <c r="I145" i="16" s="1"/>
  <c r="K145" i="16" s="1"/>
  <c r="I91" i="16"/>
  <c r="N600" i="16"/>
  <c r="P600" i="16" s="1"/>
  <c r="N592" i="16"/>
  <c r="P592" i="16" s="1"/>
  <c r="N584" i="16"/>
  <c r="P584" i="16" s="1"/>
  <c r="N576" i="16"/>
  <c r="P576" i="16" s="1"/>
  <c r="N568" i="16"/>
  <c r="P568" i="16" s="1"/>
  <c r="N560" i="16"/>
  <c r="P560" i="16" s="1"/>
  <c r="N552" i="16"/>
  <c r="P552" i="16" s="1"/>
  <c r="N544" i="16"/>
  <c r="P544" i="16" s="1"/>
  <c r="N536" i="16"/>
  <c r="P536" i="16" s="1"/>
  <c r="N528" i="16"/>
  <c r="P528" i="16" s="1"/>
  <c r="N520" i="16"/>
  <c r="P520" i="16" s="1"/>
  <c r="N512" i="16"/>
  <c r="P512" i="16" s="1"/>
  <c r="N504" i="16"/>
  <c r="P504" i="16" s="1"/>
  <c r="N496" i="16"/>
  <c r="P496" i="16" s="1"/>
  <c r="N488" i="16"/>
  <c r="P488" i="16" s="1"/>
  <c r="N475" i="16"/>
  <c r="P475" i="16" s="1"/>
  <c r="N467" i="16"/>
  <c r="P467" i="16" s="1"/>
  <c r="N459" i="16"/>
  <c r="P459" i="16" s="1"/>
  <c r="N451" i="16"/>
  <c r="P451" i="16" s="1"/>
  <c r="N443" i="16"/>
  <c r="P443" i="16" s="1"/>
  <c r="N435" i="16"/>
  <c r="P435" i="16" s="1"/>
  <c r="N595" i="16"/>
  <c r="P595" i="16" s="1"/>
  <c r="N587" i="16"/>
  <c r="P587" i="16" s="1"/>
  <c r="N579" i="16"/>
  <c r="P579" i="16" s="1"/>
  <c r="N571" i="16"/>
  <c r="P571" i="16" s="1"/>
  <c r="N563" i="16"/>
  <c r="P563" i="16" s="1"/>
  <c r="N555" i="16"/>
  <c r="P555" i="16" s="1"/>
  <c r="N547" i="16"/>
  <c r="P547" i="16" s="1"/>
  <c r="N539" i="16"/>
  <c r="P539" i="16" s="1"/>
  <c r="N531" i="16"/>
  <c r="P531" i="16" s="1"/>
  <c r="N523" i="16"/>
  <c r="P523" i="16" s="1"/>
  <c r="N515" i="16"/>
  <c r="P515" i="16" s="1"/>
  <c r="N507" i="16"/>
  <c r="P507" i="16" s="1"/>
  <c r="N499" i="16"/>
  <c r="P499" i="16" s="1"/>
  <c r="N491" i="16"/>
  <c r="P491" i="16" s="1"/>
  <c r="N483" i="16"/>
  <c r="P483" i="16" s="1"/>
  <c r="N470" i="16"/>
  <c r="P470" i="16" s="1"/>
  <c r="N462" i="16"/>
  <c r="P462" i="16" s="1"/>
  <c r="N454" i="16"/>
  <c r="P454" i="16" s="1"/>
  <c r="N446" i="16"/>
  <c r="P446" i="16" s="1"/>
  <c r="N438" i="16"/>
  <c r="P438" i="16" s="1"/>
  <c r="N430" i="16"/>
  <c r="P430" i="16" s="1"/>
  <c r="N598" i="16"/>
  <c r="P598" i="16" s="1"/>
  <c r="N590" i="16"/>
  <c r="P590" i="16" s="1"/>
  <c r="N582" i="16"/>
  <c r="P582" i="16" s="1"/>
  <c r="N574" i="16"/>
  <c r="P574" i="16" s="1"/>
  <c r="N566" i="16"/>
  <c r="P566" i="16" s="1"/>
  <c r="N558" i="16"/>
  <c r="P558" i="16" s="1"/>
  <c r="N550" i="16"/>
  <c r="P550" i="16" s="1"/>
  <c r="N542" i="16"/>
  <c r="P542" i="16" s="1"/>
  <c r="N534" i="16"/>
  <c r="P534" i="16" s="1"/>
  <c r="N526" i="16"/>
  <c r="P526" i="16" s="1"/>
  <c r="N518" i="16"/>
  <c r="P518" i="16" s="1"/>
  <c r="N510" i="16"/>
  <c r="P510" i="16" s="1"/>
  <c r="N502" i="16"/>
  <c r="P502" i="16" s="1"/>
  <c r="N494" i="16"/>
  <c r="P494" i="16" s="1"/>
  <c r="N486" i="16"/>
  <c r="P486" i="16" s="1"/>
  <c r="N473" i="16"/>
  <c r="P473" i="16" s="1"/>
  <c r="N465" i="16"/>
  <c r="P465" i="16" s="1"/>
  <c r="N457" i="16"/>
  <c r="P457" i="16" s="1"/>
  <c r="N449" i="16"/>
  <c r="P449" i="16" s="1"/>
  <c r="N441" i="16"/>
  <c r="P441" i="16" s="1"/>
  <c r="N433" i="16"/>
  <c r="P433" i="16" s="1"/>
  <c r="N601" i="16"/>
  <c r="P601" i="16" s="1"/>
  <c r="N593" i="16"/>
  <c r="P593" i="16" s="1"/>
  <c r="N585" i="16"/>
  <c r="P585" i="16" s="1"/>
  <c r="N577" i="16"/>
  <c r="P577" i="16" s="1"/>
  <c r="N569" i="16"/>
  <c r="P569" i="16" s="1"/>
  <c r="N561" i="16"/>
  <c r="P561" i="16" s="1"/>
  <c r="N553" i="16"/>
  <c r="P553" i="16" s="1"/>
  <c r="N545" i="16"/>
  <c r="P545" i="16" s="1"/>
  <c r="N537" i="16"/>
  <c r="P537" i="16" s="1"/>
  <c r="N529" i="16"/>
  <c r="P529" i="16" s="1"/>
  <c r="N521" i="16"/>
  <c r="P521" i="16" s="1"/>
  <c r="N513" i="16"/>
  <c r="P513" i="16" s="1"/>
  <c r="N505" i="16"/>
  <c r="P505" i="16" s="1"/>
  <c r="N497" i="16"/>
  <c r="P497" i="16" s="1"/>
  <c r="N489" i="16"/>
  <c r="P489" i="16" s="1"/>
  <c r="N476" i="16"/>
  <c r="P476" i="16" s="1"/>
  <c r="N468" i="16"/>
  <c r="P468" i="16" s="1"/>
  <c r="N460" i="16"/>
  <c r="P460" i="16" s="1"/>
  <c r="N452" i="16"/>
  <c r="P452" i="16" s="1"/>
  <c r="N444" i="16"/>
  <c r="P444" i="16" s="1"/>
  <c r="N436" i="16"/>
  <c r="P436" i="16" s="1"/>
  <c r="N596" i="16"/>
  <c r="P596" i="16" s="1"/>
  <c r="N588" i="16"/>
  <c r="P588" i="16" s="1"/>
  <c r="N580" i="16"/>
  <c r="P580" i="16" s="1"/>
  <c r="N572" i="16"/>
  <c r="P572" i="16" s="1"/>
  <c r="N564" i="16"/>
  <c r="P564" i="16" s="1"/>
  <c r="N556" i="16"/>
  <c r="P556" i="16" s="1"/>
  <c r="N548" i="16"/>
  <c r="P548" i="16" s="1"/>
  <c r="N540" i="16"/>
  <c r="P540" i="16" s="1"/>
  <c r="N532" i="16"/>
  <c r="P532" i="16" s="1"/>
  <c r="N524" i="16"/>
  <c r="P524" i="16" s="1"/>
  <c r="N516" i="16"/>
  <c r="P516" i="16" s="1"/>
  <c r="N508" i="16"/>
  <c r="P508" i="16" s="1"/>
  <c r="N500" i="16"/>
  <c r="P500" i="16" s="1"/>
  <c r="N492" i="16"/>
  <c r="P492" i="16" s="1"/>
  <c r="N484" i="16"/>
  <c r="P484" i="16" s="1"/>
  <c r="N471" i="16"/>
  <c r="P471" i="16" s="1"/>
  <c r="N463" i="16"/>
  <c r="P463" i="16" s="1"/>
  <c r="N455" i="16"/>
  <c r="P455" i="16" s="1"/>
  <c r="N447" i="16"/>
  <c r="P447" i="16" s="1"/>
  <c r="N439" i="16"/>
  <c r="P439" i="16" s="1"/>
  <c r="N431" i="16"/>
  <c r="P431" i="16" s="1"/>
  <c r="N594" i="16"/>
  <c r="P594" i="16" s="1"/>
  <c r="N586" i="16"/>
  <c r="P586" i="16" s="1"/>
  <c r="N578" i="16"/>
  <c r="P578" i="16" s="1"/>
  <c r="N597" i="16"/>
  <c r="P597" i="16" s="1"/>
  <c r="N589" i="16"/>
  <c r="P589" i="16" s="1"/>
  <c r="N581" i="16"/>
  <c r="P581" i="16" s="1"/>
  <c r="N425" i="16"/>
  <c r="P425" i="16" s="1"/>
  <c r="N417" i="16"/>
  <c r="P417" i="16" s="1"/>
  <c r="N409" i="16"/>
  <c r="P409" i="16" s="1"/>
  <c r="N401" i="16"/>
  <c r="P401" i="16" s="1"/>
  <c r="N393" i="16"/>
  <c r="P393" i="16" s="1"/>
  <c r="N385" i="16"/>
  <c r="P385" i="16" s="1"/>
  <c r="N377" i="16"/>
  <c r="P377" i="16" s="1"/>
  <c r="N369" i="16"/>
  <c r="P369" i="16" s="1"/>
  <c r="N361" i="16"/>
  <c r="P361" i="16" s="1"/>
  <c r="N349" i="16"/>
  <c r="P349" i="16" s="1"/>
  <c r="N341" i="16"/>
  <c r="P341" i="16" s="1"/>
  <c r="N333" i="16"/>
  <c r="P333" i="16" s="1"/>
  <c r="N325" i="16"/>
  <c r="P325" i="16" s="1"/>
  <c r="N567" i="16"/>
  <c r="P567" i="16" s="1"/>
  <c r="N551" i="16"/>
  <c r="P551" i="16" s="1"/>
  <c r="N535" i="16"/>
  <c r="P535" i="16" s="1"/>
  <c r="N519" i="16"/>
  <c r="P519" i="16" s="1"/>
  <c r="N503" i="16"/>
  <c r="P503" i="16" s="1"/>
  <c r="N487" i="16"/>
  <c r="P487" i="16" s="1"/>
  <c r="N466" i="16"/>
  <c r="P466" i="16" s="1"/>
  <c r="N450" i="16"/>
  <c r="P450" i="16" s="1"/>
  <c r="N434" i="16"/>
  <c r="P434" i="16" s="1"/>
  <c r="N428" i="16"/>
  <c r="P428" i="16" s="1"/>
  <c r="N420" i="16"/>
  <c r="P420" i="16" s="1"/>
  <c r="N412" i="16"/>
  <c r="P412" i="16" s="1"/>
  <c r="N404" i="16"/>
  <c r="P404" i="16" s="1"/>
  <c r="N396" i="16"/>
  <c r="P396" i="16" s="1"/>
  <c r="N388" i="16"/>
  <c r="P388" i="16" s="1"/>
  <c r="N380" i="16"/>
  <c r="P380" i="16" s="1"/>
  <c r="N372" i="16"/>
  <c r="P372" i="16" s="1"/>
  <c r="N364" i="16"/>
  <c r="P364" i="16" s="1"/>
  <c r="N352" i="16"/>
  <c r="P352" i="16" s="1"/>
  <c r="N344" i="16"/>
  <c r="P344" i="16" s="1"/>
  <c r="N336" i="16"/>
  <c r="P336" i="16" s="1"/>
  <c r="N599" i="16"/>
  <c r="P599" i="16" s="1"/>
  <c r="N591" i="16"/>
  <c r="P591" i="16" s="1"/>
  <c r="N583" i="16"/>
  <c r="P583" i="16" s="1"/>
  <c r="N570" i="16"/>
  <c r="P570" i="16" s="1"/>
  <c r="N554" i="16"/>
  <c r="P554" i="16" s="1"/>
  <c r="N538" i="16"/>
  <c r="P538" i="16" s="1"/>
  <c r="N522" i="16"/>
  <c r="P522" i="16" s="1"/>
  <c r="N506" i="16"/>
  <c r="P506" i="16" s="1"/>
  <c r="N490" i="16"/>
  <c r="P490" i="16" s="1"/>
  <c r="N469" i="16"/>
  <c r="P469" i="16" s="1"/>
  <c r="N453" i="16"/>
  <c r="P453" i="16" s="1"/>
  <c r="N437" i="16"/>
  <c r="P437" i="16" s="1"/>
  <c r="N423" i="16"/>
  <c r="P423" i="16" s="1"/>
  <c r="N415" i="16"/>
  <c r="P415" i="16" s="1"/>
  <c r="N407" i="16"/>
  <c r="P407" i="16" s="1"/>
  <c r="N399" i="16"/>
  <c r="P399" i="16" s="1"/>
  <c r="N391" i="16"/>
  <c r="P391" i="16" s="1"/>
  <c r="N383" i="16"/>
  <c r="P383" i="16" s="1"/>
  <c r="N375" i="16"/>
  <c r="P375" i="16" s="1"/>
  <c r="N367" i="16"/>
  <c r="P367" i="16" s="1"/>
  <c r="N359" i="16"/>
  <c r="P359" i="16" s="1"/>
  <c r="N347" i="16"/>
  <c r="P347" i="16" s="1"/>
  <c r="N339" i="16"/>
  <c r="P339" i="16" s="1"/>
  <c r="N421" i="16"/>
  <c r="P421" i="16" s="1"/>
  <c r="N413" i="16"/>
  <c r="P413" i="16" s="1"/>
  <c r="N405" i="16"/>
  <c r="P405" i="16" s="1"/>
  <c r="N397" i="16"/>
  <c r="P397" i="16" s="1"/>
  <c r="N389" i="16"/>
  <c r="P389" i="16" s="1"/>
  <c r="N381" i="16"/>
  <c r="P381" i="16" s="1"/>
  <c r="N373" i="16"/>
  <c r="P373" i="16" s="1"/>
  <c r="N365" i="16"/>
  <c r="P365" i="16" s="1"/>
  <c r="N357" i="16"/>
  <c r="P357" i="16" s="1"/>
  <c r="N345" i="16"/>
  <c r="P345" i="16" s="1"/>
  <c r="N337" i="16"/>
  <c r="P337" i="16" s="1"/>
  <c r="N329" i="16"/>
  <c r="P329" i="16" s="1"/>
  <c r="N321" i="16"/>
  <c r="P321" i="16" s="1"/>
  <c r="N316" i="16"/>
  <c r="P316" i="16" s="1"/>
  <c r="N308" i="16"/>
  <c r="P308" i="16" s="1"/>
  <c r="N300" i="16"/>
  <c r="P300" i="16" s="1"/>
  <c r="N292" i="16"/>
  <c r="P292" i="16" s="1"/>
  <c r="N284" i="16"/>
  <c r="P284" i="16" s="1"/>
  <c r="N276" i="16"/>
  <c r="P276" i="16" s="1"/>
  <c r="N268" i="16"/>
  <c r="P268" i="16" s="1"/>
  <c r="N422" i="16"/>
  <c r="P422" i="16" s="1"/>
  <c r="N414" i="16"/>
  <c r="P414" i="16" s="1"/>
  <c r="N406" i="16"/>
  <c r="P406" i="16" s="1"/>
  <c r="N398" i="16"/>
  <c r="P398" i="16" s="1"/>
  <c r="N390" i="16"/>
  <c r="P390" i="16" s="1"/>
  <c r="N382" i="16"/>
  <c r="P382" i="16" s="1"/>
  <c r="N374" i="16"/>
  <c r="P374" i="16" s="1"/>
  <c r="N366" i="16"/>
  <c r="P366" i="16" s="1"/>
  <c r="N358" i="16"/>
  <c r="P358" i="16" s="1"/>
  <c r="N346" i="16"/>
  <c r="P346" i="16" s="1"/>
  <c r="N338" i="16"/>
  <c r="P338" i="16" s="1"/>
  <c r="N311" i="16"/>
  <c r="P311" i="16" s="1"/>
  <c r="N303" i="16"/>
  <c r="P303" i="16" s="1"/>
  <c r="N295" i="16"/>
  <c r="P295" i="16" s="1"/>
  <c r="N287" i="16"/>
  <c r="P287" i="16" s="1"/>
  <c r="N279" i="16"/>
  <c r="P279" i="16" s="1"/>
  <c r="N271" i="16"/>
  <c r="P271" i="16" s="1"/>
  <c r="N424" i="16"/>
  <c r="P424" i="16" s="1"/>
  <c r="N416" i="16"/>
  <c r="P416" i="16" s="1"/>
  <c r="N408" i="16"/>
  <c r="P408" i="16" s="1"/>
  <c r="N400" i="16"/>
  <c r="P400" i="16" s="1"/>
  <c r="N392" i="16"/>
  <c r="P392" i="16" s="1"/>
  <c r="N384" i="16"/>
  <c r="P384" i="16" s="1"/>
  <c r="N376" i="16"/>
  <c r="P376" i="16" s="1"/>
  <c r="N368" i="16"/>
  <c r="P368" i="16" s="1"/>
  <c r="N360" i="16"/>
  <c r="P360" i="16" s="1"/>
  <c r="N348" i="16"/>
  <c r="P348" i="16" s="1"/>
  <c r="N340" i="16"/>
  <c r="P340" i="16" s="1"/>
  <c r="N335" i="16"/>
  <c r="P335" i="16" s="1"/>
  <c r="N317" i="16"/>
  <c r="P317" i="16" s="1"/>
  <c r="N309" i="16"/>
  <c r="P309" i="16" s="1"/>
  <c r="N301" i="16"/>
  <c r="P301" i="16" s="1"/>
  <c r="N293" i="16"/>
  <c r="P293" i="16" s="1"/>
  <c r="N285" i="16"/>
  <c r="P285" i="16" s="1"/>
  <c r="N277" i="16"/>
  <c r="P277" i="16" s="1"/>
  <c r="N269" i="16"/>
  <c r="P269" i="16" s="1"/>
  <c r="N575" i="16"/>
  <c r="P575" i="16" s="1"/>
  <c r="N426" i="16"/>
  <c r="P426" i="16" s="1"/>
  <c r="N418" i="16"/>
  <c r="P418" i="16" s="1"/>
  <c r="N410" i="16"/>
  <c r="P410" i="16" s="1"/>
  <c r="N402" i="16"/>
  <c r="P402" i="16" s="1"/>
  <c r="N394" i="16"/>
  <c r="P394" i="16" s="1"/>
  <c r="N386" i="16"/>
  <c r="P386" i="16" s="1"/>
  <c r="N378" i="16"/>
  <c r="P378" i="16" s="1"/>
  <c r="N370" i="16"/>
  <c r="P370" i="16" s="1"/>
  <c r="N362" i="16"/>
  <c r="P362" i="16" s="1"/>
  <c r="N350" i="16"/>
  <c r="P350" i="16" s="1"/>
  <c r="N342" i="16"/>
  <c r="P342" i="16" s="1"/>
  <c r="N312" i="16"/>
  <c r="P312" i="16" s="1"/>
  <c r="N304" i="16"/>
  <c r="P304" i="16" s="1"/>
  <c r="N296" i="16"/>
  <c r="P296" i="16" s="1"/>
  <c r="N288" i="16"/>
  <c r="P288" i="16" s="1"/>
  <c r="N280" i="16"/>
  <c r="P280" i="16" s="1"/>
  <c r="N272" i="16"/>
  <c r="P272" i="16" s="1"/>
  <c r="N264" i="16"/>
  <c r="P264" i="16" s="1"/>
  <c r="N543" i="16"/>
  <c r="P543" i="16" s="1"/>
  <c r="N514" i="16"/>
  <c r="P514" i="16" s="1"/>
  <c r="N474" i="16"/>
  <c r="P474" i="16" s="1"/>
  <c r="N445" i="16"/>
  <c r="P445" i="16" s="1"/>
  <c r="N334" i="16"/>
  <c r="P334" i="16" s="1"/>
  <c r="N318" i="16"/>
  <c r="P318" i="16" s="1"/>
  <c r="N313" i="16"/>
  <c r="P313" i="16" s="1"/>
  <c r="N310" i="16"/>
  <c r="P310" i="16" s="1"/>
  <c r="N305" i="16"/>
  <c r="P305" i="16" s="1"/>
  <c r="N302" i="16"/>
  <c r="P302" i="16" s="1"/>
  <c r="N297" i="16"/>
  <c r="P297" i="16" s="1"/>
  <c r="N294" i="16"/>
  <c r="P294" i="16" s="1"/>
  <c r="N289" i="16"/>
  <c r="P289" i="16" s="1"/>
  <c r="N286" i="16"/>
  <c r="P286" i="16" s="1"/>
  <c r="N281" i="16"/>
  <c r="P281" i="16" s="1"/>
  <c r="N278" i="16"/>
  <c r="P278" i="16" s="1"/>
  <c r="N273" i="16"/>
  <c r="P273" i="16" s="1"/>
  <c r="N270" i="16"/>
  <c r="P270" i="16" s="1"/>
  <c r="N265" i="16"/>
  <c r="P265" i="16" s="1"/>
  <c r="N258" i="16"/>
  <c r="P258" i="16" s="1"/>
  <c r="N250" i="16"/>
  <c r="P250" i="16" s="1"/>
  <c r="N242" i="16"/>
  <c r="P242" i="16" s="1"/>
  <c r="N238" i="16"/>
  <c r="P238" i="16" s="1"/>
  <c r="N557" i="16"/>
  <c r="P557" i="16" s="1"/>
  <c r="N533" i="16"/>
  <c r="P533" i="16" s="1"/>
  <c r="N493" i="16"/>
  <c r="P493" i="16" s="1"/>
  <c r="N464" i="16"/>
  <c r="P464" i="16" s="1"/>
  <c r="N562" i="16"/>
  <c r="P562" i="16" s="1"/>
  <c r="N527" i="16"/>
  <c r="P527" i="16" s="1"/>
  <c r="N498" i="16"/>
  <c r="P498" i="16" s="1"/>
  <c r="N458" i="16"/>
  <c r="P458" i="16" s="1"/>
  <c r="N429" i="16"/>
  <c r="P429" i="16" s="1"/>
  <c r="N330" i="16"/>
  <c r="P330" i="16" s="1"/>
  <c r="N256" i="16"/>
  <c r="P256" i="16" s="1"/>
  <c r="N248" i="16"/>
  <c r="P248" i="16" s="1"/>
  <c r="N240" i="16"/>
  <c r="P240" i="16" s="1"/>
  <c r="N541" i="16"/>
  <c r="P541" i="16" s="1"/>
  <c r="N517" i="16"/>
  <c r="P517" i="16" s="1"/>
  <c r="N472" i="16"/>
  <c r="P472" i="16" s="1"/>
  <c r="N448" i="16"/>
  <c r="P448" i="16" s="1"/>
  <c r="N323" i="16"/>
  <c r="P323" i="16" s="1"/>
  <c r="N320" i="16"/>
  <c r="P320" i="16" s="1"/>
  <c r="N259" i="16"/>
  <c r="P259" i="16" s="1"/>
  <c r="N251" i="16"/>
  <c r="P251" i="16" s="1"/>
  <c r="N243" i="16"/>
  <c r="P243" i="16" s="1"/>
  <c r="N237" i="16"/>
  <c r="P237" i="16" s="1"/>
  <c r="N546" i="16"/>
  <c r="P546" i="16" s="1"/>
  <c r="N511" i="16"/>
  <c r="P511" i="16" s="1"/>
  <c r="N482" i="16"/>
  <c r="P482" i="16" s="1"/>
  <c r="N442" i="16"/>
  <c r="P442" i="16" s="1"/>
  <c r="N559" i="16"/>
  <c r="P559" i="16" s="1"/>
  <c r="N530" i="16"/>
  <c r="P530" i="16" s="1"/>
  <c r="N495" i="16"/>
  <c r="P495" i="16" s="1"/>
  <c r="N461" i="16"/>
  <c r="P461" i="16" s="1"/>
  <c r="N322" i="16"/>
  <c r="P322" i="16" s="1"/>
  <c r="N260" i="16"/>
  <c r="P260" i="16" s="1"/>
  <c r="N252" i="16"/>
  <c r="P252" i="16" s="1"/>
  <c r="N244" i="16"/>
  <c r="P244" i="16" s="1"/>
  <c r="N236" i="16"/>
  <c r="P236" i="16" s="1"/>
  <c r="N549" i="16"/>
  <c r="P549" i="16" s="1"/>
  <c r="N485" i="16"/>
  <c r="P485" i="16" s="1"/>
  <c r="N326" i="16"/>
  <c r="P326" i="16" s="1"/>
  <c r="E212" i="16"/>
  <c r="D209" i="16"/>
  <c r="N261" i="16"/>
  <c r="P261" i="16" s="1"/>
  <c r="N253" i="16"/>
  <c r="P253" i="16" s="1"/>
  <c r="N245" i="16"/>
  <c r="P245" i="16" s="1"/>
  <c r="N235" i="16"/>
  <c r="P235" i="16" s="1"/>
  <c r="D212" i="16"/>
  <c r="N525" i="16"/>
  <c r="P525" i="16" s="1"/>
  <c r="N456" i="16"/>
  <c r="P456" i="16" s="1"/>
  <c r="N411" i="16"/>
  <c r="P411" i="16" s="1"/>
  <c r="N395" i="16"/>
  <c r="P395" i="16" s="1"/>
  <c r="N379" i="16"/>
  <c r="P379" i="16" s="1"/>
  <c r="N363" i="16"/>
  <c r="P363" i="16" s="1"/>
  <c r="N343" i="16"/>
  <c r="P343" i="16" s="1"/>
  <c r="N319" i="16"/>
  <c r="P319" i="16" s="1"/>
  <c r="N315" i="16"/>
  <c r="P315" i="16" s="1"/>
  <c r="N307" i="16"/>
  <c r="P307" i="16" s="1"/>
  <c r="N299" i="16"/>
  <c r="P299" i="16" s="1"/>
  <c r="N291" i="16"/>
  <c r="P291" i="16" s="1"/>
  <c r="N283" i="16"/>
  <c r="P283" i="16" s="1"/>
  <c r="N275" i="16"/>
  <c r="P275" i="16" s="1"/>
  <c r="N267" i="16"/>
  <c r="P267" i="16" s="1"/>
  <c r="N324" i="16"/>
  <c r="P324" i="16" s="1"/>
  <c r="N263" i="16"/>
  <c r="P263" i="16" s="1"/>
  <c r="N255" i="16"/>
  <c r="P255" i="16" s="1"/>
  <c r="N247" i="16"/>
  <c r="P247" i="16" s="1"/>
  <c r="N239" i="16"/>
  <c r="P239" i="16" s="1"/>
  <c r="C210" i="16"/>
  <c r="I210" i="16" s="1"/>
  <c r="N573" i="16"/>
  <c r="P573" i="16" s="1"/>
  <c r="N509" i="16"/>
  <c r="P509" i="16" s="1"/>
  <c r="N440" i="16"/>
  <c r="P440" i="16" s="1"/>
  <c r="N427" i="16"/>
  <c r="P427" i="16" s="1"/>
  <c r="N332" i="16"/>
  <c r="P332" i="16" s="1"/>
  <c r="N328" i="16"/>
  <c r="P328" i="16" s="1"/>
  <c r="N314" i="16"/>
  <c r="P314" i="16" s="1"/>
  <c r="N306" i="16"/>
  <c r="P306" i="16" s="1"/>
  <c r="N298" i="16"/>
  <c r="P298" i="16" s="1"/>
  <c r="N290" i="16"/>
  <c r="P290" i="16" s="1"/>
  <c r="N282" i="16"/>
  <c r="P282" i="16" s="1"/>
  <c r="N274" i="16"/>
  <c r="P274" i="16" s="1"/>
  <c r="N266" i="16"/>
  <c r="P266" i="16" s="1"/>
  <c r="N257" i="16"/>
  <c r="P257" i="16" s="1"/>
  <c r="N249" i="16"/>
  <c r="P249" i="16" s="1"/>
  <c r="N241" i="16"/>
  <c r="P241" i="16" s="1"/>
  <c r="N233" i="16"/>
  <c r="P233" i="16" s="1"/>
  <c r="N432" i="16"/>
  <c r="P432" i="16" s="1"/>
  <c r="N403" i="16"/>
  <c r="P403" i="16" s="1"/>
  <c r="N331" i="16"/>
  <c r="P331" i="16" s="1"/>
  <c r="N387" i="16"/>
  <c r="P387" i="16" s="1"/>
  <c r="N327" i="16"/>
  <c r="P327" i="16" s="1"/>
  <c r="N262" i="16"/>
  <c r="P262" i="16" s="1"/>
  <c r="N246" i="16"/>
  <c r="P246" i="16" s="1"/>
  <c r="N234" i="16"/>
  <c r="P234" i="16" s="1"/>
  <c r="N565" i="16"/>
  <c r="P565" i="16" s="1"/>
  <c r="N371" i="16"/>
  <c r="P371" i="16" s="1"/>
  <c r="D208" i="16"/>
  <c r="N501" i="16"/>
  <c r="P501" i="16" s="1"/>
  <c r="N419" i="16"/>
  <c r="P419" i="16" s="1"/>
  <c r="N351" i="16"/>
  <c r="P351" i="16" s="1"/>
  <c r="D211" i="16"/>
  <c r="N254" i="16"/>
  <c r="P254" i="16" s="1"/>
  <c r="C208" i="16"/>
  <c r="I208" i="16" s="1"/>
  <c r="D210" i="16"/>
  <c r="E87" i="16"/>
  <c r="E141" i="16" s="1"/>
  <c r="E210" i="16"/>
  <c r="E208" i="16"/>
  <c r="E209" i="16"/>
  <c r="C212" i="16"/>
  <c r="I212" i="16" s="1"/>
  <c r="E211" i="16"/>
  <c r="C209" i="16"/>
  <c r="I209" i="16" s="1"/>
  <c r="C211" i="16"/>
  <c r="I211" i="16" s="1"/>
  <c r="E88" i="16"/>
  <c r="E142" i="16" s="1"/>
  <c r="D91" i="16"/>
  <c r="D145" i="16" s="1"/>
  <c r="D88" i="16"/>
  <c r="D142" i="16" s="1"/>
  <c r="C89" i="16"/>
  <c r="D87" i="16"/>
  <c r="D141" i="16" s="1"/>
  <c r="C87" i="16"/>
  <c r="I70" i="16"/>
  <c r="AA52" i="16" s="1"/>
  <c r="I71" i="16"/>
  <c r="AA54" i="16" s="1"/>
  <c r="F146" i="16"/>
  <c r="J146" i="16" s="1"/>
  <c r="L146" i="16" s="1"/>
  <c r="J92" i="16"/>
  <c r="J71" i="16"/>
  <c r="AA55" i="16" s="1"/>
  <c r="J70" i="16"/>
  <c r="AA53" i="16" s="1"/>
  <c r="AF11" i="16"/>
  <c r="N169" i="16"/>
  <c r="Q77" i="16"/>
  <c r="Q78" i="16"/>
  <c r="Q79" i="16"/>
  <c r="Q75" i="16"/>
  <c r="L10" i="16"/>
  <c r="Q76" i="16"/>
  <c r="Q74" i="16"/>
  <c r="M169" i="16"/>
  <c r="P77" i="16"/>
  <c r="R77" i="16" s="1"/>
  <c r="S77" i="16" s="1"/>
  <c r="P78" i="16"/>
  <c r="R78" i="16" s="1"/>
  <c r="S78" i="16" s="1"/>
  <c r="P79" i="16"/>
  <c r="R79" i="16" s="1"/>
  <c r="S79" i="16" s="1"/>
  <c r="P75" i="16"/>
  <c r="R75" i="16" s="1"/>
  <c r="S75" i="16" s="1"/>
  <c r="K10" i="16"/>
  <c r="P76" i="16"/>
  <c r="R76" i="16" s="1"/>
  <c r="S76" i="16" s="1"/>
  <c r="I88" i="16"/>
  <c r="C142" i="16"/>
  <c r="I142" i="16" s="1"/>
  <c r="K142" i="16" s="1"/>
  <c r="C144" i="16"/>
  <c r="I144" i="16" s="1"/>
  <c r="K144" i="16" s="1"/>
  <c r="I90" i="16"/>
  <c r="F145" i="16"/>
  <c r="J145" i="16" s="1"/>
  <c r="L145" i="16" s="1"/>
  <c r="J91" i="16"/>
  <c r="O595" i="16"/>
  <c r="Q595" i="16" s="1"/>
  <c r="O587" i="16"/>
  <c r="Q587" i="16" s="1"/>
  <c r="O579" i="16"/>
  <c r="Q579" i="16" s="1"/>
  <c r="O571" i="16"/>
  <c r="Q571" i="16" s="1"/>
  <c r="O563" i="16"/>
  <c r="Q563" i="16" s="1"/>
  <c r="O555" i="16"/>
  <c r="Q555" i="16" s="1"/>
  <c r="O547" i="16"/>
  <c r="Q547" i="16" s="1"/>
  <c r="O539" i="16"/>
  <c r="Q539" i="16" s="1"/>
  <c r="O531" i="16"/>
  <c r="Q531" i="16" s="1"/>
  <c r="O523" i="16"/>
  <c r="Q523" i="16" s="1"/>
  <c r="O515" i="16"/>
  <c r="Q515" i="16" s="1"/>
  <c r="O507" i="16"/>
  <c r="Q507" i="16" s="1"/>
  <c r="O499" i="16"/>
  <c r="Q499" i="16" s="1"/>
  <c r="O491" i="16"/>
  <c r="Q491" i="16" s="1"/>
  <c r="O483" i="16"/>
  <c r="Q483" i="16" s="1"/>
  <c r="O470" i="16"/>
  <c r="Q470" i="16" s="1"/>
  <c r="O462" i="16"/>
  <c r="Q462" i="16" s="1"/>
  <c r="O454" i="16"/>
  <c r="Q454" i="16" s="1"/>
  <c r="O446" i="16"/>
  <c r="Q446" i="16" s="1"/>
  <c r="O438" i="16"/>
  <c r="Q438" i="16" s="1"/>
  <c r="O430" i="16"/>
  <c r="Q430" i="16" s="1"/>
  <c r="O598" i="16"/>
  <c r="Q598" i="16" s="1"/>
  <c r="O590" i="16"/>
  <c r="Q590" i="16" s="1"/>
  <c r="O582" i="16"/>
  <c r="Q582" i="16" s="1"/>
  <c r="O574" i="16"/>
  <c r="Q574" i="16" s="1"/>
  <c r="O566" i="16"/>
  <c r="Q566" i="16" s="1"/>
  <c r="O558" i="16"/>
  <c r="Q558" i="16" s="1"/>
  <c r="O550" i="16"/>
  <c r="Q550" i="16" s="1"/>
  <c r="O542" i="16"/>
  <c r="Q542" i="16" s="1"/>
  <c r="O534" i="16"/>
  <c r="Q534" i="16" s="1"/>
  <c r="O526" i="16"/>
  <c r="Q526" i="16" s="1"/>
  <c r="O518" i="16"/>
  <c r="Q518" i="16" s="1"/>
  <c r="O510" i="16"/>
  <c r="Q510" i="16" s="1"/>
  <c r="O502" i="16"/>
  <c r="Q502" i="16" s="1"/>
  <c r="O494" i="16"/>
  <c r="Q494" i="16" s="1"/>
  <c r="O486" i="16"/>
  <c r="Q486" i="16" s="1"/>
  <c r="O473" i="16"/>
  <c r="Q473" i="16" s="1"/>
  <c r="O465" i="16"/>
  <c r="Q465" i="16" s="1"/>
  <c r="O457" i="16"/>
  <c r="Q457" i="16" s="1"/>
  <c r="O449" i="16"/>
  <c r="Q449" i="16" s="1"/>
  <c r="O441" i="16"/>
  <c r="Q441" i="16" s="1"/>
  <c r="O433" i="16"/>
  <c r="Q433" i="16" s="1"/>
  <c r="O601" i="16"/>
  <c r="Q601" i="16" s="1"/>
  <c r="O593" i="16"/>
  <c r="Q593" i="16" s="1"/>
  <c r="O585" i="16"/>
  <c r="Q585" i="16" s="1"/>
  <c r="O577" i="16"/>
  <c r="Q577" i="16" s="1"/>
  <c r="O569" i="16"/>
  <c r="Q569" i="16" s="1"/>
  <c r="O561" i="16"/>
  <c r="Q561" i="16" s="1"/>
  <c r="O553" i="16"/>
  <c r="Q553" i="16" s="1"/>
  <c r="O545" i="16"/>
  <c r="Q545" i="16" s="1"/>
  <c r="O537" i="16"/>
  <c r="Q537" i="16" s="1"/>
  <c r="O529" i="16"/>
  <c r="Q529" i="16" s="1"/>
  <c r="O521" i="16"/>
  <c r="Q521" i="16" s="1"/>
  <c r="O513" i="16"/>
  <c r="Q513" i="16" s="1"/>
  <c r="O505" i="16"/>
  <c r="Q505" i="16" s="1"/>
  <c r="O497" i="16"/>
  <c r="Q497" i="16" s="1"/>
  <c r="O489" i="16"/>
  <c r="Q489" i="16" s="1"/>
  <c r="O476" i="16"/>
  <c r="Q476" i="16" s="1"/>
  <c r="O468" i="16"/>
  <c r="Q468" i="16" s="1"/>
  <c r="O460" i="16"/>
  <c r="Q460" i="16" s="1"/>
  <c r="O452" i="16"/>
  <c r="Q452" i="16" s="1"/>
  <c r="O444" i="16"/>
  <c r="Q444" i="16" s="1"/>
  <c r="O436" i="16"/>
  <c r="Q436" i="16" s="1"/>
  <c r="O428" i="16"/>
  <c r="Q428" i="16" s="1"/>
  <c r="O596" i="16"/>
  <c r="Q596" i="16" s="1"/>
  <c r="O588" i="16"/>
  <c r="Q588" i="16" s="1"/>
  <c r="O580" i="16"/>
  <c r="Q580" i="16" s="1"/>
  <c r="O572" i="16"/>
  <c r="Q572" i="16" s="1"/>
  <c r="O564" i="16"/>
  <c r="Q564" i="16" s="1"/>
  <c r="O556" i="16"/>
  <c r="Q556" i="16" s="1"/>
  <c r="O548" i="16"/>
  <c r="Q548" i="16" s="1"/>
  <c r="O540" i="16"/>
  <c r="Q540" i="16" s="1"/>
  <c r="O532" i="16"/>
  <c r="Q532" i="16" s="1"/>
  <c r="O524" i="16"/>
  <c r="Q524" i="16" s="1"/>
  <c r="O516" i="16"/>
  <c r="Q516" i="16" s="1"/>
  <c r="O508" i="16"/>
  <c r="Q508" i="16" s="1"/>
  <c r="O500" i="16"/>
  <c r="Q500" i="16" s="1"/>
  <c r="O492" i="16"/>
  <c r="Q492" i="16" s="1"/>
  <c r="O484" i="16"/>
  <c r="Q484" i="16" s="1"/>
  <c r="O471" i="16"/>
  <c r="Q471" i="16" s="1"/>
  <c r="O463" i="16"/>
  <c r="Q463" i="16" s="1"/>
  <c r="O455" i="16"/>
  <c r="Q455" i="16" s="1"/>
  <c r="O447" i="16"/>
  <c r="Q447" i="16" s="1"/>
  <c r="O439" i="16"/>
  <c r="Q439" i="16" s="1"/>
  <c r="O431" i="16"/>
  <c r="Q431" i="16" s="1"/>
  <c r="O599" i="16"/>
  <c r="Q599" i="16" s="1"/>
  <c r="O591" i="16"/>
  <c r="Q591" i="16" s="1"/>
  <c r="O583" i="16"/>
  <c r="Q583" i="16" s="1"/>
  <c r="O575" i="16"/>
  <c r="Q575" i="16" s="1"/>
  <c r="O567" i="16"/>
  <c r="Q567" i="16" s="1"/>
  <c r="O559" i="16"/>
  <c r="Q559" i="16" s="1"/>
  <c r="O551" i="16"/>
  <c r="Q551" i="16" s="1"/>
  <c r="O543" i="16"/>
  <c r="Q543" i="16" s="1"/>
  <c r="O535" i="16"/>
  <c r="Q535" i="16" s="1"/>
  <c r="O527" i="16"/>
  <c r="Q527" i="16" s="1"/>
  <c r="O519" i="16"/>
  <c r="Q519" i="16" s="1"/>
  <c r="O511" i="16"/>
  <c r="Q511" i="16" s="1"/>
  <c r="O503" i="16"/>
  <c r="Q503" i="16" s="1"/>
  <c r="O495" i="16"/>
  <c r="Q495" i="16" s="1"/>
  <c r="O487" i="16"/>
  <c r="Q487" i="16" s="1"/>
  <c r="O474" i="16"/>
  <c r="Q474" i="16" s="1"/>
  <c r="O466" i="16"/>
  <c r="Q466" i="16" s="1"/>
  <c r="O458" i="16"/>
  <c r="Q458" i="16" s="1"/>
  <c r="O450" i="16"/>
  <c r="Q450" i="16" s="1"/>
  <c r="O442" i="16"/>
  <c r="Q442" i="16" s="1"/>
  <c r="O434" i="16"/>
  <c r="Q434" i="16" s="1"/>
  <c r="O597" i="16"/>
  <c r="Q597" i="16" s="1"/>
  <c r="O589" i="16"/>
  <c r="Q589" i="16" s="1"/>
  <c r="O581" i="16"/>
  <c r="Q581" i="16" s="1"/>
  <c r="O600" i="16"/>
  <c r="Q600" i="16" s="1"/>
  <c r="O592" i="16"/>
  <c r="Q592" i="16" s="1"/>
  <c r="O584" i="16"/>
  <c r="Q584" i="16" s="1"/>
  <c r="O420" i="16"/>
  <c r="Q420" i="16" s="1"/>
  <c r="O412" i="16"/>
  <c r="Q412" i="16" s="1"/>
  <c r="O404" i="16"/>
  <c r="Q404" i="16" s="1"/>
  <c r="O396" i="16"/>
  <c r="Q396" i="16" s="1"/>
  <c r="O388" i="16"/>
  <c r="Q388" i="16" s="1"/>
  <c r="O380" i="16"/>
  <c r="Q380" i="16" s="1"/>
  <c r="O372" i="16"/>
  <c r="Q372" i="16" s="1"/>
  <c r="O364" i="16"/>
  <c r="Q364" i="16" s="1"/>
  <c r="O352" i="16"/>
  <c r="Q352" i="16" s="1"/>
  <c r="O344" i="16"/>
  <c r="Q344" i="16" s="1"/>
  <c r="O336" i="16"/>
  <c r="Q336" i="16" s="1"/>
  <c r="O328" i="16"/>
  <c r="Q328" i="16" s="1"/>
  <c r="O320" i="16"/>
  <c r="Q320" i="16" s="1"/>
  <c r="O570" i="16"/>
  <c r="Q570" i="16" s="1"/>
  <c r="O554" i="16"/>
  <c r="Q554" i="16" s="1"/>
  <c r="O538" i="16"/>
  <c r="Q538" i="16" s="1"/>
  <c r="O522" i="16"/>
  <c r="Q522" i="16" s="1"/>
  <c r="O506" i="16"/>
  <c r="Q506" i="16" s="1"/>
  <c r="O490" i="16"/>
  <c r="Q490" i="16" s="1"/>
  <c r="O469" i="16"/>
  <c r="Q469" i="16" s="1"/>
  <c r="O453" i="16"/>
  <c r="Q453" i="16" s="1"/>
  <c r="O437" i="16"/>
  <c r="Q437" i="16" s="1"/>
  <c r="O423" i="16"/>
  <c r="Q423" i="16" s="1"/>
  <c r="O415" i="16"/>
  <c r="Q415" i="16" s="1"/>
  <c r="O407" i="16"/>
  <c r="Q407" i="16" s="1"/>
  <c r="O399" i="16"/>
  <c r="Q399" i="16" s="1"/>
  <c r="O391" i="16"/>
  <c r="Q391" i="16" s="1"/>
  <c r="O383" i="16"/>
  <c r="Q383" i="16" s="1"/>
  <c r="O375" i="16"/>
  <c r="Q375" i="16" s="1"/>
  <c r="O367" i="16"/>
  <c r="Q367" i="16" s="1"/>
  <c r="O359" i="16"/>
  <c r="Q359" i="16" s="1"/>
  <c r="O347" i="16"/>
  <c r="Q347" i="16" s="1"/>
  <c r="O339" i="16"/>
  <c r="Q339" i="16" s="1"/>
  <c r="O573" i="16"/>
  <c r="Q573" i="16" s="1"/>
  <c r="O557" i="16"/>
  <c r="Q557" i="16" s="1"/>
  <c r="O541" i="16"/>
  <c r="Q541" i="16" s="1"/>
  <c r="O525" i="16"/>
  <c r="Q525" i="16" s="1"/>
  <c r="O509" i="16"/>
  <c r="Q509" i="16" s="1"/>
  <c r="O493" i="16"/>
  <c r="Q493" i="16" s="1"/>
  <c r="O472" i="16"/>
  <c r="Q472" i="16" s="1"/>
  <c r="O456" i="16"/>
  <c r="Q456" i="16" s="1"/>
  <c r="O440" i="16"/>
  <c r="Q440" i="16" s="1"/>
  <c r="O426" i="16"/>
  <c r="Q426" i="16" s="1"/>
  <c r="O418" i="16"/>
  <c r="Q418" i="16" s="1"/>
  <c r="O410" i="16"/>
  <c r="Q410" i="16" s="1"/>
  <c r="O402" i="16"/>
  <c r="Q402" i="16" s="1"/>
  <c r="O394" i="16"/>
  <c r="Q394" i="16" s="1"/>
  <c r="O386" i="16"/>
  <c r="Q386" i="16" s="1"/>
  <c r="O378" i="16"/>
  <c r="Q378" i="16" s="1"/>
  <c r="O370" i="16"/>
  <c r="Q370" i="16" s="1"/>
  <c r="O362" i="16"/>
  <c r="Q362" i="16" s="1"/>
  <c r="O350" i="16"/>
  <c r="Q350" i="16" s="1"/>
  <c r="O342" i="16"/>
  <c r="Q342" i="16" s="1"/>
  <c r="O594" i="16"/>
  <c r="Q594" i="16" s="1"/>
  <c r="O586" i="16"/>
  <c r="Q586" i="16" s="1"/>
  <c r="O424" i="16"/>
  <c r="Q424" i="16" s="1"/>
  <c r="O416" i="16"/>
  <c r="Q416" i="16" s="1"/>
  <c r="O408" i="16"/>
  <c r="Q408" i="16" s="1"/>
  <c r="O400" i="16"/>
  <c r="Q400" i="16" s="1"/>
  <c r="O392" i="16"/>
  <c r="Q392" i="16" s="1"/>
  <c r="O384" i="16"/>
  <c r="Q384" i="16" s="1"/>
  <c r="O376" i="16"/>
  <c r="Q376" i="16" s="1"/>
  <c r="O368" i="16"/>
  <c r="Q368" i="16" s="1"/>
  <c r="O360" i="16"/>
  <c r="Q360" i="16" s="1"/>
  <c r="O348" i="16"/>
  <c r="Q348" i="16" s="1"/>
  <c r="O340" i="16"/>
  <c r="Q340" i="16" s="1"/>
  <c r="O332" i="16"/>
  <c r="Q332" i="16" s="1"/>
  <c r="O324" i="16"/>
  <c r="Q324" i="16" s="1"/>
  <c r="O568" i="16"/>
  <c r="Q568" i="16" s="1"/>
  <c r="O560" i="16"/>
  <c r="Q560" i="16" s="1"/>
  <c r="O552" i="16"/>
  <c r="Q552" i="16" s="1"/>
  <c r="O544" i="16"/>
  <c r="Q544" i="16" s="1"/>
  <c r="O536" i="16"/>
  <c r="Q536" i="16" s="1"/>
  <c r="O528" i="16"/>
  <c r="Q528" i="16" s="1"/>
  <c r="O520" i="16"/>
  <c r="Q520" i="16" s="1"/>
  <c r="O512" i="16"/>
  <c r="Q512" i="16" s="1"/>
  <c r="O504" i="16"/>
  <c r="Q504" i="16" s="1"/>
  <c r="O496" i="16"/>
  <c r="Q496" i="16" s="1"/>
  <c r="O488" i="16"/>
  <c r="Q488" i="16" s="1"/>
  <c r="O475" i="16"/>
  <c r="Q475" i="16" s="1"/>
  <c r="O467" i="16"/>
  <c r="Q467" i="16" s="1"/>
  <c r="O459" i="16"/>
  <c r="Q459" i="16" s="1"/>
  <c r="O451" i="16"/>
  <c r="Q451" i="16" s="1"/>
  <c r="O443" i="16"/>
  <c r="Q443" i="16" s="1"/>
  <c r="O435" i="16"/>
  <c r="Q435" i="16" s="1"/>
  <c r="O425" i="16"/>
  <c r="Q425" i="16" s="1"/>
  <c r="O422" i="16"/>
  <c r="Q422" i="16" s="1"/>
  <c r="O417" i="16"/>
  <c r="Q417" i="16" s="1"/>
  <c r="O414" i="16"/>
  <c r="Q414" i="16" s="1"/>
  <c r="O409" i="16"/>
  <c r="Q409" i="16" s="1"/>
  <c r="O406" i="16"/>
  <c r="Q406" i="16" s="1"/>
  <c r="O401" i="16"/>
  <c r="Q401" i="16" s="1"/>
  <c r="O398" i="16"/>
  <c r="Q398" i="16" s="1"/>
  <c r="O393" i="16"/>
  <c r="Q393" i="16" s="1"/>
  <c r="O390" i="16"/>
  <c r="Q390" i="16" s="1"/>
  <c r="O385" i="16"/>
  <c r="Q385" i="16" s="1"/>
  <c r="O382" i="16"/>
  <c r="Q382" i="16" s="1"/>
  <c r="O377" i="16"/>
  <c r="Q377" i="16" s="1"/>
  <c r="O374" i="16"/>
  <c r="Q374" i="16" s="1"/>
  <c r="O369" i="16"/>
  <c r="Q369" i="16" s="1"/>
  <c r="O366" i="16"/>
  <c r="Q366" i="16" s="1"/>
  <c r="O361" i="16"/>
  <c r="Q361" i="16" s="1"/>
  <c r="O358" i="16"/>
  <c r="Q358" i="16" s="1"/>
  <c r="O349" i="16"/>
  <c r="Q349" i="16" s="1"/>
  <c r="O346" i="16"/>
  <c r="Q346" i="16" s="1"/>
  <c r="O341" i="16"/>
  <c r="Q341" i="16" s="1"/>
  <c r="O338" i="16"/>
  <c r="Q338" i="16" s="1"/>
  <c r="O311" i="16"/>
  <c r="Q311" i="16" s="1"/>
  <c r="O303" i="16"/>
  <c r="Q303" i="16" s="1"/>
  <c r="O295" i="16"/>
  <c r="Q295" i="16" s="1"/>
  <c r="O287" i="16"/>
  <c r="Q287" i="16" s="1"/>
  <c r="O279" i="16"/>
  <c r="Q279" i="16" s="1"/>
  <c r="O271" i="16"/>
  <c r="Q271" i="16" s="1"/>
  <c r="O427" i="16"/>
  <c r="Q427" i="16" s="1"/>
  <c r="O419" i="16"/>
  <c r="Q419" i="16" s="1"/>
  <c r="O411" i="16"/>
  <c r="Q411" i="16" s="1"/>
  <c r="O403" i="16"/>
  <c r="Q403" i="16" s="1"/>
  <c r="O395" i="16"/>
  <c r="Q395" i="16" s="1"/>
  <c r="O387" i="16"/>
  <c r="Q387" i="16" s="1"/>
  <c r="O379" i="16"/>
  <c r="Q379" i="16" s="1"/>
  <c r="O371" i="16"/>
  <c r="Q371" i="16" s="1"/>
  <c r="O363" i="16"/>
  <c r="Q363" i="16" s="1"/>
  <c r="O351" i="16"/>
  <c r="Q351" i="16" s="1"/>
  <c r="O343" i="16"/>
  <c r="Q343" i="16" s="1"/>
  <c r="O331" i="16"/>
  <c r="Q331" i="16" s="1"/>
  <c r="O327" i="16"/>
  <c r="Q327" i="16" s="1"/>
  <c r="O323" i="16"/>
  <c r="Q323" i="16" s="1"/>
  <c r="O319" i="16"/>
  <c r="Q319" i="16" s="1"/>
  <c r="O314" i="16"/>
  <c r="Q314" i="16" s="1"/>
  <c r="O306" i="16"/>
  <c r="Q306" i="16" s="1"/>
  <c r="O298" i="16"/>
  <c r="Q298" i="16" s="1"/>
  <c r="O290" i="16"/>
  <c r="Q290" i="16" s="1"/>
  <c r="O282" i="16"/>
  <c r="Q282" i="16" s="1"/>
  <c r="O274" i="16"/>
  <c r="Q274" i="16" s="1"/>
  <c r="O266" i="16"/>
  <c r="Q266" i="16" s="1"/>
  <c r="O421" i="16"/>
  <c r="Q421" i="16" s="1"/>
  <c r="O413" i="16"/>
  <c r="Q413" i="16" s="1"/>
  <c r="O405" i="16"/>
  <c r="Q405" i="16" s="1"/>
  <c r="O397" i="16"/>
  <c r="Q397" i="16" s="1"/>
  <c r="O389" i="16"/>
  <c r="Q389" i="16" s="1"/>
  <c r="O381" i="16"/>
  <c r="Q381" i="16" s="1"/>
  <c r="O373" i="16"/>
  <c r="Q373" i="16" s="1"/>
  <c r="O365" i="16"/>
  <c r="Q365" i="16" s="1"/>
  <c r="O357" i="16"/>
  <c r="Q357" i="16" s="1"/>
  <c r="O345" i="16"/>
  <c r="Q345" i="16" s="1"/>
  <c r="O312" i="16"/>
  <c r="Q312" i="16" s="1"/>
  <c r="O304" i="16"/>
  <c r="Q304" i="16" s="1"/>
  <c r="O296" i="16"/>
  <c r="Q296" i="16" s="1"/>
  <c r="O288" i="16"/>
  <c r="Q288" i="16" s="1"/>
  <c r="O280" i="16"/>
  <c r="Q280" i="16" s="1"/>
  <c r="O272" i="16"/>
  <c r="Q272" i="16" s="1"/>
  <c r="O264" i="16"/>
  <c r="Q264" i="16" s="1"/>
  <c r="O562" i="16"/>
  <c r="Q562" i="16" s="1"/>
  <c r="O546" i="16"/>
  <c r="Q546" i="16" s="1"/>
  <c r="O530" i="16"/>
  <c r="Q530" i="16" s="1"/>
  <c r="O514" i="16"/>
  <c r="Q514" i="16" s="1"/>
  <c r="O498" i="16"/>
  <c r="Q498" i="16" s="1"/>
  <c r="O482" i="16"/>
  <c r="Q482" i="16" s="1"/>
  <c r="O461" i="16"/>
  <c r="Q461" i="16" s="1"/>
  <c r="O445" i="16"/>
  <c r="Q445" i="16" s="1"/>
  <c r="O429" i="16"/>
  <c r="Q429" i="16" s="1"/>
  <c r="O337" i="16"/>
  <c r="Q337" i="16" s="1"/>
  <c r="O315" i="16"/>
  <c r="Q315" i="16" s="1"/>
  <c r="O307" i="16"/>
  <c r="Q307" i="16" s="1"/>
  <c r="O299" i="16"/>
  <c r="Q299" i="16" s="1"/>
  <c r="O291" i="16"/>
  <c r="Q291" i="16" s="1"/>
  <c r="O283" i="16"/>
  <c r="Q283" i="16" s="1"/>
  <c r="O275" i="16"/>
  <c r="Q275" i="16" s="1"/>
  <c r="O267" i="16"/>
  <c r="Q267" i="16" s="1"/>
  <c r="O578" i="16"/>
  <c r="Q578" i="16" s="1"/>
  <c r="O533" i="16"/>
  <c r="Q533" i="16" s="1"/>
  <c r="O464" i="16"/>
  <c r="Q464" i="16" s="1"/>
  <c r="O321" i="16"/>
  <c r="Q321" i="16" s="1"/>
  <c r="O261" i="16"/>
  <c r="Q261" i="16" s="1"/>
  <c r="O253" i="16"/>
  <c r="Q253" i="16" s="1"/>
  <c r="O245" i="16"/>
  <c r="Q245" i="16" s="1"/>
  <c r="O235" i="16"/>
  <c r="Q235" i="16" s="1"/>
  <c r="O517" i="16"/>
  <c r="Q517" i="16" s="1"/>
  <c r="O448" i="16"/>
  <c r="Q448" i="16" s="1"/>
  <c r="O333" i="16"/>
  <c r="Q333" i="16" s="1"/>
  <c r="O317" i="16"/>
  <c r="Q317" i="16" s="1"/>
  <c r="O309" i="16"/>
  <c r="Q309" i="16" s="1"/>
  <c r="O301" i="16"/>
  <c r="Q301" i="16" s="1"/>
  <c r="O293" i="16"/>
  <c r="Q293" i="16" s="1"/>
  <c r="O285" i="16"/>
  <c r="Q285" i="16" s="1"/>
  <c r="O277" i="16"/>
  <c r="Q277" i="16" s="1"/>
  <c r="O269" i="16"/>
  <c r="Q269" i="16" s="1"/>
  <c r="O259" i="16"/>
  <c r="Q259" i="16" s="1"/>
  <c r="O251" i="16"/>
  <c r="Q251" i="16" s="1"/>
  <c r="O243" i="16"/>
  <c r="Q243" i="16" s="1"/>
  <c r="O237" i="16"/>
  <c r="Q237" i="16" s="1"/>
  <c r="O576" i="16"/>
  <c r="Q576" i="16" s="1"/>
  <c r="O326" i="16"/>
  <c r="Q326" i="16" s="1"/>
  <c r="O262" i="16"/>
  <c r="Q262" i="16" s="1"/>
  <c r="O254" i="16"/>
  <c r="Q254" i="16" s="1"/>
  <c r="O246" i="16"/>
  <c r="Q246" i="16" s="1"/>
  <c r="O234" i="16"/>
  <c r="Q234" i="16" s="1"/>
  <c r="O565" i="16"/>
  <c r="Q565" i="16" s="1"/>
  <c r="O501" i="16"/>
  <c r="Q501" i="16" s="1"/>
  <c r="O432" i="16"/>
  <c r="Q432" i="16" s="1"/>
  <c r="O549" i="16"/>
  <c r="Q549" i="16" s="1"/>
  <c r="O485" i="16"/>
  <c r="Q485" i="16" s="1"/>
  <c r="O325" i="16"/>
  <c r="Q325" i="16" s="1"/>
  <c r="O316" i="16"/>
  <c r="Q316" i="16" s="1"/>
  <c r="O308" i="16"/>
  <c r="Q308" i="16" s="1"/>
  <c r="O300" i="16"/>
  <c r="Q300" i="16" s="1"/>
  <c r="O292" i="16"/>
  <c r="Q292" i="16" s="1"/>
  <c r="O284" i="16"/>
  <c r="Q284" i="16" s="1"/>
  <c r="O276" i="16"/>
  <c r="Q276" i="16" s="1"/>
  <c r="O268" i="16"/>
  <c r="Q268" i="16" s="1"/>
  <c r="O263" i="16"/>
  <c r="Q263" i="16" s="1"/>
  <c r="O255" i="16"/>
  <c r="Q255" i="16" s="1"/>
  <c r="O247" i="16"/>
  <c r="Q247" i="16" s="1"/>
  <c r="O239" i="16"/>
  <c r="Q239" i="16" s="1"/>
  <c r="O233" i="16"/>
  <c r="Q233" i="16" s="1"/>
  <c r="O334" i="16"/>
  <c r="Q334" i="16" s="1"/>
  <c r="O330" i="16"/>
  <c r="Q330" i="16" s="1"/>
  <c r="O238" i="16"/>
  <c r="Q238" i="16" s="1"/>
  <c r="H210" i="16"/>
  <c r="O258" i="16"/>
  <c r="Q258" i="16" s="1"/>
  <c r="O250" i="16"/>
  <c r="Q250" i="16" s="1"/>
  <c r="O242" i="16"/>
  <c r="Q242" i="16" s="1"/>
  <c r="O329" i="16"/>
  <c r="Q329" i="16" s="1"/>
  <c r="O257" i="16"/>
  <c r="Q257" i="16" s="1"/>
  <c r="O249" i="16"/>
  <c r="Q249" i="16" s="1"/>
  <c r="O241" i="16"/>
  <c r="Q241" i="16" s="1"/>
  <c r="O236" i="16"/>
  <c r="Q236" i="16" s="1"/>
  <c r="O318" i="16"/>
  <c r="Q318" i="16" s="1"/>
  <c r="O310" i="16"/>
  <c r="Q310" i="16" s="1"/>
  <c r="O302" i="16"/>
  <c r="Q302" i="16" s="1"/>
  <c r="O294" i="16"/>
  <c r="Q294" i="16" s="1"/>
  <c r="O286" i="16"/>
  <c r="Q286" i="16" s="1"/>
  <c r="O278" i="16"/>
  <c r="Q278" i="16" s="1"/>
  <c r="O270" i="16"/>
  <c r="Q270" i="16" s="1"/>
  <c r="O260" i="16"/>
  <c r="Q260" i="16" s="1"/>
  <c r="O252" i="16"/>
  <c r="Q252" i="16" s="1"/>
  <c r="O244" i="16"/>
  <c r="Q244" i="16" s="1"/>
  <c r="F211" i="16"/>
  <c r="J211" i="16" s="1"/>
  <c r="O335" i="16"/>
  <c r="Q335" i="16" s="1"/>
  <c r="O322" i="16"/>
  <c r="Q322" i="16" s="1"/>
  <c r="O248" i="16"/>
  <c r="Q248" i="16" s="1"/>
  <c r="O289" i="16"/>
  <c r="Q289" i="16" s="1"/>
  <c r="H209" i="16"/>
  <c r="F209" i="16"/>
  <c r="J209" i="16" s="1"/>
  <c r="O313" i="16"/>
  <c r="Q313" i="16" s="1"/>
  <c r="O281" i="16"/>
  <c r="Q281" i="16" s="1"/>
  <c r="O273" i="16"/>
  <c r="Q273" i="16" s="1"/>
  <c r="O256" i="16"/>
  <c r="Q256" i="16" s="1"/>
  <c r="O240" i="16"/>
  <c r="Q240" i="16" s="1"/>
  <c r="H212" i="16"/>
  <c r="O305" i="16"/>
  <c r="Q305" i="16" s="1"/>
  <c r="O297" i="16"/>
  <c r="Q297" i="16" s="1"/>
  <c r="O265" i="16"/>
  <c r="Q265" i="16" s="1"/>
  <c r="F210" i="16"/>
  <c r="J210" i="16" s="1"/>
  <c r="F212" i="16"/>
  <c r="J212" i="16" s="1"/>
  <c r="F208" i="16"/>
  <c r="J208" i="16" s="1"/>
  <c r="H208" i="16"/>
  <c r="G210" i="16"/>
  <c r="G87" i="16"/>
  <c r="G141" i="16" s="1"/>
  <c r="G209" i="16"/>
  <c r="G212" i="16"/>
  <c r="G211" i="16"/>
  <c r="H211" i="16"/>
  <c r="G208" i="16"/>
  <c r="F87" i="16"/>
  <c r="F89" i="16"/>
  <c r="H92" i="16"/>
  <c r="H146" i="16" s="1"/>
  <c r="G90" i="16"/>
  <c r="G144" i="16" s="1"/>
  <c r="H87" i="16"/>
  <c r="H141" i="16" s="1"/>
  <c r="P74" i="16"/>
  <c r="R74" i="16" s="1"/>
  <c r="S74" i="16" s="1"/>
  <c r="S82" i="16" s="1"/>
  <c r="C146" i="16"/>
  <c r="I146" i="16" s="1"/>
  <c r="K146" i="16" s="1"/>
  <c r="I92" i="16"/>
  <c r="AF12" i="16"/>
  <c r="F142" i="16"/>
  <c r="J142" i="16" s="1"/>
  <c r="L142" i="16" s="1"/>
  <c r="J88" i="16"/>
  <c r="K24" i="16"/>
  <c r="D39" i="16" s="1"/>
  <c r="K23" i="16"/>
  <c r="D38" i="16" s="1"/>
  <c r="H63" i="14"/>
  <c r="AB55" i="16"/>
  <c r="AB52" i="16"/>
  <c r="AB54" i="16"/>
  <c r="AB53" i="16"/>
  <c r="U59" i="16" l="1"/>
  <c r="U62" i="16"/>
  <c r="U61" i="16"/>
  <c r="U60" i="16"/>
  <c r="U57" i="16"/>
  <c r="U55" i="16"/>
  <c r="U56" i="16"/>
  <c r="U58" i="16"/>
  <c r="U52" i="16"/>
  <c r="U53" i="16"/>
  <c r="U51" i="16"/>
  <c r="U54" i="16"/>
  <c r="U49" i="16"/>
  <c r="U48" i="16"/>
  <c r="U50" i="16"/>
  <c r="U47" i="16"/>
  <c r="F141" i="16"/>
  <c r="J141" i="16" s="1"/>
  <c r="L141" i="16" s="1"/>
  <c r="J87" i="16"/>
  <c r="N87" i="16" s="1"/>
  <c r="T59" i="16"/>
  <c r="C38" i="16"/>
  <c r="T25" i="16"/>
  <c r="Y29" i="16"/>
  <c r="O21" i="16"/>
  <c r="W32" i="16"/>
  <c r="V22" i="16"/>
  <c r="AB36" i="16"/>
  <c r="R28" i="16"/>
  <c r="Z39" i="16"/>
  <c r="AA26" i="16"/>
  <c r="P31" i="16"/>
  <c r="U35" i="16"/>
  <c r="AC23" i="16"/>
  <c r="Z16" i="16"/>
  <c r="AD33" i="16"/>
  <c r="Q41" i="16"/>
  <c r="S38" i="16"/>
  <c r="N92" i="16"/>
  <c r="D101" i="16"/>
  <c r="N90" i="16"/>
  <c r="D99" i="16"/>
  <c r="T55" i="16"/>
  <c r="C45" i="16"/>
  <c r="K12" i="16"/>
  <c r="M74" i="16" s="1"/>
  <c r="M70" i="16" s="1"/>
  <c r="K13" i="16"/>
  <c r="M75" i="16" s="1"/>
  <c r="K14" i="16"/>
  <c r="M76" i="16" s="1"/>
  <c r="M72" i="16"/>
  <c r="K15" i="16"/>
  <c r="M77" i="16" s="1"/>
  <c r="K17" i="16"/>
  <c r="M79" i="16" s="1"/>
  <c r="M80" i="16" s="1"/>
  <c r="K16" i="16"/>
  <c r="M78" i="16" s="1"/>
  <c r="N88" i="16"/>
  <c r="D97" i="16"/>
  <c r="M90" i="16"/>
  <c r="C99" i="16"/>
  <c r="T51" i="16"/>
  <c r="M91" i="16"/>
  <c r="C100" i="16"/>
  <c r="C36" i="16"/>
  <c r="O41" i="16"/>
  <c r="Y26" i="16"/>
  <c r="S35" i="16"/>
  <c r="T22" i="16"/>
  <c r="Q38" i="16"/>
  <c r="U32" i="16"/>
  <c r="AD30" i="16"/>
  <c r="Z36" i="16"/>
  <c r="AC20" i="16"/>
  <c r="X39" i="16"/>
  <c r="AA23" i="16"/>
  <c r="AB33" i="16"/>
  <c r="X16" i="16"/>
  <c r="AF16" i="16" s="1"/>
  <c r="R25" i="16"/>
  <c r="P28" i="16"/>
  <c r="W29" i="16"/>
  <c r="J137" i="16"/>
  <c r="O211" i="16"/>
  <c r="C137" i="16"/>
  <c r="N91" i="16"/>
  <c r="D100" i="16"/>
  <c r="C39" i="16"/>
  <c r="AA16" i="16"/>
  <c r="O34" i="16"/>
  <c r="Q31" i="16"/>
  <c r="AC36" i="16"/>
  <c r="R41" i="16"/>
  <c r="U25" i="16"/>
  <c r="AA39" i="16"/>
  <c r="X32" i="16"/>
  <c r="AB26" i="16"/>
  <c r="P21" i="16"/>
  <c r="S28" i="16"/>
  <c r="V35" i="16"/>
  <c r="T38" i="16"/>
  <c r="AD23" i="16"/>
  <c r="W22" i="16"/>
  <c r="Z29" i="16"/>
  <c r="T47" i="16"/>
  <c r="C37" i="16"/>
  <c r="AD20" i="16"/>
  <c r="AB23" i="16"/>
  <c r="AA36" i="16"/>
  <c r="T35" i="16"/>
  <c r="U22" i="16"/>
  <c r="AC33" i="16"/>
  <c r="Y16" i="16"/>
  <c r="R38" i="16"/>
  <c r="Y39" i="16"/>
  <c r="Q28" i="16"/>
  <c r="O31" i="16"/>
  <c r="V32" i="16"/>
  <c r="X29" i="16"/>
  <c r="S25" i="16"/>
  <c r="Z26" i="16"/>
  <c r="P41" i="16"/>
  <c r="C141" i="16"/>
  <c r="I141" i="16" s="1"/>
  <c r="K141" i="16" s="1"/>
  <c r="I87" i="16"/>
  <c r="M87" i="16" s="1"/>
  <c r="C143" i="16"/>
  <c r="I143" i="16" s="1"/>
  <c r="K143" i="16" s="1"/>
  <c r="I89" i="16"/>
  <c r="N72" i="16"/>
  <c r="C46" i="16"/>
  <c r="L12" i="16"/>
  <c r="N74" i="16" s="1"/>
  <c r="N70" i="16" s="1"/>
  <c r="L13" i="16"/>
  <c r="N75" i="16" s="1"/>
  <c r="L14" i="16"/>
  <c r="N76" i="16" s="1"/>
  <c r="L15" i="16"/>
  <c r="N77" i="16" s="1"/>
  <c r="L16" i="16"/>
  <c r="N78" i="16" s="1"/>
  <c r="L17" i="16"/>
  <c r="N79" i="16" s="1"/>
  <c r="N80" i="16" s="1"/>
  <c r="M92" i="16"/>
  <c r="C101" i="16"/>
  <c r="F143" i="16"/>
  <c r="J143" i="16" s="1"/>
  <c r="L143" i="16" s="1"/>
  <c r="J89" i="16"/>
  <c r="M88" i="16"/>
  <c r="C97" i="16"/>
  <c r="E67" i="14"/>
  <c r="C67" i="14"/>
  <c r="E64" i="14"/>
  <c r="C64" i="14"/>
  <c r="W17" i="16" l="1"/>
  <c r="AD18" i="16"/>
  <c r="R18" i="16"/>
  <c r="Y19" i="16"/>
  <c r="E98" i="16"/>
  <c r="E100" i="16" s="1"/>
  <c r="E99" i="16"/>
  <c r="E97" i="16"/>
  <c r="J95" i="16"/>
  <c r="L95" i="16" s="1"/>
  <c r="D216" i="16"/>
  <c r="C216" i="16"/>
  <c r="F216" i="16"/>
  <c r="E216" i="16"/>
  <c r="Q19" i="16"/>
  <c r="Z17" i="16"/>
  <c r="P18" i="16"/>
  <c r="W19" i="16"/>
  <c r="N89" i="16"/>
  <c r="D98" i="16"/>
  <c r="U19" i="16"/>
  <c r="AD17" i="16"/>
  <c r="T18" i="16"/>
  <c r="AA19" i="16"/>
  <c r="D46" i="16"/>
  <c r="T65" i="16"/>
  <c r="AF39" i="16"/>
  <c r="AF26" i="16"/>
  <c r="AA17" i="16"/>
  <c r="R19" i="16"/>
  <c r="AB19" i="16"/>
  <c r="U18" i="16"/>
  <c r="T64" i="16"/>
  <c r="D45" i="16"/>
  <c r="O18" i="16"/>
  <c r="V19" i="16"/>
  <c r="X19" i="16"/>
  <c r="Q18" i="16"/>
  <c r="T19" i="16"/>
  <c r="AC17" i="16"/>
  <c r="AC19" i="16"/>
  <c r="V18" i="16"/>
  <c r="O19" i="16"/>
  <c r="X17" i="16"/>
  <c r="Y17" i="16"/>
  <c r="P19" i="16"/>
  <c r="M89" i="16"/>
  <c r="C98" i="16"/>
  <c r="AF29" i="16"/>
  <c r="AF36" i="16"/>
  <c r="C47" i="16"/>
  <c r="F98" i="16"/>
  <c r="F100" i="16" s="1"/>
  <c r="F99" i="16"/>
  <c r="F97" i="16"/>
  <c r="AB17" i="16"/>
  <c r="S19" i="16"/>
  <c r="S18" i="16"/>
  <c r="Z19" i="16"/>
  <c r="AC3" i="1"/>
  <c r="U64" i="16" l="1"/>
  <c r="AD32" i="16"/>
  <c r="AF32" i="16" s="1"/>
  <c r="R27" i="16"/>
  <c r="T24" i="16"/>
  <c r="Z38" i="16"/>
  <c r="AC22" i="16"/>
  <c r="Y28" i="16"/>
  <c r="S37" i="16"/>
  <c r="P30" i="16"/>
  <c r="AB35" i="16"/>
  <c r="V21" i="16"/>
  <c r="AA25" i="16"/>
  <c r="Q17" i="16"/>
  <c r="W31" i="16"/>
  <c r="U34" i="16"/>
  <c r="X41" i="16"/>
  <c r="Q40" i="16"/>
  <c r="T66" i="16"/>
  <c r="D47" i="16"/>
  <c r="L207" i="16"/>
  <c r="J215" i="16"/>
  <c r="L208" i="16"/>
  <c r="F101" i="16"/>
  <c r="U65" i="16"/>
  <c r="AD22" i="16"/>
  <c r="W21" i="16"/>
  <c r="Y41" i="16"/>
  <c r="R40" i="16"/>
  <c r="AA38" i="16"/>
  <c r="AB25" i="16"/>
  <c r="O33" i="16"/>
  <c r="S27" i="16"/>
  <c r="AC35" i="16"/>
  <c r="Q30" i="16"/>
  <c r="R17" i="16"/>
  <c r="X31" i="16"/>
  <c r="U24" i="16"/>
  <c r="T37" i="16"/>
  <c r="Z28" i="16"/>
  <c r="V34" i="16"/>
  <c r="E101" i="16"/>
  <c r="AF19" i="16"/>
  <c r="M207" i="16"/>
  <c r="M208" i="16"/>
  <c r="H181" i="14"/>
  <c r="H182" i="14"/>
  <c r="H183" i="14"/>
  <c r="H184" i="14"/>
  <c r="G181" i="14"/>
  <c r="G182" i="14"/>
  <c r="G183" i="14"/>
  <c r="G184" i="14"/>
  <c r="F181" i="14"/>
  <c r="F182" i="14"/>
  <c r="F183" i="14"/>
  <c r="F184" i="14"/>
  <c r="E181" i="14"/>
  <c r="E182" i="14"/>
  <c r="E183" i="14"/>
  <c r="E184" i="14"/>
  <c r="D181" i="14"/>
  <c r="D182" i="14"/>
  <c r="D183" i="14"/>
  <c r="D184" i="14"/>
  <c r="C182" i="14"/>
  <c r="C183" i="14"/>
  <c r="C184" i="14"/>
  <c r="C181" i="14"/>
  <c r="E180" i="14"/>
  <c r="F180" i="14"/>
  <c r="G180" i="14"/>
  <c r="H180" i="14"/>
  <c r="D180" i="14"/>
  <c r="C180" i="14"/>
  <c r="Y18" i="16" l="1"/>
  <c r="P20" i="16"/>
  <c r="AF22" i="16"/>
  <c r="U66" i="16"/>
  <c r="X21" i="16"/>
  <c r="AF21" i="16" s="1"/>
  <c r="AC25" i="16"/>
  <c r="AF25" i="16" s="1"/>
  <c r="AA28" i="16"/>
  <c r="AF28" i="16" s="1"/>
  <c r="R30" i="16"/>
  <c r="AF30" i="16" s="1"/>
  <c r="Y31" i="16"/>
  <c r="AF31" i="16" s="1"/>
  <c r="Z41" i="16"/>
  <c r="AF41" i="16" s="1"/>
  <c r="AD35" i="16"/>
  <c r="AF35" i="16" s="1"/>
  <c r="S40" i="16"/>
  <c r="AF40" i="16" s="1"/>
  <c r="AB38" i="16"/>
  <c r="AF38" i="16" s="1"/>
  <c r="O23" i="16"/>
  <c r="AF23" i="16" s="1"/>
  <c r="T27" i="16"/>
  <c r="AF27" i="16" s="1"/>
  <c r="W34" i="16"/>
  <c r="AF34" i="16" s="1"/>
  <c r="V24" i="16"/>
  <c r="AF24" i="16" s="1"/>
  <c r="S17" i="16"/>
  <c r="AF17" i="16" s="1"/>
  <c r="P33" i="16"/>
  <c r="AF33" i="16" s="1"/>
  <c r="U37" i="16"/>
  <c r="AF37" i="16" s="1"/>
  <c r="X18" i="16"/>
  <c r="O20" i="16"/>
  <c r="I182" i="14"/>
  <c r="J180" i="14"/>
  <c r="J184" i="14"/>
  <c r="I184" i="14"/>
  <c r="I181" i="14"/>
  <c r="J183" i="14"/>
  <c r="J181" i="14"/>
  <c r="I183" i="14"/>
  <c r="I180" i="14"/>
  <c r="J182" i="14"/>
  <c r="Q20" i="16" l="1"/>
  <c r="AF20" i="16" s="1"/>
  <c r="Z18" i="16"/>
  <c r="AF18" i="16" s="1"/>
  <c r="B179" i="14"/>
  <c r="D98" i="1" l="1"/>
  <c r="D96" i="1"/>
  <c r="D97" i="1"/>
  <c r="D99" i="1"/>
  <c r="D100" i="1"/>
  <c r="D39" i="1"/>
  <c r="D38" i="1"/>
  <c r="D37" i="1"/>
  <c r="D36" i="1"/>
  <c r="D35" i="1"/>
  <c r="D34" i="1"/>
  <c r="D33" i="1"/>
  <c r="D32" i="1"/>
  <c r="B211" i="14"/>
  <c r="N51" i="8" s="1"/>
  <c r="B212" i="14"/>
  <c r="N52" i="8" s="1"/>
  <c r="N112" i="14"/>
  <c r="O112" i="14"/>
  <c r="P112" i="14"/>
  <c r="Q112" i="14"/>
  <c r="R112" i="14"/>
  <c r="S112" i="14"/>
  <c r="N111" i="14"/>
  <c r="O111" i="14"/>
  <c r="P111" i="14"/>
  <c r="Q111" i="14"/>
  <c r="R111" i="14"/>
  <c r="S111" i="14"/>
  <c r="N110" i="14"/>
  <c r="O110" i="14"/>
  <c r="P110" i="14"/>
  <c r="Q110" i="14"/>
  <c r="R110" i="14"/>
  <c r="S110" i="14"/>
  <c r="N109" i="14"/>
  <c r="O109" i="14"/>
  <c r="P109" i="14"/>
  <c r="Q109" i="14"/>
  <c r="R109" i="14"/>
  <c r="S109" i="14"/>
  <c r="N108" i="14"/>
  <c r="O108" i="14"/>
  <c r="P108" i="14"/>
  <c r="Q108" i="14"/>
  <c r="R108" i="14"/>
  <c r="S108" i="14"/>
  <c r="O107" i="14"/>
  <c r="P107" i="14"/>
  <c r="Q107" i="14"/>
  <c r="R107" i="14"/>
  <c r="S107" i="14"/>
  <c r="N107" i="14"/>
  <c r="M112" i="14"/>
  <c r="B79" i="14" s="1"/>
  <c r="M111" i="14"/>
  <c r="B78" i="14" s="1"/>
  <c r="M110" i="14"/>
  <c r="B77" i="14" s="1"/>
  <c r="M109" i="14"/>
  <c r="B76" i="14" s="1"/>
  <c r="M108" i="14"/>
  <c r="B75" i="14" s="1"/>
  <c r="M107" i="14"/>
  <c r="B74" i="14" s="1"/>
  <c r="M352" i="14"/>
  <c r="M351" i="14"/>
  <c r="M350" i="14"/>
  <c r="M349" i="14"/>
  <c r="M348" i="14"/>
  <c r="M347" i="14"/>
  <c r="M346" i="14"/>
  <c r="M345" i="14"/>
  <c r="M344" i="14"/>
  <c r="M343" i="14"/>
  <c r="M342" i="14"/>
  <c r="M341" i="14"/>
  <c r="M340" i="14"/>
  <c r="M339" i="14"/>
  <c r="M338" i="14"/>
  <c r="M337" i="14"/>
  <c r="M336" i="14"/>
  <c r="M335" i="14"/>
  <c r="M334" i="14"/>
  <c r="M333" i="14"/>
  <c r="M332" i="14"/>
  <c r="M331" i="14"/>
  <c r="M330" i="14"/>
  <c r="M329" i="14"/>
  <c r="M328" i="14"/>
  <c r="M327" i="14"/>
  <c r="M326" i="14"/>
  <c r="M325" i="14"/>
  <c r="M324" i="14"/>
  <c r="M323" i="14"/>
  <c r="M322" i="14"/>
  <c r="M321" i="14"/>
  <c r="M320" i="14"/>
  <c r="M319" i="14"/>
  <c r="M318" i="14"/>
  <c r="M317" i="14"/>
  <c r="M316" i="14"/>
  <c r="M315" i="14"/>
  <c r="M314" i="14"/>
  <c r="M313" i="14"/>
  <c r="M312" i="14"/>
  <c r="M311" i="14"/>
  <c r="M310" i="14"/>
  <c r="M309" i="14"/>
  <c r="M308" i="14"/>
  <c r="M307" i="14"/>
  <c r="M306" i="14"/>
  <c r="M305" i="14"/>
  <c r="M304" i="14"/>
  <c r="M303" i="14"/>
  <c r="M302" i="14"/>
  <c r="M301" i="14"/>
  <c r="M300" i="14"/>
  <c r="M299" i="14"/>
  <c r="M298" i="14"/>
  <c r="M297" i="14"/>
  <c r="M296" i="14"/>
  <c r="M295" i="14"/>
  <c r="M294" i="14"/>
  <c r="M293" i="14"/>
  <c r="M292" i="14"/>
  <c r="M291" i="14"/>
  <c r="M290" i="14"/>
  <c r="M289" i="14"/>
  <c r="M288" i="14"/>
  <c r="M287" i="14"/>
  <c r="M286" i="14"/>
  <c r="M285" i="14"/>
  <c r="M284" i="14"/>
  <c r="M283" i="14"/>
  <c r="M282" i="14"/>
  <c r="M281" i="14"/>
  <c r="M280" i="14"/>
  <c r="M279" i="14"/>
  <c r="M278" i="14"/>
  <c r="M277" i="14"/>
  <c r="M276" i="14"/>
  <c r="M275" i="14"/>
  <c r="M274" i="14"/>
  <c r="M273" i="14"/>
  <c r="M272" i="14"/>
  <c r="M271" i="14"/>
  <c r="M270" i="14"/>
  <c r="M269" i="14"/>
  <c r="M268" i="14"/>
  <c r="M267" i="14"/>
  <c r="M266" i="14"/>
  <c r="M265" i="14"/>
  <c r="M264" i="14"/>
  <c r="M263" i="14"/>
  <c r="M262" i="14"/>
  <c r="M261" i="14"/>
  <c r="M260" i="14"/>
  <c r="M259" i="14"/>
  <c r="M258" i="14"/>
  <c r="M257" i="14"/>
  <c r="M256" i="14"/>
  <c r="M255" i="14"/>
  <c r="M254" i="14"/>
  <c r="M253" i="14"/>
  <c r="M252" i="14"/>
  <c r="M251" i="14"/>
  <c r="M250" i="14"/>
  <c r="M249" i="14"/>
  <c r="M248" i="14"/>
  <c r="M247" i="14"/>
  <c r="M246" i="14"/>
  <c r="M245" i="14"/>
  <c r="M244" i="14"/>
  <c r="M243" i="14"/>
  <c r="M242" i="14"/>
  <c r="M241" i="14"/>
  <c r="M240" i="14"/>
  <c r="M239" i="14"/>
  <c r="M238" i="14"/>
  <c r="M237" i="14"/>
  <c r="M236" i="14"/>
  <c r="M235" i="14"/>
  <c r="M234" i="14"/>
  <c r="M233" i="14"/>
  <c r="W233" i="14" l="1"/>
  <c r="S233" i="14"/>
  <c r="W235" i="14"/>
  <c r="S235" i="14"/>
  <c r="S237" i="14"/>
  <c r="W237" i="14"/>
  <c r="B91" i="14"/>
  <c r="B100" i="14"/>
  <c r="B92" i="14"/>
  <c r="B101" i="14"/>
  <c r="W234" i="14"/>
  <c r="S234" i="14"/>
  <c r="S236" i="14"/>
  <c r="W236" i="14"/>
  <c r="B87" i="14"/>
  <c r="B96" i="14"/>
  <c r="B88" i="14"/>
  <c r="B97" i="14"/>
  <c r="B89" i="14"/>
  <c r="B98" i="14"/>
  <c r="B90" i="14"/>
  <c r="B99" i="14"/>
  <c r="C124" i="14"/>
  <c r="D124" i="14"/>
  <c r="F125" i="14"/>
  <c r="H62" i="14"/>
  <c r="G62" i="14"/>
  <c r="F127" i="14"/>
  <c r="F124" i="14"/>
  <c r="F62" i="14"/>
  <c r="E124" i="14"/>
  <c r="C125" i="14"/>
  <c r="G127" i="14"/>
  <c r="E128" i="14"/>
  <c r="E62" i="14"/>
  <c r="D128" i="14"/>
  <c r="D62" i="14"/>
  <c r="G126" i="14"/>
  <c r="C128" i="14"/>
  <c r="C62" i="14"/>
  <c r="F126" i="14"/>
  <c r="D127" i="14"/>
  <c r="B124" i="14"/>
  <c r="E127" i="14"/>
  <c r="B125" i="14"/>
  <c r="H125" i="14"/>
  <c r="B126" i="14"/>
  <c r="G125" i="14"/>
  <c r="E126" i="14"/>
  <c r="C127" i="14"/>
  <c r="B127" i="14"/>
  <c r="H124" i="14"/>
  <c r="D126" i="14"/>
  <c r="H128" i="14"/>
  <c r="H126" i="14"/>
  <c r="B128" i="14"/>
  <c r="G124" i="14"/>
  <c r="E125" i="14"/>
  <c r="C126" i="14"/>
  <c r="G128" i="14"/>
  <c r="D125" i="14"/>
  <c r="H127" i="14"/>
  <c r="F128" i="14"/>
  <c r="I207" i="14" l="1"/>
  <c r="J126" i="14"/>
  <c r="J127" i="14"/>
  <c r="J128" i="14"/>
  <c r="I126" i="14"/>
  <c r="I127" i="14"/>
  <c r="I128" i="14"/>
  <c r="J125" i="14"/>
  <c r="I125" i="14"/>
  <c r="J124" i="14"/>
  <c r="I124" i="14"/>
  <c r="E4" i="14" l="1"/>
  <c r="C74" i="14"/>
  <c r="D74" i="14"/>
  <c r="E74" i="14"/>
  <c r="B83" i="14"/>
  <c r="F74" i="14"/>
  <c r="H74" i="14"/>
  <c r="I4" i="14"/>
  <c r="H5" i="14" s="1"/>
  <c r="D29" i="14" s="1"/>
  <c r="E5" i="14"/>
  <c r="D22" i="14" s="1"/>
  <c r="C22" i="14" s="1"/>
  <c r="B142" i="14"/>
  <c r="B144" i="14"/>
  <c r="B145" i="14"/>
  <c r="D96" i="14"/>
  <c r="C96" i="14"/>
  <c r="P52" i="14"/>
  <c r="P53" i="14"/>
  <c r="P54" i="14"/>
  <c r="P55" i="14"/>
  <c r="P56" i="14"/>
  <c r="P57" i="14"/>
  <c r="P58" i="14"/>
  <c r="P59" i="14"/>
  <c r="P60" i="14"/>
  <c r="P61" i="14"/>
  <c r="P51" i="14"/>
  <c r="B4" i="14"/>
  <c r="J154" i="14" s="1"/>
  <c r="E155" i="14"/>
  <c r="C155" i="14"/>
  <c r="J155" i="14"/>
  <c r="H155" i="14"/>
  <c r="G159" i="14"/>
  <c r="J63" i="14"/>
  <c r="H66" i="14"/>
  <c r="J66" i="14"/>
  <c r="J81" i="14"/>
  <c r="H81" i="14"/>
  <c r="K27" i="14"/>
  <c r="K28" i="14" s="1"/>
  <c r="D42" i="14" s="1"/>
  <c r="C42" i="14" s="1"/>
  <c r="J207" i="14"/>
  <c r="V47" i="8" s="1"/>
  <c r="U47" i="8"/>
  <c r="P171" i="14"/>
  <c r="R171" i="14"/>
  <c r="T3" i="8" s="1"/>
  <c r="O47" i="8"/>
  <c r="P47" i="8"/>
  <c r="Q47" i="8"/>
  <c r="R47" i="8"/>
  <c r="S47" i="8"/>
  <c r="T47" i="8"/>
  <c r="B208" i="14"/>
  <c r="N48" i="8" s="1"/>
  <c r="B209" i="14"/>
  <c r="B210" i="14"/>
  <c r="B207" i="14"/>
  <c r="N47" i="8" s="1"/>
  <c r="D95" i="1"/>
  <c r="D94" i="1"/>
  <c r="AB5" i="1"/>
  <c r="AB6" i="1" s="1"/>
  <c r="AB7" i="1" s="1"/>
  <c r="AB8" i="1" s="1"/>
  <c r="AB9" i="1" s="1"/>
  <c r="AB10" i="1" s="1"/>
  <c r="AB11" i="1" s="1"/>
  <c r="AB12" i="1" s="1"/>
  <c r="AB13" i="1" s="1"/>
  <c r="AB14" i="1" s="1"/>
  <c r="AB15" i="1" s="1"/>
  <c r="AB16" i="1" s="1"/>
  <c r="Z3" i="1"/>
  <c r="AB3" i="1" s="1"/>
  <c r="W3" i="1"/>
  <c r="Y3" i="1" s="1"/>
  <c r="AE3" i="1"/>
  <c r="Y5" i="1"/>
  <c r="Y6" i="1" s="1"/>
  <c r="Y7" i="1" s="1"/>
  <c r="Y8" i="1" s="1"/>
  <c r="Y9" i="1" s="1"/>
  <c r="Y10" i="1" s="1"/>
  <c r="Y11" i="1" s="1"/>
  <c r="Y12" i="1" s="1"/>
  <c r="Y13" i="1" s="1"/>
  <c r="Y14" i="1" s="1"/>
  <c r="Y15" i="1" s="1"/>
  <c r="Y16" i="1" s="1"/>
  <c r="Q3" i="1"/>
  <c r="S3" i="1" s="1"/>
  <c r="S4" i="1" s="1"/>
  <c r="S5" i="1" s="1"/>
  <c r="S6" i="1" s="1"/>
  <c r="S7" i="1" s="1"/>
  <c r="S8" i="1" s="1"/>
  <c r="S9" i="1" s="1"/>
  <c r="S10" i="1" s="1"/>
  <c r="S11" i="1" s="1"/>
  <c r="S12" i="1" s="1"/>
  <c r="S13" i="1" s="1"/>
  <c r="S14" i="1" s="1"/>
  <c r="S15" i="1" s="1"/>
  <c r="S16" i="1" s="1"/>
  <c r="N3" i="1"/>
  <c r="P3" i="1" s="1"/>
  <c r="P4" i="1" s="1"/>
  <c r="P5" i="1" s="1"/>
  <c r="P6" i="1" s="1"/>
  <c r="P7" i="1" s="1"/>
  <c r="P8" i="1" s="1"/>
  <c r="P9" i="1" s="1"/>
  <c r="P10" i="1" s="1"/>
  <c r="P11" i="1" s="1"/>
  <c r="P12" i="1" s="1"/>
  <c r="P13" i="1" s="1"/>
  <c r="P14" i="1" s="1"/>
  <c r="P15" i="1" s="1"/>
  <c r="P16" i="1" s="1"/>
  <c r="K3" i="1"/>
  <c r="M3" i="1"/>
  <c r="M4" i="1" s="1"/>
  <c r="M5" i="1" s="1"/>
  <c r="M6" i="1" s="1"/>
  <c r="M7" i="1" s="1"/>
  <c r="M8" i="1" s="1"/>
  <c r="M9" i="1" s="1"/>
  <c r="M10" i="1" s="1"/>
  <c r="M11" i="1" s="1"/>
  <c r="M12" i="1" s="1"/>
  <c r="M13" i="1" s="1"/>
  <c r="M14" i="1" s="1"/>
  <c r="M15" i="1" s="1"/>
  <c r="M16" i="1" s="1"/>
  <c r="H3" i="1"/>
  <c r="J3" i="1" s="1"/>
  <c r="J4" i="1" s="1"/>
  <c r="J5" i="1" s="1"/>
  <c r="J6" i="1" s="1"/>
  <c r="J7" i="1" s="1"/>
  <c r="J8" i="1" s="1"/>
  <c r="J9" i="1" s="1"/>
  <c r="J10" i="1" s="1"/>
  <c r="J11" i="1" s="1"/>
  <c r="J12" i="1" s="1"/>
  <c r="J13" i="1" s="1"/>
  <c r="J14" i="1" s="1"/>
  <c r="J15" i="1" s="1"/>
  <c r="J16" i="1" s="1"/>
  <c r="E3" i="1"/>
  <c r="G3" i="1" s="1"/>
  <c r="G4" i="1" s="1"/>
  <c r="G5" i="1" s="1"/>
  <c r="G6" i="1" s="1"/>
  <c r="G7" i="1" s="1"/>
  <c r="G8" i="1" s="1"/>
  <c r="G9" i="1" s="1"/>
  <c r="G10" i="1" s="1"/>
  <c r="G11" i="1" s="1"/>
  <c r="G12" i="1" s="1"/>
  <c r="G13" i="1" s="1"/>
  <c r="G14" i="1" s="1"/>
  <c r="G15" i="1" s="1"/>
  <c r="G16" i="1" s="1"/>
  <c r="B3" i="1"/>
  <c r="D3" i="1" s="1"/>
  <c r="D4" i="1" s="1"/>
  <c r="D5" i="1" s="1"/>
  <c r="D6" i="1" s="1"/>
  <c r="D7" i="1" s="1"/>
  <c r="D8" i="1" s="1"/>
  <c r="D9" i="1" s="1"/>
  <c r="D10" i="1" s="1"/>
  <c r="D11" i="1" s="1"/>
  <c r="D12" i="1" s="1"/>
  <c r="D13" i="1" s="1"/>
  <c r="D14" i="1" s="1"/>
  <c r="D15" i="1" s="1"/>
  <c r="D16" i="1" s="1"/>
  <c r="V5" i="1"/>
  <c r="V6" i="1"/>
  <c r="V7" i="1" s="1"/>
  <c r="V8" i="1" s="1"/>
  <c r="V9" i="1" s="1"/>
  <c r="V10" i="1" s="1"/>
  <c r="V11" i="1" s="1"/>
  <c r="T3" i="1"/>
  <c r="V3" i="1" s="1"/>
  <c r="C4" i="14"/>
  <c r="D26" i="12"/>
  <c r="C26" i="12"/>
  <c r="I4" i="12"/>
  <c r="B5" i="12"/>
  <c r="D30" i="12" s="1"/>
  <c r="C30" i="12" s="1"/>
  <c r="D5" i="12"/>
  <c r="J23" i="12"/>
  <c r="D36" i="12" s="1"/>
  <c r="C36" i="12" s="1"/>
  <c r="J24" i="12"/>
  <c r="D37" i="12" s="1"/>
  <c r="C37" i="12" s="1"/>
  <c r="K23" i="12"/>
  <c r="D38" i="12" s="1"/>
  <c r="C38" i="12" s="1"/>
  <c r="K24" i="12"/>
  <c r="D39" i="12" s="1"/>
  <c r="C39" i="12" s="1"/>
  <c r="K32" i="12"/>
  <c r="K33" i="12" s="1"/>
  <c r="D40" i="12" s="1"/>
  <c r="C40" i="12" s="1"/>
  <c r="K27" i="12"/>
  <c r="D44" i="12"/>
  <c r="C44" i="12" s="1"/>
  <c r="J4" i="12"/>
  <c r="J5" i="12" s="1"/>
  <c r="D45" i="12" s="1"/>
  <c r="C45" i="12" s="1"/>
  <c r="K4" i="12"/>
  <c r="K5" i="12" s="1"/>
  <c r="D46" i="12" s="1"/>
  <c r="C46" i="12" s="1"/>
  <c r="E5" i="12"/>
  <c r="D23" i="12" s="1"/>
  <c r="L5" i="14"/>
  <c r="D26" i="14" s="1"/>
  <c r="C26" i="14" s="1"/>
  <c r="D4" i="14"/>
  <c r="D5" i="14" s="1"/>
  <c r="D34" i="14" s="1"/>
  <c r="C34" i="14" s="1"/>
  <c r="F4" i="14"/>
  <c r="D44" i="14" s="1"/>
  <c r="L91" i="14"/>
  <c r="AE20" i="1"/>
  <c r="D19" i="12"/>
  <c r="C19" i="12" s="1"/>
  <c r="D19" i="13"/>
  <c r="C19" i="13" s="1"/>
  <c r="D19" i="14"/>
  <c r="C19" i="14" s="1"/>
  <c r="F4" i="13"/>
  <c r="E89" i="13" s="1"/>
  <c r="K32" i="14"/>
  <c r="K34" i="14" s="1"/>
  <c r="B83" i="10"/>
  <c r="O5" i="8"/>
  <c r="P5" i="8"/>
  <c r="Q5" i="8"/>
  <c r="R5" i="8"/>
  <c r="S5" i="8"/>
  <c r="T5" i="8"/>
  <c r="U5" i="8"/>
  <c r="V5" i="8"/>
  <c r="W5" i="8"/>
  <c r="X5" i="8"/>
  <c r="L5" i="8"/>
  <c r="I5" i="8"/>
  <c r="J5" i="8"/>
  <c r="K5" i="8"/>
  <c r="N5" i="8"/>
  <c r="C5" i="8"/>
  <c r="D5" i="8"/>
  <c r="E5" i="8"/>
  <c r="F5" i="8"/>
  <c r="G5" i="8"/>
  <c r="H5" i="8"/>
  <c r="B5" i="8"/>
  <c r="L5" i="13"/>
  <c r="D26" i="13" s="1"/>
  <c r="C26" i="13" s="1"/>
  <c r="S5" i="14"/>
  <c r="R5" i="14"/>
  <c r="Q5" i="14"/>
  <c r="P5" i="14"/>
  <c r="S5" i="13"/>
  <c r="R5" i="13"/>
  <c r="Q5" i="13"/>
  <c r="P5" i="13"/>
  <c r="J56" i="13"/>
  <c r="C57" i="13"/>
  <c r="J53" i="13"/>
  <c r="H53" i="13"/>
  <c r="C54" i="13"/>
  <c r="S5" i="12"/>
  <c r="R5" i="12"/>
  <c r="Q5" i="12"/>
  <c r="P5" i="12"/>
  <c r="B5" i="2"/>
  <c r="N86" i="14"/>
  <c r="M86" i="14"/>
  <c r="L86" i="14"/>
  <c r="L79" i="14"/>
  <c r="L78" i="14"/>
  <c r="L77" i="14"/>
  <c r="L76" i="14"/>
  <c r="L75" i="14"/>
  <c r="L74" i="14"/>
  <c r="N73" i="14"/>
  <c r="M73" i="14"/>
  <c r="L73" i="14"/>
  <c r="N71" i="14"/>
  <c r="M71" i="14"/>
  <c r="C4" i="13"/>
  <c r="C5" i="13" s="1"/>
  <c r="D4" i="13"/>
  <c r="E4" i="13"/>
  <c r="E5" i="13" s="1"/>
  <c r="D23" i="13" s="1"/>
  <c r="B4" i="13"/>
  <c r="B5" i="13" s="1"/>
  <c r="C4" i="10"/>
  <c r="D21" i="10" s="1"/>
  <c r="C21" i="10" s="1"/>
  <c r="D4" i="10"/>
  <c r="D5" i="10" s="1"/>
  <c r="D34" i="10" s="1"/>
  <c r="E4" i="10"/>
  <c r="B4" i="10"/>
  <c r="B5" i="10" s="1"/>
  <c r="C4" i="9"/>
  <c r="C5" i="9" s="1"/>
  <c r="D4" i="9"/>
  <c r="D5" i="9" s="1"/>
  <c r="E4" i="9"/>
  <c r="B4" i="9"/>
  <c r="B5" i="9" s="1"/>
  <c r="E47" i="14"/>
  <c r="B47" i="14"/>
  <c r="S66" i="14" s="1"/>
  <c r="E46" i="14"/>
  <c r="B46" i="14"/>
  <c r="S65" i="14" s="1"/>
  <c r="E45" i="14"/>
  <c r="B45" i="14"/>
  <c r="S64" i="14" s="1"/>
  <c r="E44" i="14"/>
  <c r="B44" i="14"/>
  <c r="S63" i="14" s="1"/>
  <c r="E43" i="14"/>
  <c r="B43" i="14"/>
  <c r="S62" i="14" s="1"/>
  <c r="E42" i="14"/>
  <c r="B42" i="14"/>
  <c r="S61" i="14" s="1"/>
  <c r="AD41" i="14"/>
  <c r="AC41" i="14"/>
  <c r="AB41" i="14"/>
  <c r="AA41" i="14"/>
  <c r="E41" i="14"/>
  <c r="B41" i="14"/>
  <c r="S60" i="14" s="1"/>
  <c r="T40" i="14"/>
  <c r="E40" i="14"/>
  <c r="B40" i="14"/>
  <c r="S59" i="14" s="1"/>
  <c r="E39" i="14"/>
  <c r="B39" i="14"/>
  <c r="S58" i="14" s="1"/>
  <c r="AC38" i="14"/>
  <c r="E38" i="14"/>
  <c r="B38" i="14"/>
  <c r="S57" i="14" s="1"/>
  <c r="V37" i="14"/>
  <c r="E37" i="14"/>
  <c r="B37" i="14"/>
  <c r="S56" i="14" s="1"/>
  <c r="O36" i="14"/>
  <c r="E36" i="14"/>
  <c r="B36" i="14"/>
  <c r="S55" i="14" s="1"/>
  <c r="E35" i="14"/>
  <c r="B35" i="14"/>
  <c r="S54" i="14" s="1"/>
  <c r="X34" i="14"/>
  <c r="E34" i="14"/>
  <c r="B34" i="14"/>
  <c r="S53" i="14" s="1"/>
  <c r="Q33" i="14"/>
  <c r="E33" i="14"/>
  <c r="B33" i="14"/>
  <c r="S52" i="14" s="1"/>
  <c r="E32" i="14"/>
  <c r="B32" i="14"/>
  <c r="S51" i="14" s="1"/>
  <c r="Z31" i="14"/>
  <c r="E31" i="14"/>
  <c r="B31" i="14"/>
  <c r="S50" i="14" s="1"/>
  <c r="S30" i="14"/>
  <c r="E30" i="14"/>
  <c r="B30" i="14"/>
  <c r="S49" i="14" s="1"/>
  <c r="E29" i="14"/>
  <c r="B29" i="14"/>
  <c r="S48" i="14" s="1"/>
  <c r="AB28" i="14"/>
  <c r="E28" i="14"/>
  <c r="B28" i="14"/>
  <c r="S47" i="14" s="1"/>
  <c r="U27" i="14"/>
  <c r="E27" i="14"/>
  <c r="B27" i="14"/>
  <c r="S46" i="14" s="1"/>
  <c r="E26" i="14"/>
  <c r="B26" i="14"/>
  <c r="S45" i="14" s="1"/>
  <c r="AD25" i="14"/>
  <c r="E25" i="14"/>
  <c r="B25" i="14"/>
  <c r="W24" i="14"/>
  <c r="E24" i="14"/>
  <c r="B24" i="14"/>
  <c r="P23" i="14"/>
  <c r="E23" i="14"/>
  <c r="B23" i="14"/>
  <c r="E22" i="14"/>
  <c r="B22" i="14"/>
  <c r="Y21" i="14"/>
  <c r="E21" i="14"/>
  <c r="B21" i="14"/>
  <c r="R20" i="14"/>
  <c r="E20" i="14"/>
  <c r="B20" i="14"/>
  <c r="E19" i="14"/>
  <c r="B19" i="14"/>
  <c r="AA18" i="14"/>
  <c r="E18" i="14"/>
  <c r="B18" i="14"/>
  <c r="T17" i="14"/>
  <c r="E17" i="14"/>
  <c r="B17" i="14"/>
  <c r="E16" i="14"/>
  <c r="B16" i="14"/>
  <c r="E15" i="14"/>
  <c r="B15" i="14"/>
  <c r="E14" i="14"/>
  <c r="B14" i="14"/>
  <c r="E13" i="14"/>
  <c r="B13" i="14"/>
  <c r="E12" i="14"/>
  <c r="B12" i="14"/>
  <c r="E11" i="14"/>
  <c r="B11" i="14"/>
  <c r="O10" i="14"/>
  <c r="E10" i="14"/>
  <c r="B10" i="14"/>
  <c r="E9" i="14"/>
  <c r="B9" i="14"/>
  <c r="E6" i="14"/>
  <c r="D6" i="14"/>
  <c r="C6" i="14"/>
  <c r="B6" i="14"/>
  <c r="I5" i="14"/>
  <c r="K4" i="14"/>
  <c r="K5" i="14" s="1"/>
  <c r="J4" i="14"/>
  <c r="J5" i="14" s="1"/>
  <c r="E47" i="13"/>
  <c r="B47" i="13"/>
  <c r="E46" i="13"/>
  <c r="B46" i="13"/>
  <c r="E45" i="13"/>
  <c r="B45" i="13"/>
  <c r="E44" i="13"/>
  <c r="B44" i="13"/>
  <c r="E43" i="13"/>
  <c r="B43" i="13"/>
  <c r="E42" i="13"/>
  <c r="B42" i="13"/>
  <c r="AD41" i="13"/>
  <c r="AC41" i="13"/>
  <c r="AB41" i="13"/>
  <c r="AA41" i="13"/>
  <c r="E41" i="13"/>
  <c r="B41" i="13"/>
  <c r="T40" i="13"/>
  <c r="E40" i="13"/>
  <c r="B40" i="13"/>
  <c r="E39" i="13"/>
  <c r="B39" i="13"/>
  <c r="AC38" i="13"/>
  <c r="E38" i="13"/>
  <c r="B38" i="13"/>
  <c r="V37" i="13"/>
  <c r="E37" i="13"/>
  <c r="B37" i="13"/>
  <c r="O36" i="13"/>
  <c r="E36" i="13"/>
  <c r="B36" i="13"/>
  <c r="E35" i="13"/>
  <c r="B35" i="13"/>
  <c r="X34" i="13"/>
  <c r="E34" i="13"/>
  <c r="B34" i="13"/>
  <c r="Q33" i="13"/>
  <c r="E33" i="13"/>
  <c r="B33" i="13"/>
  <c r="E32" i="13"/>
  <c r="B32" i="13"/>
  <c r="Z31" i="13"/>
  <c r="E31" i="13"/>
  <c r="B31" i="13"/>
  <c r="S30" i="13"/>
  <c r="E30" i="13"/>
  <c r="B30" i="13"/>
  <c r="E29" i="13"/>
  <c r="B29" i="13"/>
  <c r="AB28" i="13"/>
  <c r="E28" i="13"/>
  <c r="B28" i="13"/>
  <c r="U27" i="13"/>
  <c r="E27" i="13"/>
  <c r="B27" i="13"/>
  <c r="E26" i="13"/>
  <c r="B26" i="13"/>
  <c r="AD25" i="13"/>
  <c r="E25" i="13"/>
  <c r="B25" i="13"/>
  <c r="W24" i="13"/>
  <c r="E24" i="13"/>
  <c r="B24" i="13"/>
  <c r="P23" i="13"/>
  <c r="E23" i="13"/>
  <c r="B23" i="13"/>
  <c r="E22" i="13"/>
  <c r="B22" i="13"/>
  <c r="Y21" i="13"/>
  <c r="E21" i="13"/>
  <c r="B21" i="13"/>
  <c r="R20" i="13"/>
  <c r="E20" i="13"/>
  <c r="B20" i="13"/>
  <c r="E19" i="13"/>
  <c r="B19" i="13"/>
  <c r="AA18" i="13"/>
  <c r="E18" i="13"/>
  <c r="B18" i="13"/>
  <c r="T17" i="13"/>
  <c r="E17" i="13"/>
  <c r="B17" i="13"/>
  <c r="E16" i="13"/>
  <c r="B16" i="13"/>
  <c r="E15" i="13"/>
  <c r="B15" i="13"/>
  <c r="E14" i="13"/>
  <c r="B14" i="13"/>
  <c r="E13" i="13"/>
  <c r="B13" i="13"/>
  <c r="E12" i="13"/>
  <c r="B12" i="13"/>
  <c r="E11" i="13"/>
  <c r="B11" i="13"/>
  <c r="O10" i="13"/>
  <c r="E10" i="13"/>
  <c r="B10" i="13"/>
  <c r="E9" i="13"/>
  <c r="B9" i="13"/>
  <c r="E6" i="13"/>
  <c r="D6" i="13"/>
  <c r="C6" i="13"/>
  <c r="B6" i="13"/>
  <c r="I5" i="13"/>
  <c r="D42" i="13" s="1"/>
  <c r="C42" i="13" s="1"/>
  <c r="D5" i="13"/>
  <c r="D35" i="13" s="1"/>
  <c r="C35" i="13" s="1"/>
  <c r="K4" i="13"/>
  <c r="K5" i="13" s="1"/>
  <c r="D46" i="13" s="1"/>
  <c r="C46" i="13" s="1"/>
  <c r="J4" i="13"/>
  <c r="J5" i="13" s="1"/>
  <c r="D45" i="13" s="1"/>
  <c r="C45" i="13" s="1"/>
  <c r="I4" i="13"/>
  <c r="H5" i="13" s="1"/>
  <c r="D29" i="13" s="1"/>
  <c r="B19" i="12"/>
  <c r="E19" i="12"/>
  <c r="E10" i="12"/>
  <c r="E11" i="12"/>
  <c r="E12" i="12"/>
  <c r="E13" i="12"/>
  <c r="E14" i="12"/>
  <c r="E15" i="12"/>
  <c r="E16" i="12"/>
  <c r="E17" i="12"/>
  <c r="E18" i="12"/>
  <c r="E9"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22" i="12"/>
  <c r="J94" i="10"/>
  <c r="B97" i="10"/>
  <c r="B98" i="10"/>
  <c r="B99" i="10"/>
  <c r="B100" i="10"/>
  <c r="B101" i="10"/>
  <c r="B96" i="10"/>
  <c r="N86" i="10"/>
  <c r="M86" i="10"/>
  <c r="L86" i="10"/>
  <c r="B88" i="10"/>
  <c r="L88" i="10" s="1"/>
  <c r="B89" i="10"/>
  <c r="B143" i="10" s="1"/>
  <c r="B8" i="8" s="1"/>
  <c r="B90" i="10"/>
  <c r="L90" i="10" s="1"/>
  <c r="B91" i="10"/>
  <c r="B92" i="10"/>
  <c r="L92" i="10"/>
  <c r="B87" i="10"/>
  <c r="L73" i="10"/>
  <c r="L74" i="10"/>
  <c r="L75" i="10"/>
  <c r="L76" i="10"/>
  <c r="L77" i="10"/>
  <c r="L78" i="10"/>
  <c r="L79" i="10"/>
  <c r="M71" i="10"/>
  <c r="N71" i="10"/>
  <c r="M73" i="10"/>
  <c r="N73" i="10"/>
  <c r="T40" i="12"/>
  <c r="S30" i="12"/>
  <c r="T17" i="12"/>
  <c r="AA18" i="12"/>
  <c r="R20" i="12"/>
  <c r="Y21" i="12"/>
  <c r="P23" i="12"/>
  <c r="W24" i="12"/>
  <c r="AD25" i="12"/>
  <c r="U27" i="12"/>
  <c r="AB28" i="12"/>
  <c r="Z31" i="12"/>
  <c r="Q33" i="12"/>
  <c r="X34" i="12"/>
  <c r="O36" i="12"/>
  <c r="V37" i="12"/>
  <c r="AC38" i="12"/>
  <c r="AA41" i="12"/>
  <c r="AB41" i="12"/>
  <c r="AC41" i="12"/>
  <c r="AD41" i="12"/>
  <c r="O10"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E21" i="12"/>
  <c r="D21" i="12"/>
  <c r="C21" i="12" s="1"/>
  <c r="B21" i="12"/>
  <c r="E20" i="12"/>
  <c r="B20" i="12"/>
  <c r="B18" i="12"/>
  <c r="B17" i="12"/>
  <c r="B16" i="12"/>
  <c r="B15" i="12"/>
  <c r="B14" i="12"/>
  <c r="B13" i="12"/>
  <c r="B12" i="12"/>
  <c r="B11" i="12"/>
  <c r="B10" i="12"/>
  <c r="B9" i="12"/>
  <c r="E6" i="12"/>
  <c r="D6" i="12"/>
  <c r="C6" i="12"/>
  <c r="B6" i="12"/>
  <c r="R4" i="5"/>
  <c r="I5" i="12"/>
  <c r="C5" i="12"/>
  <c r="H4" i="12"/>
  <c r="D18" i="12" s="1"/>
  <c r="G4" i="12"/>
  <c r="D20" i="12" s="1"/>
  <c r="C20" i="12" s="1"/>
  <c r="C66" i="9"/>
  <c r="B146" i="10"/>
  <c r="B11" i="8" s="1"/>
  <c r="B144" i="10"/>
  <c r="B9" i="8"/>
  <c r="D44" i="13"/>
  <c r="C44" i="13" s="1"/>
  <c r="J81" i="10"/>
  <c r="E67" i="10"/>
  <c r="C67" i="10"/>
  <c r="H66" i="10"/>
  <c r="J66" i="10"/>
  <c r="J63" i="10"/>
  <c r="E64" i="10"/>
  <c r="C64" i="10"/>
  <c r="H63" i="10"/>
  <c r="C75" i="10"/>
  <c r="D75" i="10"/>
  <c r="E75" i="10"/>
  <c r="F75" i="10"/>
  <c r="G75" i="10"/>
  <c r="H75" i="10"/>
  <c r="J75" i="10" s="1"/>
  <c r="C76" i="10"/>
  <c r="I76" i="10" s="1"/>
  <c r="D76" i="10"/>
  <c r="E76" i="10"/>
  <c r="F76" i="10"/>
  <c r="G76" i="10"/>
  <c r="H76" i="10"/>
  <c r="C77" i="10"/>
  <c r="D77" i="10"/>
  <c r="E77" i="10"/>
  <c r="F77" i="10"/>
  <c r="G77" i="10"/>
  <c r="H77" i="10"/>
  <c r="C78" i="10"/>
  <c r="D78" i="10"/>
  <c r="E78" i="10"/>
  <c r="F78" i="10"/>
  <c r="G78" i="10"/>
  <c r="H78" i="10"/>
  <c r="C79" i="10"/>
  <c r="D79" i="10"/>
  <c r="E79" i="10"/>
  <c r="F79" i="10"/>
  <c r="G79" i="10"/>
  <c r="H79" i="10"/>
  <c r="D74" i="10"/>
  <c r="I74" i="10" s="1"/>
  <c r="E74" i="10"/>
  <c r="F74" i="10"/>
  <c r="G74" i="10"/>
  <c r="H74" i="10"/>
  <c r="C74" i="10"/>
  <c r="B75" i="10"/>
  <c r="B76" i="10"/>
  <c r="B77" i="10"/>
  <c r="B78" i="10"/>
  <c r="B79" i="10"/>
  <c r="B74" i="10"/>
  <c r="B70" i="9"/>
  <c r="E47" i="10"/>
  <c r="B47" i="10"/>
  <c r="E46" i="10"/>
  <c r="B46" i="10"/>
  <c r="E45" i="10"/>
  <c r="B45" i="10"/>
  <c r="E44" i="10"/>
  <c r="B44" i="10"/>
  <c r="E43" i="10"/>
  <c r="B43" i="10"/>
  <c r="E42" i="10"/>
  <c r="B42" i="10"/>
  <c r="AD41" i="10"/>
  <c r="AC41" i="10"/>
  <c r="AB41" i="10"/>
  <c r="AA41" i="10"/>
  <c r="E41" i="10"/>
  <c r="B41" i="10"/>
  <c r="T40" i="10"/>
  <c r="E40" i="10"/>
  <c r="B40" i="10"/>
  <c r="E39" i="10"/>
  <c r="B39" i="10"/>
  <c r="AC38" i="10"/>
  <c r="E38" i="10"/>
  <c r="B38" i="10"/>
  <c r="V37" i="10"/>
  <c r="E37" i="10"/>
  <c r="B37" i="10"/>
  <c r="O36" i="10"/>
  <c r="E36" i="10"/>
  <c r="B36" i="10"/>
  <c r="E35" i="10"/>
  <c r="B35" i="10"/>
  <c r="X34" i="10"/>
  <c r="E34" i="10"/>
  <c r="B34" i="10"/>
  <c r="Q33" i="10"/>
  <c r="E33" i="10"/>
  <c r="B33" i="10"/>
  <c r="E32" i="10"/>
  <c r="B32" i="10"/>
  <c r="Z31" i="10"/>
  <c r="E31" i="10"/>
  <c r="B31" i="10"/>
  <c r="S30" i="10"/>
  <c r="E30" i="10"/>
  <c r="B30" i="10"/>
  <c r="E29" i="10"/>
  <c r="B29" i="10"/>
  <c r="AB28" i="10"/>
  <c r="E28" i="10"/>
  <c r="B28" i="10"/>
  <c r="U27" i="10"/>
  <c r="E27" i="10"/>
  <c r="B27" i="10"/>
  <c r="E26" i="10"/>
  <c r="B26" i="10"/>
  <c r="AD25" i="10"/>
  <c r="E25" i="10"/>
  <c r="B25" i="10"/>
  <c r="W24" i="10"/>
  <c r="E24" i="10"/>
  <c r="B24" i="10"/>
  <c r="P23" i="10"/>
  <c r="E23" i="10"/>
  <c r="B23" i="10"/>
  <c r="E22" i="10"/>
  <c r="B22" i="10"/>
  <c r="Y21" i="10"/>
  <c r="E21" i="10"/>
  <c r="B21" i="10"/>
  <c r="R20" i="10"/>
  <c r="E20" i="10"/>
  <c r="B20" i="10"/>
  <c r="E19" i="10"/>
  <c r="B19" i="10"/>
  <c r="AA18" i="10"/>
  <c r="E18" i="10"/>
  <c r="B18" i="10"/>
  <c r="T17" i="10"/>
  <c r="E17" i="10"/>
  <c r="B17" i="10"/>
  <c r="E16" i="10"/>
  <c r="B16" i="10"/>
  <c r="E15" i="10"/>
  <c r="B15" i="10"/>
  <c r="E14" i="10"/>
  <c r="B14" i="10"/>
  <c r="E13" i="10"/>
  <c r="B13" i="10"/>
  <c r="E12" i="10"/>
  <c r="B12" i="10"/>
  <c r="E11" i="10"/>
  <c r="B11" i="10"/>
  <c r="O10" i="10"/>
  <c r="E10" i="10"/>
  <c r="B10" i="10"/>
  <c r="E9" i="10"/>
  <c r="B9" i="10"/>
  <c r="E6" i="10"/>
  <c r="D6" i="10"/>
  <c r="C6" i="10"/>
  <c r="B6" i="10"/>
  <c r="L5" i="10"/>
  <c r="D26" i="10" s="1"/>
  <c r="C26" i="10" s="1"/>
  <c r="I5" i="10"/>
  <c r="D42" i="10" s="1"/>
  <c r="E5" i="10"/>
  <c r="D23" i="10" s="1"/>
  <c r="C23" i="10" s="1"/>
  <c r="C34" i="10"/>
  <c r="I4" i="10"/>
  <c r="F5" i="10" s="1"/>
  <c r="D27" i="10" s="1"/>
  <c r="J56" i="9"/>
  <c r="J53" i="9"/>
  <c r="H53" i="9"/>
  <c r="J60" i="9"/>
  <c r="D61" i="9"/>
  <c r="D69" i="9"/>
  <c r="E61" i="9"/>
  <c r="E69" i="9" s="1"/>
  <c r="F61" i="9"/>
  <c r="F69" i="9" s="1"/>
  <c r="G61" i="9"/>
  <c r="G69" i="9"/>
  <c r="H61" i="9"/>
  <c r="H69" i="9" s="1"/>
  <c r="I61" i="9"/>
  <c r="I69" i="9" s="1"/>
  <c r="C61" i="9"/>
  <c r="C69" i="9" s="1"/>
  <c r="B62" i="9"/>
  <c r="E62" i="9" s="1"/>
  <c r="C57" i="9"/>
  <c r="C54" i="9"/>
  <c r="E47" i="9"/>
  <c r="B47" i="9"/>
  <c r="E46" i="9"/>
  <c r="B46" i="9"/>
  <c r="E45" i="9"/>
  <c r="B45" i="9"/>
  <c r="E44" i="9"/>
  <c r="B44" i="9"/>
  <c r="E43" i="9"/>
  <c r="B43" i="9"/>
  <c r="E42" i="9"/>
  <c r="B42" i="9"/>
  <c r="AD41" i="9"/>
  <c r="AC41" i="9"/>
  <c r="AB41" i="9"/>
  <c r="AA41" i="9"/>
  <c r="E41" i="9"/>
  <c r="B41" i="9"/>
  <c r="T40" i="9"/>
  <c r="E40" i="9"/>
  <c r="B40" i="9"/>
  <c r="E39" i="9"/>
  <c r="B39" i="9"/>
  <c r="AC38" i="9"/>
  <c r="E38" i="9"/>
  <c r="B38" i="9"/>
  <c r="V37" i="9"/>
  <c r="E37" i="9"/>
  <c r="B37" i="9"/>
  <c r="O36" i="9"/>
  <c r="E36" i="9"/>
  <c r="B36" i="9"/>
  <c r="E35" i="9"/>
  <c r="B35" i="9"/>
  <c r="X34" i="9"/>
  <c r="E34" i="9"/>
  <c r="B34" i="9"/>
  <c r="Q33" i="9"/>
  <c r="E33" i="9"/>
  <c r="B33" i="9"/>
  <c r="E32" i="9"/>
  <c r="B32" i="9"/>
  <c r="Z31" i="9"/>
  <c r="E31" i="9"/>
  <c r="B31" i="9"/>
  <c r="S30" i="9"/>
  <c r="E30" i="9"/>
  <c r="B30" i="9"/>
  <c r="E29" i="9"/>
  <c r="B29" i="9"/>
  <c r="AB28" i="9"/>
  <c r="E28" i="9"/>
  <c r="B28" i="9"/>
  <c r="U27" i="9"/>
  <c r="E27" i="9"/>
  <c r="B27" i="9"/>
  <c r="E26" i="9"/>
  <c r="B26" i="9"/>
  <c r="AD25" i="9"/>
  <c r="E25" i="9"/>
  <c r="B25" i="9"/>
  <c r="W24" i="9"/>
  <c r="E24" i="9"/>
  <c r="B24" i="9"/>
  <c r="P23" i="9"/>
  <c r="E23" i="9"/>
  <c r="B23" i="9"/>
  <c r="E22" i="9"/>
  <c r="B22" i="9"/>
  <c r="Y21" i="9"/>
  <c r="E21" i="9"/>
  <c r="D21" i="9"/>
  <c r="C21" i="9"/>
  <c r="B21" i="9"/>
  <c r="R20" i="9"/>
  <c r="E20" i="9"/>
  <c r="B20" i="9"/>
  <c r="E19" i="9"/>
  <c r="B19" i="9"/>
  <c r="AA18" i="9"/>
  <c r="E18" i="9"/>
  <c r="B18" i="9"/>
  <c r="T17" i="9"/>
  <c r="E17" i="9"/>
  <c r="B17" i="9"/>
  <c r="E16" i="9"/>
  <c r="B16" i="9"/>
  <c r="E15" i="9"/>
  <c r="B15" i="9"/>
  <c r="E14" i="9"/>
  <c r="B14" i="9"/>
  <c r="E13" i="9"/>
  <c r="B13" i="9"/>
  <c r="E12" i="9"/>
  <c r="B12" i="9"/>
  <c r="E11" i="9"/>
  <c r="B11" i="9"/>
  <c r="O10" i="9"/>
  <c r="E10" i="9"/>
  <c r="B10" i="9"/>
  <c r="E9" i="9"/>
  <c r="B9" i="9"/>
  <c r="E6" i="9"/>
  <c r="D6" i="9"/>
  <c r="C6" i="9"/>
  <c r="B6" i="9"/>
  <c r="L5" i="9"/>
  <c r="D26" i="9" s="1"/>
  <c r="C26" i="9" s="1"/>
  <c r="I5" i="9"/>
  <c r="D37" i="9" s="1"/>
  <c r="C37" i="9" s="1"/>
  <c r="E5" i="9"/>
  <c r="D22" i="9" s="1"/>
  <c r="C22" i="9" s="1"/>
  <c r="K4" i="9"/>
  <c r="K5" i="9" s="1"/>
  <c r="D46" i="9" s="1"/>
  <c r="C46" i="9" s="1"/>
  <c r="J4" i="9"/>
  <c r="J5" i="9"/>
  <c r="D45" i="9" s="1"/>
  <c r="C45" i="9" s="1"/>
  <c r="I4" i="9"/>
  <c r="H5" i="9" s="1"/>
  <c r="D29" i="9" s="1"/>
  <c r="T17" i="2"/>
  <c r="AA18" i="2"/>
  <c r="R20" i="2"/>
  <c r="Y21" i="2"/>
  <c r="P23" i="2"/>
  <c r="W24" i="2"/>
  <c r="AD25" i="2"/>
  <c r="U27" i="2"/>
  <c r="AB28" i="2"/>
  <c r="S30" i="2"/>
  <c r="Z31" i="2"/>
  <c r="Q33" i="2"/>
  <c r="X34" i="2"/>
  <c r="O36" i="2"/>
  <c r="V37" i="2"/>
  <c r="AC38" i="2"/>
  <c r="T40" i="2"/>
  <c r="AA41" i="2"/>
  <c r="AB41" i="2"/>
  <c r="AC41" i="2"/>
  <c r="AD41" i="2"/>
  <c r="O10" i="2"/>
  <c r="B23" i="2"/>
  <c r="B24" i="2"/>
  <c r="B25" i="2"/>
  <c r="B26" i="2"/>
  <c r="B27" i="2"/>
  <c r="B28" i="2"/>
  <c r="B29" i="2"/>
  <c r="B30" i="2"/>
  <c r="B31" i="2"/>
  <c r="B32" i="2"/>
  <c r="B33" i="2"/>
  <c r="B34" i="2"/>
  <c r="B35" i="2"/>
  <c r="B36" i="2"/>
  <c r="B37" i="2"/>
  <c r="B38" i="2"/>
  <c r="B39" i="2"/>
  <c r="B40" i="2"/>
  <c r="B41" i="2"/>
  <c r="B42" i="2"/>
  <c r="B43" i="2"/>
  <c r="B44" i="2"/>
  <c r="B45" i="2"/>
  <c r="B46" i="2"/>
  <c r="B47" i="2"/>
  <c r="B22" i="2"/>
  <c r="B21" i="2"/>
  <c r="B20" i="2"/>
  <c r="B19" i="2"/>
  <c r="B10" i="2"/>
  <c r="B11" i="2"/>
  <c r="B12" i="2"/>
  <c r="B13" i="2"/>
  <c r="B14" i="2"/>
  <c r="B15" i="2"/>
  <c r="B16" i="2"/>
  <c r="B17" i="2"/>
  <c r="B18" i="2"/>
  <c r="B9" i="2"/>
  <c r="V81" i="5"/>
  <c r="AC82" i="5"/>
  <c r="T84" i="5"/>
  <c r="AA85" i="5"/>
  <c r="R87" i="5"/>
  <c r="Y88" i="5"/>
  <c r="AF89" i="5"/>
  <c r="W91" i="5"/>
  <c r="AD92" i="5"/>
  <c r="U94" i="5"/>
  <c r="AB95" i="5"/>
  <c r="S97" i="5"/>
  <c r="Z98" i="5"/>
  <c r="Q100" i="5"/>
  <c r="X101" i="5"/>
  <c r="AE102" i="5"/>
  <c r="V104" i="5"/>
  <c r="AC105" i="5"/>
  <c r="AD105" i="5"/>
  <c r="AE105" i="5"/>
  <c r="AF105" i="5"/>
  <c r="Q74" i="5"/>
  <c r="J141" i="5"/>
  <c r="J140" i="5"/>
  <c r="J139" i="5"/>
  <c r="J138" i="5"/>
  <c r="J137" i="5"/>
  <c r="J136" i="5"/>
  <c r="J135" i="5"/>
  <c r="J134" i="5"/>
  <c r="J133" i="5"/>
  <c r="J132" i="5"/>
  <c r="J131" i="5"/>
  <c r="J130" i="5"/>
  <c r="J129" i="5"/>
  <c r="J128" i="5"/>
  <c r="J127" i="5"/>
  <c r="J126" i="5"/>
  <c r="J125" i="5"/>
  <c r="J124" i="5"/>
  <c r="J123" i="5"/>
  <c r="J122" i="5"/>
  <c r="J121" i="5"/>
  <c r="V46" i="5"/>
  <c r="AC47" i="5"/>
  <c r="T49" i="5"/>
  <c r="AA50" i="5"/>
  <c r="R52" i="5"/>
  <c r="Y53" i="5"/>
  <c r="AF54" i="5"/>
  <c r="W56" i="5"/>
  <c r="AD57" i="5"/>
  <c r="U59" i="5"/>
  <c r="AB60" i="5"/>
  <c r="S62" i="5"/>
  <c r="Z63" i="5"/>
  <c r="Q65" i="5"/>
  <c r="X66" i="5"/>
  <c r="AE67" i="5"/>
  <c r="V69" i="5"/>
  <c r="AC70" i="5"/>
  <c r="AD70" i="5"/>
  <c r="AE70" i="5"/>
  <c r="AF70" i="5"/>
  <c r="Q39" i="5"/>
  <c r="C141" i="5"/>
  <c r="C140" i="5"/>
  <c r="C139" i="5"/>
  <c r="C138" i="5"/>
  <c r="C137" i="5"/>
  <c r="C136" i="5"/>
  <c r="C135" i="5"/>
  <c r="C134" i="5"/>
  <c r="C133" i="5"/>
  <c r="C132" i="5"/>
  <c r="C131" i="5"/>
  <c r="C130" i="5"/>
  <c r="C129" i="5"/>
  <c r="C128" i="5"/>
  <c r="C127" i="5"/>
  <c r="C126" i="5"/>
  <c r="C125" i="5"/>
  <c r="C124" i="5"/>
  <c r="C123" i="5"/>
  <c r="C122" i="5"/>
  <c r="C121" i="5"/>
  <c r="H4" i="2"/>
  <c r="D17" i="2" s="1"/>
  <c r="C17" i="2" s="1"/>
  <c r="G4" i="2"/>
  <c r="D20" i="2" s="1"/>
  <c r="C20" i="2" s="1"/>
  <c r="I5" i="2"/>
  <c r="D37" i="2" s="1"/>
  <c r="C37" i="2" s="1"/>
  <c r="D21" i="2"/>
  <c r="C21" i="2" s="1"/>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15" i="5"/>
  <c r="J14" i="5"/>
  <c r="J13" i="5"/>
  <c r="J12" i="5"/>
  <c r="J11" i="5"/>
  <c r="J10" i="5"/>
  <c r="J9" i="5"/>
  <c r="J8" i="5"/>
  <c r="J7" i="5"/>
  <c r="J6" i="5"/>
  <c r="J5" i="5"/>
  <c r="J4" i="5"/>
  <c r="J74" i="10"/>
  <c r="J76" i="10"/>
  <c r="D24" i="10"/>
  <c r="C24" i="10" s="1"/>
  <c r="D32" i="10"/>
  <c r="C32" i="10" s="1"/>
  <c r="D33" i="10"/>
  <c r="C33" i="10" s="1"/>
  <c r="D35" i="10"/>
  <c r="C35" i="10" s="1"/>
  <c r="C62" i="9"/>
  <c r="C6" i="2"/>
  <c r="D6" i="2"/>
  <c r="E6" i="2"/>
  <c r="B6" i="2"/>
  <c r="L5" i="2"/>
  <c r="D26" i="2" s="1"/>
  <c r="C26" i="2" s="1"/>
  <c r="E5" i="2"/>
  <c r="D23" i="2" s="1"/>
  <c r="C23" i="2" s="1"/>
  <c r="D25" i="2"/>
  <c r="C25" i="2" s="1"/>
  <c r="D5" i="2"/>
  <c r="D32" i="2" s="1"/>
  <c r="C32" i="2" s="1"/>
  <c r="C5" i="2"/>
  <c r="E10" i="2"/>
  <c r="E11" i="2"/>
  <c r="E12" i="2"/>
  <c r="E13" i="2"/>
  <c r="E14" i="2"/>
  <c r="E15" i="2"/>
  <c r="E16" i="2"/>
  <c r="E17" i="2"/>
  <c r="E18" i="2"/>
  <c r="E19" i="2"/>
  <c r="E20" i="2"/>
  <c r="E21" i="2"/>
  <c r="E23" i="2"/>
  <c r="E24" i="2"/>
  <c r="E25" i="2"/>
  <c r="E26" i="2"/>
  <c r="E27" i="2"/>
  <c r="E28" i="2"/>
  <c r="E29" i="2"/>
  <c r="E30" i="2"/>
  <c r="E31" i="2"/>
  <c r="E32" i="2"/>
  <c r="E33" i="2"/>
  <c r="E34" i="2"/>
  <c r="E35" i="2"/>
  <c r="E36" i="2"/>
  <c r="E37" i="2"/>
  <c r="E38" i="2"/>
  <c r="E39" i="2"/>
  <c r="E40" i="2"/>
  <c r="E41" i="2"/>
  <c r="E42" i="2"/>
  <c r="E43" i="2"/>
  <c r="E44" i="2"/>
  <c r="E45" i="2"/>
  <c r="E46" i="2"/>
  <c r="E47" i="2"/>
  <c r="E22" i="2"/>
  <c r="E9" i="2"/>
  <c r="K4" i="2"/>
  <c r="K5" i="2" s="1"/>
  <c r="D46" i="2" s="1"/>
  <c r="C46" i="2" s="1"/>
  <c r="J4" i="2"/>
  <c r="J5" i="2" s="1"/>
  <c r="D45" i="2" s="1"/>
  <c r="C45" i="2" s="1"/>
  <c r="F4" i="2"/>
  <c r="D44" i="2" s="1"/>
  <c r="C44" i="2" s="1"/>
  <c r="I4" i="2"/>
  <c r="F5" i="2" s="1"/>
  <c r="D27" i="2" s="1"/>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4" i="5"/>
  <c r="D31" i="2"/>
  <c r="C31" i="2" s="1"/>
  <c r="D30" i="2"/>
  <c r="C30" i="2"/>
  <c r="D24" i="2"/>
  <c r="C24" i="2" s="1"/>
  <c r="D22" i="2"/>
  <c r="C22" i="2" s="1"/>
  <c r="D31" i="1"/>
  <c r="D30" i="1"/>
  <c r="D29" i="1"/>
  <c r="D28" i="1"/>
  <c r="D27" i="1"/>
  <c r="D26" i="1"/>
  <c r="D25" i="1"/>
  <c r="D24" i="1"/>
  <c r="D23" i="1"/>
  <c r="D22" i="1"/>
  <c r="D21" i="1"/>
  <c r="L90" i="14"/>
  <c r="N10" i="8"/>
  <c r="N7" i="8"/>
  <c r="B66" i="9"/>
  <c r="D66" i="9" s="1"/>
  <c r="I66" i="9" s="1"/>
  <c r="J66" i="9" s="1"/>
  <c r="G70" i="9" s="1"/>
  <c r="D33" i="13"/>
  <c r="C33" i="13" s="1"/>
  <c r="D34" i="13"/>
  <c r="C34" i="13" s="1"/>
  <c r="J57" i="13"/>
  <c r="L57" i="13" s="1"/>
  <c r="J57" i="9"/>
  <c r="L57" i="9" s="1"/>
  <c r="J54" i="13"/>
  <c r="L54" i="13" s="1"/>
  <c r="C89" i="13" s="1"/>
  <c r="D13" i="2"/>
  <c r="C13" i="2" s="1"/>
  <c r="D18" i="2"/>
  <c r="C18" i="2" s="1"/>
  <c r="C42" i="10"/>
  <c r="D36" i="10"/>
  <c r="C36" i="10" s="1"/>
  <c r="D12" i="2"/>
  <c r="C12" i="2" s="1"/>
  <c r="D41" i="13"/>
  <c r="C41" i="13"/>
  <c r="D40" i="9"/>
  <c r="C40" i="9" s="1"/>
  <c r="D43" i="9"/>
  <c r="C43" i="9" s="1"/>
  <c r="D38" i="13"/>
  <c r="C38" i="13"/>
  <c r="D38" i="9"/>
  <c r="C38" i="9" s="1"/>
  <c r="D40" i="13"/>
  <c r="C40" i="13" s="1"/>
  <c r="D39" i="13"/>
  <c r="C39" i="13" s="1"/>
  <c r="D37" i="13"/>
  <c r="C37" i="13"/>
  <c r="J77" i="10"/>
  <c r="S4" i="5"/>
  <c r="Q10" i="13" s="1"/>
  <c r="P10" i="10"/>
  <c r="P10" i="14"/>
  <c r="P10" i="13"/>
  <c r="P10" i="9"/>
  <c r="R39" i="5"/>
  <c r="R74" i="5"/>
  <c r="P10" i="12"/>
  <c r="P10" i="2"/>
  <c r="C23" i="12"/>
  <c r="Q6" i="12"/>
  <c r="D43" i="10"/>
  <c r="C43" i="10" s="1"/>
  <c r="D40" i="10"/>
  <c r="C40" i="10" s="1"/>
  <c r="D38" i="10"/>
  <c r="C38" i="10" s="1"/>
  <c r="L22" i="14"/>
  <c r="L24" i="14" s="1"/>
  <c r="C41" i="14" s="1"/>
  <c r="I75" i="10"/>
  <c r="D32" i="12"/>
  <c r="C32" i="12" s="1"/>
  <c r="D33" i="12"/>
  <c r="C33" i="12" s="1"/>
  <c r="D34" i="12"/>
  <c r="C34" i="12" s="1"/>
  <c r="D35" i="12"/>
  <c r="C35" i="12" s="1"/>
  <c r="L87" i="10"/>
  <c r="B141" i="10"/>
  <c r="B6" i="8"/>
  <c r="K29" i="14"/>
  <c r="D43" i="14" s="1"/>
  <c r="C43" i="14" s="1"/>
  <c r="D24" i="12"/>
  <c r="C24" i="12" s="1"/>
  <c r="D25" i="12"/>
  <c r="S6" i="12" s="1"/>
  <c r="R6" i="12"/>
  <c r="Q10" i="9"/>
  <c r="P6" i="14"/>
  <c r="K33" i="14" l="1"/>
  <c r="D30" i="10"/>
  <c r="C30" i="10" s="1"/>
  <c r="D31" i="10"/>
  <c r="C31" i="10" s="1"/>
  <c r="K34" i="12"/>
  <c r="D41" i="12" s="1"/>
  <c r="C41" i="12" s="1"/>
  <c r="L89" i="10"/>
  <c r="D22" i="10"/>
  <c r="C22" i="10" s="1"/>
  <c r="I77" i="10"/>
  <c r="S74" i="5"/>
  <c r="Q10" i="2"/>
  <c r="G4" i="10"/>
  <c r="D20" i="10" s="1"/>
  <c r="C20" i="10" s="1"/>
  <c r="J79" i="10"/>
  <c r="D83" i="10" s="1"/>
  <c r="F83" i="10" s="1"/>
  <c r="G137" i="10" s="1"/>
  <c r="L10" i="10" s="1"/>
  <c r="L17" i="10" s="1"/>
  <c r="N79" i="10" s="1"/>
  <c r="N80" i="10" s="1"/>
  <c r="B142" i="10"/>
  <c r="B7" i="8" s="1"/>
  <c r="H4" i="10"/>
  <c r="I78" i="10"/>
  <c r="Q10" i="12"/>
  <c r="D32" i="14"/>
  <c r="C32" i="14" s="1"/>
  <c r="D25" i="10"/>
  <c r="C25" i="10" s="1"/>
  <c r="J64" i="10"/>
  <c r="L64" i="10" s="1"/>
  <c r="C137" i="10" s="1"/>
  <c r="D35" i="14"/>
  <c r="C35" i="14" s="1"/>
  <c r="D33" i="14"/>
  <c r="C33" i="14" s="1"/>
  <c r="D31" i="9"/>
  <c r="C31" i="9" s="1"/>
  <c r="D30" i="9"/>
  <c r="C30" i="9" s="1"/>
  <c r="D30" i="13"/>
  <c r="C30" i="13" s="1"/>
  <c r="D31" i="13"/>
  <c r="C31" i="13" s="1"/>
  <c r="D35" i="9"/>
  <c r="C35" i="9" s="1"/>
  <c r="D32" i="9"/>
  <c r="C32" i="9" s="1"/>
  <c r="D33" i="9"/>
  <c r="C33" i="9" s="1"/>
  <c r="D34" i="9"/>
  <c r="C34" i="9" s="1"/>
  <c r="C23" i="13"/>
  <c r="Q6" i="13"/>
  <c r="D41" i="2"/>
  <c r="C41" i="2" s="1"/>
  <c r="D62" i="9"/>
  <c r="D24" i="9"/>
  <c r="C24" i="9" s="1"/>
  <c r="D33" i="2"/>
  <c r="C33" i="2" s="1"/>
  <c r="Q10" i="10"/>
  <c r="D36" i="2"/>
  <c r="C36" i="2" s="1"/>
  <c r="J62" i="9"/>
  <c r="L62" i="9" s="1"/>
  <c r="T4" i="5"/>
  <c r="D39" i="2"/>
  <c r="C39" i="2" s="1"/>
  <c r="C5" i="10"/>
  <c r="J67" i="10"/>
  <c r="L67" i="10" s="1"/>
  <c r="C25" i="12"/>
  <c r="D22" i="12"/>
  <c r="D11" i="2"/>
  <c r="C11" i="2" s="1"/>
  <c r="C70" i="9"/>
  <c r="J70" i="9" s="1"/>
  <c r="L70" i="9" s="1"/>
  <c r="D43" i="13"/>
  <c r="C43" i="13" s="1"/>
  <c r="D32" i="13"/>
  <c r="C32" i="13" s="1"/>
  <c r="F62" i="9"/>
  <c r="G4" i="9"/>
  <c r="D20" i="9" s="1"/>
  <c r="C20" i="9" s="1"/>
  <c r="J54" i="9"/>
  <c r="L54" i="9" s="1"/>
  <c r="D34" i="2"/>
  <c r="C34" i="2" s="1"/>
  <c r="L23" i="14"/>
  <c r="C40" i="14" s="1"/>
  <c r="D42" i="2"/>
  <c r="C42" i="2" s="1"/>
  <c r="D43" i="2"/>
  <c r="C43" i="2" s="1"/>
  <c r="D14" i="2"/>
  <c r="C14" i="2" s="1"/>
  <c r="G62" i="9"/>
  <c r="I62" i="9"/>
  <c r="S39" i="5"/>
  <c r="D10" i="12"/>
  <c r="C10" i="12" s="1"/>
  <c r="D10" i="2"/>
  <c r="C10" i="2" s="1"/>
  <c r="D35" i="2"/>
  <c r="C35" i="2" s="1"/>
  <c r="D36" i="13"/>
  <c r="C36" i="13" s="1"/>
  <c r="D16" i="2"/>
  <c r="C16" i="2" s="1"/>
  <c r="D15" i="2"/>
  <c r="C15" i="2" s="1"/>
  <c r="H62" i="9"/>
  <c r="H4" i="9"/>
  <c r="I79" i="10"/>
  <c r="C83" i="10" s="1"/>
  <c r="E83" i="10" s="1"/>
  <c r="H4" i="13"/>
  <c r="D21" i="13"/>
  <c r="C21" i="13" s="1"/>
  <c r="J78" i="10"/>
  <c r="G4" i="13"/>
  <c r="D20" i="13" s="1"/>
  <c r="C20" i="13" s="1"/>
  <c r="AF9" i="12"/>
  <c r="AE4" i="1"/>
  <c r="AE5" i="1" s="1"/>
  <c r="AE6" i="1" s="1"/>
  <c r="AE7" i="1" s="1"/>
  <c r="AE8" i="1" s="1"/>
  <c r="AE9" i="1" s="1"/>
  <c r="AE10" i="1" s="1"/>
  <c r="AE11" i="1" s="1"/>
  <c r="AE12" i="1" s="1"/>
  <c r="AE13" i="1" s="1"/>
  <c r="AE14" i="1" s="1"/>
  <c r="AE15" i="1" s="1"/>
  <c r="AE16" i="1" s="1"/>
  <c r="D9" i="2"/>
  <c r="C9" i="2" s="1"/>
  <c r="G4" i="14"/>
  <c r="D20" i="14" s="1"/>
  <c r="C20" i="14" s="1"/>
  <c r="B141" i="14"/>
  <c r="N6" i="8" s="1"/>
  <c r="B146" i="14"/>
  <c r="N11" i="8" s="1"/>
  <c r="B5" i="14"/>
  <c r="D30" i="14" s="1"/>
  <c r="C30" i="14" s="1"/>
  <c r="L89" i="14"/>
  <c r="B143" i="14"/>
  <c r="N8" i="8" s="1"/>
  <c r="F75" i="14"/>
  <c r="F76" i="14"/>
  <c r="D75" i="14"/>
  <c r="F77" i="14"/>
  <c r="H75" i="14"/>
  <c r="D76" i="14"/>
  <c r="D78" i="14"/>
  <c r="H78" i="14"/>
  <c r="D79" i="14"/>
  <c r="H77" i="14"/>
  <c r="D77" i="14"/>
  <c r="F79" i="14"/>
  <c r="F78" i="14"/>
  <c r="H76" i="14"/>
  <c r="H79" i="14"/>
  <c r="G76" i="14"/>
  <c r="G75" i="14"/>
  <c r="G79" i="14"/>
  <c r="E78" i="14"/>
  <c r="E77" i="14"/>
  <c r="E76" i="14"/>
  <c r="G78" i="14"/>
  <c r="G77" i="14"/>
  <c r="E79" i="14"/>
  <c r="E75" i="14"/>
  <c r="C77" i="14"/>
  <c r="C78" i="14"/>
  <c r="C79" i="14"/>
  <c r="U86" i="14" s="1"/>
  <c r="C76" i="14"/>
  <c r="C75" i="14"/>
  <c r="D39" i="10"/>
  <c r="C39" i="10" s="1"/>
  <c r="E89" i="9"/>
  <c r="D16" i="12"/>
  <c r="C16" i="12" s="1"/>
  <c r="D14" i="12"/>
  <c r="C14" i="12" s="1"/>
  <c r="D9" i="12"/>
  <c r="C9" i="12" s="1"/>
  <c r="D17" i="12"/>
  <c r="C17" i="12" s="1"/>
  <c r="D12" i="12"/>
  <c r="C12" i="12" s="1"/>
  <c r="D41" i="9"/>
  <c r="C41" i="9" s="1"/>
  <c r="D42" i="9"/>
  <c r="C42" i="9" s="1"/>
  <c r="D13" i="12"/>
  <c r="C13" i="12" s="1"/>
  <c r="D11" i="12"/>
  <c r="C11" i="12" s="1"/>
  <c r="D37" i="10"/>
  <c r="C37" i="10" s="1"/>
  <c r="H70" i="9"/>
  <c r="D39" i="9"/>
  <c r="C39" i="9" s="1"/>
  <c r="D15" i="12"/>
  <c r="C15" i="12" s="1"/>
  <c r="D36" i="9"/>
  <c r="C36" i="9" s="1"/>
  <c r="F4" i="9"/>
  <c r="I24" i="9" s="1"/>
  <c r="J24" i="9" s="1"/>
  <c r="K16" i="9" s="1"/>
  <c r="D19" i="2"/>
  <c r="C19" i="2" s="1"/>
  <c r="H159" i="14"/>
  <c r="D41" i="10"/>
  <c r="C41" i="10" s="1"/>
  <c r="J159" i="14"/>
  <c r="D38" i="2"/>
  <c r="C38" i="2" s="1"/>
  <c r="W47" i="8"/>
  <c r="J67" i="14"/>
  <c r="L67" i="14" s="1"/>
  <c r="Q171" i="14" s="1"/>
  <c r="D25" i="14"/>
  <c r="C25" i="14" s="1"/>
  <c r="H4" i="14"/>
  <c r="D18" i="14" s="1"/>
  <c r="C18" i="14" s="1"/>
  <c r="J64" i="14"/>
  <c r="L64" i="14" s="1"/>
  <c r="D23" i="14"/>
  <c r="G157" i="14"/>
  <c r="H157" i="14" s="1"/>
  <c r="K22" i="14"/>
  <c r="I157" i="14"/>
  <c r="S3" i="8"/>
  <c r="X47" i="8"/>
  <c r="G74" i="14"/>
  <c r="L87" i="14"/>
  <c r="I74" i="14"/>
  <c r="N9" i="8"/>
  <c r="C22" i="12"/>
  <c r="P6" i="12"/>
  <c r="C89" i="9"/>
  <c r="L15" i="10"/>
  <c r="N77" i="10" s="1"/>
  <c r="C46" i="10"/>
  <c r="D46" i="10" s="1"/>
  <c r="L14" i="10"/>
  <c r="N76" i="10" s="1"/>
  <c r="N72" i="10"/>
  <c r="L12" i="10"/>
  <c r="N74" i="10" s="1"/>
  <c r="L13" i="10"/>
  <c r="N75" i="10" s="1"/>
  <c r="L16" i="10"/>
  <c r="N78" i="10" s="1"/>
  <c r="I70" i="9"/>
  <c r="E70" i="9"/>
  <c r="D70" i="9"/>
  <c r="K14" i="9"/>
  <c r="K19" i="9"/>
  <c r="Q10" i="14"/>
  <c r="F70" i="9"/>
  <c r="AF9" i="14"/>
  <c r="D40" i="2"/>
  <c r="C40" i="2" s="1"/>
  <c r="D23" i="9"/>
  <c r="C23" i="9" s="1"/>
  <c r="D25" i="9"/>
  <c r="C25" i="9" s="1"/>
  <c r="D9" i="13"/>
  <c r="C9" i="13" s="1"/>
  <c r="D16" i="13"/>
  <c r="C16" i="13" s="1"/>
  <c r="D21" i="14"/>
  <c r="C21" i="14" s="1"/>
  <c r="C5" i="14"/>
  <c r="U63" i="14"/>
  <c r="C44" i="14"/>
  <c r="T63" i="14" s="1"/>
  <c r="K28" i="12"/>
  <c r="D42" i="12" s="1"/>
  <c r="C42" i="12" s="1"/>
  <c r="K29" i="12"/>
  <c r="D43" i="12" s="1"/>
  <c r="C43" i="12" s="1"/>
  <c r="N50" i="8"/>
  <c r="AF9" i="13"/>
  <c r="N49" i="8"/>
  <c r="D9" i="9"/>
  <c r="C9" i="9" s="1"/>
  <c r="D11" i="9"/>
  <c r="C11" i="9" s="1"/>
  <c r="D14" i="9"/>
  <c r="C14" i="9" s="1"/>
  <c r="D24" i="13"/>
  <c r="D22" i="13"/>
  <c r="D25" i="13"/>
  <c r="D31" i="12"/>
  <c r="C31" i="12" s="1"/>
  <c r="B145" i="10"/>
  <c r="B10" i="8" s="1"/>
  <c r="L91" i="10"/>
  <c r="L88" i="14"/>
  <c r="D24" i="14"/>
  <c r="L92" i="14"/>
  <c r="F5" i="13"/>
  <c r="D27" i="13" s="1"/>
  <c r="H5" i="10"/>
  <c r="D29" i="10" s="1"/>
  <c r="G5" i="10"/>
  <c r="D28" i="10" s="1"/>
  <c r="C29" i="9"/>
  <c r="G5" i="14"/>
  <c r="D28" i="14" s="1"/>
  <c r="C27" i="2"/>
  <c r="H5" i="12"/>
  <c r="D29" i="12" s="1"/>
  <c r="F5" i="12"/>
  <c r="D27" i="12" s="1"/>
  <c r="G5" i="12"/>
  <c r="D28" i="12" s="1"/>
  <c r="C27" i="10"/>
  <c r="C18" i="12"/>
  <c r="H5" i="2"/>
  <c r="D29" i="2" s="1"/>
  <c r="G5" i="2"/>
  <c r="D28" i="2" s="1"/>
  <c r="C29" i="14"/>
  <c r="G5" i="13"/>
  <c r="D28" i="13" s="1"/>
  <c r="C29" i="13"/>
  <c r="G5" i="9"/>
  <c r="D28" i="9" s="1"/>
  <c r="F5" i="9"/>
  <c r="D27" i="9" s="1"/>
  <c r="F5" i="14"/>
  <c r="D27" i="14" s="1"/>
  <c r="D31" i="14" l="1"/>
  <c r="C31" i="14" s="1"/>
  <c r="L171" i="14"/>
  <c r="T74" i="5"/>
  <c r="T39" i="5"/>
  <c r="D11" i="10"/>
  <c r="C11" i="10" s="1"/>
  <c r="D16" i="10"/>
  <c r="C16" i="10" s="1"/>
  <c r="D12" i="10"/>
  <c r="C12" i="10" s="1"/>
  <c r="D15" i="10"/>
  <c r="C15" i="10" s="1"/>
  <c r="D9" i="10"/>
  <c r="C9" i="10" s="1"/>
  <c r="D13" i="10"/>
  <c r="C13" i="10" s="1"/>
  <c r="D14" i="10"/>
  <c r="C14" i="10" s="1"/>
  <c r="D18" i="10"/>
  <c r="C18" i="10" s="1"/>
  <c r="D17" i="10"/>
  <c r="C17" i="10" s="1"/>
  <c r="D10" i="10"/>
  <c r="C10" i="10" s="1"/>
  <c r="K24" i="9"/>
  <c r="U4" i="5"/>
  <c r="E137" i="10"/>
  <c r="K10" i="10" s="1"/>
  <c r="J83" i="10"/>
  <c r="L83" i="10" s="1"/>
  <c r="D11" i="13"/>
  <c r="C11" i="13" s="1"/>
  <c r="D17" i="13"/>
  <c r="C17" i="13" s="1"/>
  <c r="D15" i="13"/>
  <c r="C15" i="13" s="1"/>
  <c r="D18" i="13"/>
  <c r="C18" i="13" s="1"/>
  <c r="D12" i="13"/>
  <c r="C12" i="13" s="1"/>
  <c r="D10" i="13"/>
  <c r="C10" i="13" s="1"/>
  <c r="D13" i="13"/>
  <c r="C13" i="13" s="1"/>
  <c r="D14" i="13"/>
  <c r="C14" i="13" s="1"/>
  <c r="R10" i="10"/>
  <c r="R10" i="2"/>
  <c r="R10" i="14"/>
  <c r="R10" i="13"/>
  <c r="R10" i="12"/>
  <c r="R10" i="9"/>
  <c r="D10" i="9"/>
  <c r="C10" i="9" s="1"/>
  <c r="D18" i="9"/>
  <c r="C18" i="9" s="1"/>
  <c r="D15" i="9"/>
  <c r="C15" i="9" s="1"/>
  <c r="D16" i="9"/>
  <c r="C16" i="9" s="1"/>
  <c r="D17" i="9"/>
  <c r="C17" i="9" s="1"/>
  <c r="D13" i="9"/>
  <c r="C13" i="9" s="1"/>
  <c r="D12" i="9"/>
  <c r="C12" i="9" s="1"/>
  <c r="D12" i="14"/>
  <c r="C12" i="14" s="1"/>
  <c r="Y77" i="14"/>
  <c r="Y86" i="14"/>
  <c r="Y75" i="14"/>
  <c r="F4" i="10"/>
  <c r="D19" i="9"/>
  <c r="K18" i="9"/>
  <c r="K12" i="9"/>
  <c r="K20" i="9"/>
  <c r="K10" i="9"/>
  <c r="K15" i="9"/>
  <c r="K21" i="9"/>
  <c r="K11" i="9"/>
  <c r="K22" i="9"/>
  <c r="K17" i="9"/>
  <c r="K23" i="9"/>
  <c r="K13" i="9"/>
  <c r="J74" i="14"/>
  <c r="J76" i="14"/>
  <c r="J78" i="14"/>
  <c r="I79" i="14"/>
  <c r="C83" i="14" s="1"/>
  <c r="E83" i="14" s="1"/>
  <c r="D16" i="14"/>
  <c r="C16" i="14" s="1"/>
  <c r="D10" i="14"/>
  <c r="C10" i="14" s="1"/>
  <c r="D9" i="14"/>
  <c r="C9" i="14" s="1"/>
  <c r="S6" i="14"/>
  <c r="C23" i="14"/>
  <c r="Q6" i="14"/>
  <c r="D17" i="14"/>
  <c r="C17" i="14" s="1"/>
  <c r="D14" i="14"/>
  <c r="C14" i="14" s="1"/>
  <c r="D11" i="14"/>
  <c r="C11" i="14" s="1"/>
  <c r="D13" i="14"/>
  <c r="C13" i="14" s="1"/>
  <c r="D15" i="14"/>
  <c r="C15" i="14" s="1"/>
  <c r="Z79" i="14"/>
  <c r="Z86" i="14"/>
  <c r="J157" i="14"/>
  <c r="J22" i="14"/>
  <c r="V76" i="14"/>
  <c r="V4" i="5"/>
  <c r="S10" i="2"/>
  <c r="I78" i="14"/>
  <c r="U79" i="14"/>
  <c r="U78" i="14"/>
  <c r="I77" i="14"/>
  <c r="U77" i="14"/>
  <c r="V77" i="14"/>
  <c r="W86" i="14"/>
  <c r="W79" i="14"/>
  <c r="J77" i="14"/>
  <c r="X77" i="14"/>
  <c r="I75" i="14"/>
  <c r="U75" i="14"/>
  <c r="V86" i="14"/>
  <c r="V79" i="14"/>
  <c r="Z78" i="14"/>
  <c r="Z77" i="14"/>
  <c r="R6" i="14"/>
  <c r="C24" i="14"/>
  <c r="C25" i="13"/>
  <c r="S6" i="13"/>
  <c r="V75" i="14"/>
  <c r="W75" i="14"/>
  <c r="K24" i="14"/>
  <c r="D39" i="14" s="1"/>
  <c r="C39" i="14" s="1"/>
  <c r="K23" i="14"/>
  <c r="D38" i="14" s="1"/>
  <c r="C38" i="14" s="1"/>
  <c r="X78" i="14"/>
  <c r="W77" i="14"/>
  <c r="Z76" i="14"/>
  <c r="Z75" i="14"/>
  <c r="C22" i="13"/>
  <c r="P6" i="13"/>
  <c r="V78" i="14"/>
  <c r="W78" i="14"/>
  <c r="J75" i="14"/>
  <c r="X75" i="14"/>
  <c r="R6" i="13"/>
  <c r="C24" i="13"/>
  <c r="W76" i="14"/>
  <c r="N70" i="10"/>
  <c r="X76" i="14"/>
  <c r="I76" i="14"/>
  <c r="U76" i="14"/>
  <c r="X86" i="14"/>
  <c r="X79" i="14"/>
  <c r="C27" i="13"/>
  <c r="C28" i="10"/>
  <c r="C29" i="10"/>
  <c r="C28" i="14"/>
  <c r="C28" i="9"/>
  <c r="C28" i="2"/>
  <c r="C28" i="12"/>
  <c r="C29" i="2"/>
  <c r="C27" i="12"/>
  <c r="C28" i="13"/>
  <c r="C29" i="12"/>
  <c r="C27" i="9"/>
  <c r="C27" i="14"/>
  <c r="S10" i="10" l="1"/>
  <c r="S10" i="13"/>
  <c r="S10" i="9"/>
  <c r="S10" i="14"/>
  <c r="S10" i="12"/>
  <c r="U39" i="5"/>
  <c r="U74" i="5"/>
  <c r="K15" i="10"/>
  <c r="M77" i="10" s="1"/>
  <c r="C45" i="10"/>
  <c r="D45" i="10" s="1"/>
  <c r="K16" i="10"/>
  <c r="M78" i="10" s="1"/>
  <c r="K17" i="10"/>
  <c r="M79" i="10" s="1"/>
  <c r="M80" i="10" s="1"/>
  <c r="K13" i="10"/>
  <c r="M75" i="10" s="1"/>
  <c r="K12" i="10"/>
  <c r="M74" i="10" s="1"/>
  <c r="K14" i="10"/>
  <c r="M76" i="10" s="1"/>
  <c r="M72" i="10"/>
  <c r="Y76" i="14"/>
  <c r="D44" i="9"/>
  <c r="C44" i="9" s="1"/>
  <c r="C19" i="9"/>
  <c r="D19" i="10"/>
  <c r="C19" i="10" s="1"/>
  <c r="D44" i="10"/>
  <c r="C44" i="10" s="1"/>
  <c r="J79" i="14"/>
  <c r="D83" i="14" s="1"/>
  <c r="F83" i="14" s="1"/>
  <c r="F84" i="14" s="1"/>
  <c r="Y78" i="14"/>
  <c r="Y79" i="14"/>
  <c r="V82" i="14"/>
  <c r="J23" i="14"/>
  <c r="D36" i="14" s="1"/>
  <c r="C36" i="14" s="1"/>
  <c r="J24" i="14"/>
  <c r="D37" i="14" s="1"/>
  <c r="C37" i="14" s="1"/>
  <c r="C47" i="13"/>
  <c r="D47" i="13" s="1"/>
  <c r="V39" i="5"/>
  <c r="V74" i="5"/>
  <c r="W4" i="5"/>
  <c r="T10" i="14"/>
  <c r="T10" i="10"/>
  <c r="T10" i="12"/>
  <c r="T10" i="13"/>
  <c r="T10" i="2"/>
  <c r="T10" i="9"/>
  <c r="Z82" i="14"/>
  <c r="U82" i="14"/>
  <c r="E84" i="14"/>
  <c r="I70" i="14"/>
  <c r="AA52" i="14" s="1"/>
  <c r="I71" i="14"/>
  <c r="AA54" i="14" s="1"/>
  <c r="X82" i="14"/>
  <c r="W82" i="14"/>
  <c r="J71" i="14"/>
  <c r="AA55" i="14" s="1"/>
  <c r="J70" i="14"/>
  <c r="AA53" i="14" s="1"/>
  <c r="C47" i="10"/>
  <c r="D47" i="10" s="1"/>
  <c r="C47" i="9"/>
  <c r="D47" i="9" s="1"/>
  <c r="C47" i="2"/>
  <c r="D47" i="2" s="1"/>
  <c r="C47" i="12"/>
  <c r="D47" i="12" s="1"/>
  <c r="AB55" i="14"/>
  <c r="AB54" i="14"/>
  <c r="AB52" i="14"/>
  <c r="AB53" i="14"/>
  <c r="M70" i="10" l="1"/>
  <c r="D88" i="10"/>
  <c r="D142" i="10" s="1"/>
  <c r="D7" i="8" s="1"/>
  <c r="H91" i="10"/>
  <c r="H145" i="10" s="1"/>
  <c r="H10" i="8" s="1"/>
  <c r="C88" i="10"/>
  <c r="E88" i="10"/>
  <c r="E142" i="10" s="1"/>
  <c r="E7" i="8" s="1"/>
  <c r="F91" i="10"/>
  <c r="E92" i="10"/>
  <c r="E146" i="10" s="1"/>
  <c r="E11" i="8" s="1"/>
  <c r="F88" i="10"/>
  <c r="C87" i="10"/>
  <c r="G88" i="10"/>
  <c r="G142" i="10" s="1"/>
  <c r="G7" i="8" s="1"/>
  <c r="C92" i="10"/>
  <c r="D91" i="10"/>
  <c r="D145" i="10" s="1"/>
  <c r="D10" i="8" s="1"/>
  <c r="C91" i="10"/>
  <c r="H90" i="10"/>
  <c r="H144" i="10" s="1"/>
  <c r="H9" i="8" s="1"/>
  <c r="H92" i="10"/>
  <c r="H146" i="10" s="1"/>
  <c r="H11" i="8" s="1"/>
  <c r="G92" i="10"/>
  <c r="G146" i="10" s="1"/>
  <c r="G11" i="8" s="1"/>
  <c r="D87" i="10"/>
  <c r="D141" i="10" s="1"/>
  <c r="D6" i="8" s="1"/>
  <c r="E87" i="10"/>
  <c r="E141" i="10" s="1"/>
  <c r="E6" i="8" s="1"/>
  <c r="F90" i="10"/>
  <c r="F89" i="10"/>
  <c r="D89" i="10"/>
  <c r="D143" i="10" s="1"/>
  <c r="D8" i="8" s="1"/>
  <c r="D92" i="10"/>
  <c r="D146" i="10" s="1"/>
  <c r="D11" i="8" s="1"/>
  <c r="C90" i="10"/>
  <c r="D90" i="10"/>
  <c r="D144" i="10" s="1"/>
  <c r="D9" i="8" s="1"/>
  <c r="G90" i="10"/>
  <c r="G144" i="10" s="1"/>
  <c r="G9" i="8" s="1"/>
  <c r="G89" i="10"/>
  <c r="G143" i="10" s="1"/>
  <c r="G8" i="8" s="1"/>
  <c r="F92" i="10"/>
  <c r="H87" i="10"/>
  <c r="H141" i="10" s="1"/>
  <c r="H6" i="8" s="1"/>
  <c r="E91" i="10"/>
  <c r="E145" i="10" s="1"/>
  <c r="E10" i="8" s="1"/>
  <c r="G91" i="10"/>
  <c r="G145" i="10" s="1"/>
  <c r="G10" i="8" s="1"/>
  <c r="C89" i="10"/>
  <c r="E89" i="10"/>
  <c r="E143" i="10" s="1"/>
  <c r="E8" i="8" s="1"/>
  <c r="E90" i="10"/>
  <c r="E144" i="10" s="1"/>
  <c r="E9" i="8" s="1"/>
  <c r="G87" i="10"/>
  <c r="G141" i="10" s="1"/>
  <c r="G6" i="8" s="1"/>
  <c r="F87" i="10"/>
  <c r="H88" i="10"/>
  <c r="H142" i="10" s="1"/>
  <c r="H7" i="8" s="1"/>
  <c r="H89" i="10"/>
  <c r="H143" i="10" s="1"/>
  <c r="H8" i="8" s="1"/>
  <c r="Y82" i="14"/>
  <c r="U52" i="14"/>
  <c r="U54" i="14"/>
  <c r="U51" i="14"/>
  <c r="U53" i="14"/>
  <c r="U57" i="14"/>
  <c r="U55" i="14"/>
  <c r="U58" i="14"/>
  <c r="U56" i="14"/>
  <c r="U61" i="14"/>
  <c r="U59" i="14"/>
  <c r="U60" i="14"/>
  <c r="U62" i="14"/>
  <c r="U50" i="14"/>
  <c r="U49" i="14"/>
  <c r="U47" i="14"/>
  <c r="U48" i="14"/>
  <c r="T51" i="14"/>
  <c r="T55" i="14"/>
  <c r="T59" i="14"/>
  <c r="T47" i="14"/>
  <c r="J83" i="14"/>
  <c r="L83" i="14" s="1"/>
  <c r="W39" i="5"/>
  <c r="U10" i="14"/>
  <c r="U10" i="13"/>
  <c r="U10" i="10"/>
  <c r="U10" i="9"/>
  <c r="U10" i="12"/>
  <c r="X4" i="5"/>
  <c r="U10" i="2"/>
  <c r="W74" i="5"/>
  <c r="O211" i="14" l="1"/>
  <c r="C137" i="14"/>
  <c r="J137" i="14"/>
  <c r="F142" i="10"/>
  <c r="J88" i="10"/>
  <c r="C143" i="10"/>
  <c r="I89" i="10"/>
  <c r="C144" i="10"/>
  <c r="I90" i="10"/>
  <c r="C141" i="10"/>
  <c r="I87" i="10"/>
  <c r="F145" i="10"/>
  <c r="J91" i="10"/>
  <c r="C145" i="10"/>
  <c r="I91" i="10"/>
  <c r="F143" i="10"/>
  <c r="J89" i="10"/>
  <c r="I88" i="10"/>
  <c r="C142" i="10"/>
  <c r="F141" i="10"/>
  <c r="J87" i="10"/>
  <c r="F146" i="10"/>
  <c r="J92" i="10"/>
  <c r="F144" i="10"/>
  <c r="J90" i="10"/>
  <c r="C146" i="10"/>
  <c r="I92" i="10"/>
  <c r="V10" i="14"/>
  <c r="X74" i="5"/>
  <c r="Y4" i="5"/>
  <c r="X39" i="5"/>
  <c r="V10" i="13"/>
  <c r="V10" i="12"/>
  <c r="V10" i="2"/>
  <c r="V10" i="9"/>
  <c r="V10" i="10"/>
  <c r="M92" i="10" l="1"/>
  <c r="C101" i="10"/>
  <c r="C7" i="8"/>
  <c r="I142" i="10"/>
  <c r="M87" i="10"/>
  <c r="C96" i="10"/>
  <c r="C11" i="8"/>
  <c r="I146" i="10"/>
  <c r="C97" i="10"/>
  <c r="M88" i="10"/>
  <c r="C6" i="8"/>
  <c r="I141" i="10"/>
  <c r="D101" i="10"/>
  <c r="N92" i="10"/>
  <c r="F10" i="8"/>
  <c r="J145" i="10"/>
  <c r="D99" i="10"/>
  <c r="N90" i="10"/>
  <c r="N89" i="10"/>
  <c r="D98" i="10"/>
  <c r="M90" i="10"/>
  <c r="C99" i="10"/>
  <c r="F6" i="8"/>
  <c r="J141" i="10"/>
  <c r="J142" i="10"/>
  <c r="F7" i="8"/>
  <c r="F9" i="8"/>
  <c r="J144" i="10"/>
  <c r="F8" i="8"/>
  <c r="J143" i="10"/>
  <c r="C9" i="8"/>
  <c r="I144" i="10"/>
  <c r="C100" i="10"/>
  <c r="M91" i="10"/>
  <c r="M89" i="10"/>
  <c r="C98" i="10"/>
  <c r="J146" i="10"/>
  <c r="F11" i="8"/>
  <c r="C10" i="8"/>
  <c r="I145" i="10"/>
  <c r="C8" i="8"/>
  <c r="I143" i="10"/>
  <c r="N87" i="10"/>
  <c r="D96" i="10"/>
  <c r="N91" i="10"/>
  <c r="D100" i="10"/>
  <c r="D97" i="10"/>
  <c r="N88" i="10"/>
  <c r="Q3" i="8"/>
  <c r="R3" i="8"/>
  <c r="W10" i="14"/>
  <c r="W10" i="12"/>
  <c r="W10" i="9"/>
  <c r="Z4" i="5"/>
  <c r="W10" i="2"/>
  <c r="Y39" i="5"/>
  <c r="W10" i="13"/>
  <c r="W10" i="10"/>
  <c r="Y74" i="5"/>
  <c r="K145" i="10" l="1"/>
  <c r="K10" i="8" s="1"/>
  <c r="I10" i="8"/>
  <c r="I9" i="8"/>
  <c r="K144" i="10"/>
  <c r="K9" i="8" s="1"/>
  <c r="L141" i="10"/>
  <c r="L6" i="8" s="1"/>
  <c r="J6" i="8"/>
  <c r="J10" i="8"/>
  <c r="L145" i="10"/>
  <c r="L10" i="8" s="1"/>
  <c r="I11" i="8"/>
  <c r="K146" i="10"/>
  <c r="K11" i="8" s="1"/>
  <c r="L143" i="10"/>
  <c r="L8" i="8" s="1"/>
  <c r="J8" i="8"/>
  <c r="J95" i="10"/>
  <c r="L95" i="10" s="1"/>
  <c r="J11" i="8"/>
  <c r="L146" i="10"/>
  <c r="L11" i="8" s="1"/>
  <c r="J9" i="8"/>
  <c r="L144" i="10"/>
  <c r="L9" i="8" s="1"/>
  <c r="K141" i="10"/>
  <c r="K6" i="8" s="1"/>
  <c r="I6" i="8"/>
  <c r="K142" i="10"/>
  <c r="K7" i="8" s="1"/>
  <c r="I7" i="8"/>
  <c r="K143" i="10"/>
  <c r="K8" i="8" s="1"/>
  <c r="I8" i="8"/>
  <c r="L142" i="10"/>
  <c r="L7" i="8" s="1"/>
  <c r="J7" i="8"/>
  <c r="AA4" i="5"/>
  <c r="X10" i="13"/>
  <c r="X10" i="14"/>
  <c r="Z39" i="5"/>
  <c r="X10" i="10"/>
  <c r="Z74" i="5"/>
  <c r="X10" i="2"/>
  <c r="X10" i="12"/>
  <c r="X10" i="9"/>
  <c r="Y10" i="14" l="1"/>
  <c r="Y10" i="2"/>
  <c r="AA39" i="5"/>
  <c r="Y10" i="12"/>
  <c r="AA74" i="5"/>
  <c r="Y10" i="10"/>
  <c r="AB4" i="5"/>
  <c r="Y10" i="9"/>
  <c r="Y10" i="13"/>
  <c r="AC4" i="5" l="1"/>
  <c r="Z10" i="12"/>
  <c r="Z10" i="14"/>
  <c r="AB39" i="5"/>
  <c r="AB74" i="5"/>
  <c r="Z10" i="13"/>
  <c r="Z10" i="9"/>
  <c r="Z10" i="10"/>
  <c r="Z10" i="2"/>
  <c r="AA10" i="12" l="1"/>
  <c r="AA10" i="2"/>
  <c r="AC39" i="5"/>
  <c r="AA10" i="9"/>
  <c r="AC74" i="5"/>
  <c r="AA10" i="14"/>
  <c r="AA10" i="10"/>
  <c r="AD4" i="5"/>
  <c r="AA10" i="13"/>
  <c r="AB10" i="2" l="1"/>
  <c r="AE4" i="5"/>
  <c r="AB10" i="14"/>
  <c r="AD39" i="5"/>
  <c r="AB10" i="9"/>
  <c r="AB10" i="13"/>
  <c r="AB10" i="12"/>
  <c r="AD74" i="5"/>
  <c r="AB10" i="10"/>
  <c r="AC10" i="14" l="1"/>
  <c r="AC10" i="12"/>
  <c r="AE39" i="5"/>
  <c r="AC10" i="2"/>
  <c r="AC10" i="13"/>
  <c r="AE74" i="5"/>
  <c r="AC10" i="9"/>
  <c r="AF4" i="5"/>
  <c r="AC10" i="10"/>
  <c r="AD10" i="12" l="1"/>
  <c r="AF10" i="12" s="1"/>
  <c r="AF74" i="5"/>
  <c r="AD10" i="2"/>
  <c r="AF10" i="2" s="1"/>
  <c r="AF39" i="5"/>
  <c r="AD10" i="9"/>
  <c r="AF10" i="9" s="1"/>
  <c r="Q5" i="5"/>
  <c r="AD10" i="14"/>
  <c r="AF10" i="14" s="1"/>
  <c r="AD10" i="10"/>
  <c r="AF10" i="10" s="1"/>
  <c r="AD10" i="13"/>
  <c r="AF10" i="13" s="1"/>
  <c r="O11" i="2" l="1"/>
  <c r="O11" i="13"/>
  <c r="O11" i="14"/>
  <c r="R5" i="5"/>
  <c r="Q75" i="5"/>
  <c r="O11" i="10"/>
  <c r="O11" i="9"/>
  <c r="O11" i="12"/>
  <c r="Q40" i="5"/>
  <c r="P11" i="10" l="1"/>
  <c r="R40" i="5"/>
  <c r="S5" i="5"/>
  <c r="P11" i="9"/>
  <c r="P11" i="2"/>
  <c r="P11" i="13"/>
  <c r="P11" i="14"/>
  <c r="R75" i="5"/>
  <c r="P11" i="12"/>
  <c r="T5" i="5" l="1"/>
  <c r="Q11" i="12"/>
  <c r="Q11" i="10"/>
  <c r="S40" i="5"/>
  <c r="Q11" i="13"/>
  <c r="S75" i="5"/>
  <c r="Q11" i="2"/>
  <c r="Q11" i="9"/>
  <c r="Q11" i="14"/>
  <c r="U5" i="5" l="1"/>
  <c r="T40" i="5"/>
  <c r="R11" i="9"/>
  <c r="R11" i="10"/>
  <c r="R11" i="12"/>
  <c r="R11" i="14"/>
  <c r="R11" i="13"/>
  <c r="R11" i="2"/>
  <c r="T75" i="5"/>
  <c r="S11" i="9" l="1"/>
  <c r="U75" i="5"/>
  <c r="S11" i="14"/>
  <c r="U40" i="5"/>
  <c r="S11" i="13"/>
  <c r="V5" i="5"/>
  <c r="S11" i="10"/>
  <c r="S11" i="12"/>
  <c r="S11" i="2"/>
  <c r="T11" i="13" l="1"/>
  <c r="W5" i="5"/>
  <c r="T11" i="9"/>
  <c r="T11" i="2"/>
  <c r="T11" i="14"/>
  <c r="T11" i="10"/>
  <c r="V40" i="5"/>
  <c r="T11" i="12"/>
  <c r="V75" i="5"/>
  <c r="U11" i="10" l="1"/>
  <c r="W75" i="5"/>
  <c r="U11" i="12"/>
  <c r="U11" i="2"/>
  <c r="X5" i="5"/>
  <c r="U11" i="14"/>
  <c r="U11" i="13"/>
  <c r="W40" i="5"/>
  <c r="U11" i="9"/>
  <c r="V11" i="12" l="1"/>
  <c r="X40" i="5"/>
  <c r="V11" i="14"/>
  <c r="Y5" i="5"/>
  <c r="X75" i="5"/>
  <c r="V11" i="13"/>
  <c r="V11" i="9"/>
  <c r="V11" i="10"/>
  <c r="V11" i="2"/>
  <c r="Y75" i="5" l="1"/>
  <c r="W11" i="10"/>
  <c r="W11" i="13"/>
  <c r="W11" i="14"/>
  <c r="Z5" i="5"/>
  <c r="W11" i="2"/>
  <c r="W11" i="12"/>
  <c r="W11" i="9"/>
  <c r="Y40" i="5"/>
  <c r="X11" i="13" l="1"/>
  <c r="X11" i="10"/>
  <c r="AA5" i="5"/>
  <c r="X11" i="14"/>
  <c r="Z40" i="5"/>
  <c r="Z75" i="5"/>
  <c r="X11" i="12"/>
  <c r="X11" i="9"/>
  <c r="X11" i="2"/>
  <c r="AA40" i="5" l="1"/>
  <c r="Y11" i="13"/>
  <c r="Y11" i="9"/>
  <c r="AB5" i="5"/>
  <c r="Y11" i="12"/>
  <c r="Y11" i="2"/>
  <c r="Y11" i="10"/>
  <c r="Y11" i="14"/>
  <c r="AA75" i="5"/>
  <c r="AC5" i="5" l="1"/>
  <c r="Z11" i="9"/>
  <c r="Z11" i="14"/>
  <c r="Z11" i="10"/>
  <c r="Z11" i="13"/>
  <c r="AB40" i="5"/>
  <c r="AB75" i="5"/>
  <c r="Z11" i="12"/>
  <c r="Z11" i="2"/>
  <c r="AA11" i="14" l="1"/>
  <c r="AA11" i="2"/>
  <c r="AC75" i="5"/>
  <c r="AC40" i="5"/>
  <c r="AA11" i="10"/>
  <c r="AA11" i="9"/>
  <c r="AA11" i="13"/>
  <c r="AD5" i="5"/>
  <c r="AA11" i="12"/>
  <c r="AE5" i="5" l="1"/>
  <c r="AD40" i="5"/>
  <c r="AD75" i="5"/>
  <c r="AB11" i="14"/>
  <c r="AB11" i="2"/>
  <c r="AB11" i="12"/>
  <c r="AB11" i="10"/>
  <c r="AB11" i="9"/>
  <c r="AB11" i="13"/>
  <c r="AE40" i="5" l="1"/>
  <c r="AF5" i="5"/>
  <c r="AE75" i="5"/>
  <c r="AC11" i="10"/>
  <c r="AC11" i="12"/>
  <c r="AC11" i="13"/>
  <c r="AC11" i="14"/>
  <c r="AC11" i="2"/>
  <c r="AC11" i="9"/>
  <c r="Q6" i="5" l="1"/>
  <c r="AF40" i="5"/>
  <c r="AF75" i="5"/>
  <c r="AD11" i="2"/>
  <c r="AF11" i="2" s="1"/>
  <c r="AD11" i="12"/>
  <c r="AF11" i="12" s="1"/>
  <c r="AD11" i="13"/>
  <c r="AF11" i="13" s="1"/>
  <c r="AD11" i="10"/>
  <c r="AF11" i="10" s="1"/>
  <c r="AD11" i="9"/>
  <c r="AF11" i="9" s="1"/>
  <c r="AD11" i="14"/>
  <c r="AF11" i="14" s="1"/>
  <c r="R6" i="5" l="1"/>
  <c r="Q41" i="5"/>
  <c r="Q76" i="5"/>
  <c r="O12" i="2"/>
  <c r="O12" i="9"/>
  <c r="O12" i="10"/>
  <c r="O12" i="14"/>
  <c r="O12" i="12"/>
  <c r="O12" i="13"/>
  <c r="R76" i="5" l="1"/>
  <c r="R41" i="5"/>
  <c r="S6" i="5"/>
  <c r="P12" i="14"/>
  <c r="P12" i="9"/>
  <c r="P12" i="13"/>
  <c r="P12" i="10"/>
  <c r="P12" i="2"/>
  <c r="P12" i="12"/>
  <c r="S41" i="5" l="1"/>
  <c r="T6" i="5"/>
  <c r="S76" i="5"/>
  <c r="Q12" i="2"/>
  <c r="Q12" i="12"/>
  <c r="Q12" i="10"/>
  <c r="Q12" i="13"/>
  <c r="Q12" i="14"/>
  <c r="Q12" i="9"/>
  <c r="T41" i="5" l="1"/>
  <c r="U6" i="5"/>
  <c r="T76" i="5"/>
  <c r="R12" i="13"/>
  <c r="R12" i="10"/>
  <c r="R12" i="12"/>
  <c r="R12" i="2"/>
  <c r="R12" i="14"/>
  <c r="R12" i="9"/>
  <c r="U76" i="5" l="1"/>
  <c r="U41" i="5"/>
  <c r="V6" i="5"/>
  <c r="S12" i="9"/>
  <c r="S12" i="10"/>
  <c r="S12" i="12"/>
  <c r="S12" i="13"/>
  <c r="S12" i="2"/>
  <c r="S12" i="14"/>
  <c r="W6" i="5" l="1"/>
  <c r="V76" i="5"/>
  <c r="V41" i="5"/>
  <c r="T12" i="10"/>
  <c r="T12" i="13"/>
  <c r="T12" i="9"/>
  <c r="T12" i="14"/>
  <c r="T12" i="2"/>
  <c r="T12" i="12"/>
  <c r="W41" i="5" l="1"/>
  <c r="W76" i="5"/>
  <c r="X6" i="5"/>
  <c r="U12" i="9"/>
  <c r="U12" i="10"/>
  <c r="U12" i="2"/>
  <c r="U12" i="13"/>
  <c r="U12" i="12"/>
  <c r="U12" i="14"/>
  <c r="Y6" i="5" l="1"/>
  <c r="X41" i="5"/>
  <c r="V12" i="2"/>
  <c r="X76" i="5"/>
  <c r="V12" i="13"/>
  <c r="V12" i="12"/>
  <c r="V12" i="9"/>
  <c r="V12" i="10"/>
  <c r="V12" i="14"/>
  <c r="W12" i="10" l="1"/>
  <c r="Y41" i="5"/>
  <c r="W12" i="14"/>
  <c r="W12" i="12"/>
  <c r="W12" i="2"/>
  <c r="W12" i="9"/>
  <c r="W12" i="13"/>
  <c r="Z6" i="5"/>
  <c r="Y76" i="5"/>
  <c r="X12" i="13" l="1"/>
  <c r="Z41" i="5"/>
  <c r="X12" i="10"/>
  <c r="X12" i="9"/>
  <c r="AA6" i="5"/>
  <c r="X12" i="12"/>
  <c r="X12" i="2"/>
  <c r="X12" i="14"/>
  <c r="Z76" i="5"/>
  <c r="Y12" i="9" l="1"/>
  <c r="AA41" i="5"/>
  <c r="Y12" i="14"/>
  <c r="Y12" i="13"/>
  <c r="Y12" i="2"/>
  <c r="Y12" i="10"/>
  <c r="AA76" i="5"/>
  <c r="Y12" i="12"/>
  <c r="AB6" i="5"/>
  <c r="Z12" i="10" l="1"/>
  <c r="Z12" i="2"/>
  <c r="AC6" i="5"/>
  <c r="Z12" i="9"/>
  <c r="AB41" i="5"/>
  <c r="Z12" i="14"/>
  <c r="AB76" i="5"/>
  <c r="Z12" i="12"/>
  <c r="Z12" i="13"/>
  <c r="AA12" i="9" l="1"/>
  <c r="AA12" i="13"/>
  <c r="AD6" i="5"/>
  <c r="AC76" i="5"/>
  <c r="AA12" i="12"/>
  <c r="AA12" i="14"/>
  <c r="AA12" i="2"/>
  <c r="AA12" i="10"/>
  <c r="AC41" i="5"/>
  <c r="AB12" i="2" l="1"/>
  <c r="AE6" i="5"/>
  <c r="AB12" i="10"/>
  <c r="AD76" i="5"/>
  <c r="AB12" i="14"/>
  <c r="AB12" i="12"/>
  <c r="AB12" i="9"/>
  <c r="AD41" i="5"/>
  <c r="AB12" i="13"/>
  <c r="AC12" i="13" l="1"/>
  <c r="AC12" i="14"/>
  <c r="AC12" i="9"/>
  <c r="AC12" i="12"/>
  <c r="AE76" i="5"/>
  <c r="AF6" i="5"/>
  <c r="AE41" i="5"/>
  <c r="AC12" i="2"/>
  <c r="AC12" i="10"/>
  <c r="Q7" i="5" l="1"/>
  <c r="AD12" i="12"/>
  <c r="AF12" i="12" s="1"/>
  <c r="AF41" i="5"/>
  <c r="AF76" i="5"/>
  <c r="AD12" i="2"/>
  <c r="AF12" i="2" s="1"/>
  <c r="AD12" i="13"/>
  <c r="AF12" i="13" s="1"/>
  <c r="AD12" i="9"/>
  <c r="AF12" i="9" s="1"/>
  <c r="AD12" i="10"/>
  <c r="AF12" i="10" s="1"/>
  <c r="AD12" i="14"/>
  <c r="AF12" i="14" s="1"/>
  <c r="O13" i="10" l="1"/>
  <c r="Q42" i="5"/>
  <c r="O13" i="14"/>
  <c r="O13" i="13"/>
  <c r="O13" i="9"/>
  <c r="O13" i="12"/>
  <c r="O13" i="2"/>
  <c r="Q77" i="5"/>
  <c r="R7" i="5"/>
  <c r="P13" i="14" l="1"/>
  <c r="P13" i="12"/>
  <c r="S7" i="5"/>
  <c r="P13" i="9"/>
  <c r="R77" i="5"/>
  <c r="P13" i="2"/>
  <c r="P13" i="13"/>
  <c r="P13" i="10"/>
  <c r="R42" i="5"/>
  <c r="Q13" i="14" l="1"/>
  <c r="T7" i="5"/>
  <c r="Q13" i="9"/>
  <c r="S42" i="5"/>
  <c r="S77" i="5"/>
  <c r="Q13" i="12"/>
  <c r="Q13" i="13"/>
  <c r="Q13" i="2"/>
  <c r="Q13" i="10"/>
  <c r="R13" i="10" l="1"/>
  <c r="U7" i="5"/>
  <c r="R13" i="9"/>
  <c r="R13" i="12"/>
  <c r="R13" i="2"/>
  <c r="R13" i="14"/>
  <c r="R13" i="13"/>
  <c r="T42" i="5"/>
  <c r="T77" i="5"/>
  <c r="S13" i="13" l="1"/>
  <c r="U77" i="5"/>
  <c r="S13" i="2"/>
  <c r="S13" i="14"/>
  <c r="S13" i="10"/>
  <c r="S13" i="12"/>
  <c r="S13" i="9"/>
  <c r="V7" i="5"/>
  <c r="U42" i="5"/>
  <c r="T13" i="2" l="1"/>
  <c r="W7" i="5"/>
  <c r="V77" i="5"/>
  <c r="V42" i="5"/>
  <c r="T13" i="10"/>
  <c r="T13" i="12"/>
  <c r="T13" i="9"/>
  <c r="T13" i="14"/>
  <c r="T13" i="13"/>
  <c r="U13" i="9" l="1"/>
  <c r="X7" i="5"/>
  <c r="W42" i="5"/>
  <c r="W77" i="5"/>
  <c r="U13" i="12"/>
  <c r="U13" i="14"/>
  <c r="U13" i="13"/>
  <c r="U13" i="10"/>
  <c r="U13" i="2"/>
  <c r="Y7" i="5" l="1"/>
  <c r="V13" i="13"/>
  <c r="V13" i="2"/>
  <c r="X77" i="5"/>
  <c r="V13" i="10"/>
  <c r="V13" i="9"/>
  <c r="X42" i="5"/>
  <c r="V13" i="14"/>
  <c r="V13" i="12"/>
  <c r="W13" i="14" l="1"/>
  <c r="Y77" i="5"/>
  <c r="W13" i="13"/>
  <c r="Z7" i="5"/>
  <c r="W13" i="10"/>
  <c r="W13" i="2"/>
  <c r="Y42" i="5"/>
  <c r="W13" i="9"/>
  <c r="W13" i="12"/>
  <c r="X13" i="14" l="1"/>
  <c r="X13" i="2"/>
  <c r="Z77" i="5"/>
  <c r="AA7" i="5"/>
  <c r="X13" i="10"/>
  <c r="X13" i="12"/>
  <c r="X13" i="9"/>
  <c r="X13" i="13"/>
  <c r="Z42" i="5"/>
  <c r="Y13" i="14" l="1"/>
  <c r="Y13" i="9"/>
  <c r="AA42" i="5"/>
  <c r="AB7" i="5"/>
  <c r="AA77" i="5"/>
  <c r="Y13" i="12"/>
  <c r="Y13" i="13"/>
  <c r="Y13" i="10"/>
  <c r="Y13" i="2"/>
  <c r="AB77" i="5" l="1"/>
  <c r="Z13" i="10"/>
  <c r="Z13" i="9"/>
  <c r="AB42" i="5"/>
  <c r="Z13" i="12"/>
  <c r="Z13" i="14"/>
  <c r="Z13" i="2"/>
  <c r="AC7" i="5"/>
  <c r="Z13" i="13"/>
  <c r="AA13" i="13" l="1"/>
  <c r="AA13" i="9"/>
  <c r="AA13" i="2"/>
  <c r="AA13" i="12"/>
  <c r="AA13" i="10"/>
  <c r="AD7" i="5"/>
  <c r="AC42" i="5"/>
  <c r="AC77" i="5"/>
  <c r="AA13" i="14"/>
  <c r="AB13" i="2" l="1"/>
  <c r="AD77" i="5"/>
  <c r="AB13" i="10"/>
  <c r="AE7" i="5"/>
  <c r="AB13" i="14"/>
  <c r="AB13" i="13"/>
  <c r="AB13" i="12"/>
  <c r="AB13" i="9"/>
  <c r="AD42" i="5"/>
  <c r="AC13" i="2" l="1"/>
  <c r="AE42" i="5"/>
  <c r="AE77" i="5"/>
  <c r="AF7" i="5"/>
  <c r="AC13" i="12"/>
  <c r="AC13" i="14"/>
  <c r="AC13" i="13"/>
  <c r="AC13" i="9"/>
  <c r="AC13" i="10"/>
  <c r="Q8" i="5" l="1"/>
  <c r="AD13" i="14"/>
  <c r="AF13" i="14" s="1"/>
  <c r="AF77" i="5"/>
  <c r="AD13" i="13"/>
  <c r="AF13" i="13" s="1"/>
  <c r="AD13" i="2"/>
  <c r="AF13" i="2" s="1"/>
  <c r="AF42" i="5"/>
  <c r="AD13" i="12"/>
  <c r="AF13" i="12" s="1"/>
  <c r="AD13" i="9"/>
  <c r="AF13" i="9" s="1"/>
  <c r="AD13" i="10"/>
  <c r="AF13" i="10" s="1"/>
  <c r="O14" i="12" l="1"/>
  <c r="O14" i="2"/>
  <c r="O14" i="14"/>
  <c r="O14" i="10"/>
  <c r="R8" i="5"/>
  <c r="Q78" i="5"/>
  <c r="Q43" i="5"/>
  <c r="O14" i="9"/>
  <c r="O14" i="13"/>
  <c r="R78" i="5" l="1"/>
  <c r="P14" i="2"/>
  <c r="P14" i="10"/>
  <c r="S8" i="5"/>
  <c r="P14" i="9"/>
  <c r="P14" i="14"/>
  <c r="P14" i="12"/>
  <c r="P14" i="13"/>
  <c r="R43" i="5"/>
  <c r="Q14" i="14" l="1"/>
  <c r="S43" i="5"/>
  <c r="S78" i="5"/>
  <c r="Q14" i="2"/>
  <c r="Q14" i="12"/>
  <c r="Q14" i="13"/>
  <c r="Q14" i="10"/>
  <c r="Q14" i="9"/>
  <c r="T8" i="5"/>
  <c r="R14" i="10" l="1"/>
  <c r="T78" i="5"/>
  <c r="R14" i="12"/>
  <c r="R14" i="14"/>
  <c r="R14" i="13"/>
  <c r="T43" i="5"/>
  <c r="R14" i="2"/>
  <c r="U8" i="5"/>
  <c r="R14" i="9"/>
  <c r="S14" i="14" l="1"/>
  <c r="U78" i="5"/>
  <c r="S14" i="9"/>
  <c r="S14" i="10"/>
  <c r="V8" i="5"/>
  <c r="S14" i="2"/>
  <c r="S14" i="12"/>
  <c r="U43" i="5"/>
  <c r="S14" i="13"/>
  <c r="V78" i="5" l="1"/>
  <c r="T14" i="10"/>
  <c r="T14" i="14"/>
  <c r="W8" i="5"/>
  <c r="T14" i="2"/>
  <c r="T14" i="13"/>
  <c r="T14" i="9"/>
  <c r="T14" i="12"/>
  <c r="V43" i="5"/>
  <c r="U14" i="9" l="1"/>
  <c r="W78" i="5"/>
  <c r="U14" i="12"/>
  <c r="W43" i="5"/>
  <c r="U14" i="14"/>
  <c r="U14" i="13"/>
  <c r="U14" i="2"/>
  <c r="U14" i="10"/>
  <c r="X8" i="5"/>
  <c r="Y8" i="5" l="1"/>
  <c r="V14" i="14"/>
  <c r="V14" i="12"/>
  <c r="V14" i="10"/>
  <c r="X43" i="5"/>
  <c r="V14" i="13"/>
  <c r="X78" i="5"/>
  <c r="V14" i="2"/>
  <c r="V14" i="9"/>
  <c r="W14" i="12" l="1"/>
  <c r="W14" i="14"/>
  <c r="W14" i="9"/>
  <c r="Z8" i="5"/>
  <c r="Y78" i="5"/>
  <c r="W14" i="2"/>
  <c r="W14" i="13"/>
  <c r="Y43" i="5"/>
  <c r="W14" i="10"/>
  <c r="X14" i="2" l="1"/>
  <c r="X14" i="14"/>
  <c r="X14" i="12"/>
  <c r="AA8" i="5"/>
  <c r="Z78" i="5"/>
  <c r="Z43" i="5"/>
  <c r="X14" i="9"/>
  <c r="X14" i="10"/>
  <c r="X14" i="13"/>
  <c r="Y14" i="10" l="1"/>
  <c r="Y14" i="14"/>
  <c r="AA78" i="5"/>
  <c r="Y14" i="12"/>
  <c r="Y14" i="13"/>
  <c r="AA43" i="5"/>
  <c r="Y14" i="9"/>
  <c r="AB8" i="5"/>
  <c r="Y14" i="2"/>
  <c r="Z14" i="12" l="1"/>
  <c r="Z14" i="13"/>
  <c r="AB78" i="5"/>
  <c r="Z14" i="9"/>
  <c r="AB43" i="5"/>
  <c r="AC8" i="5"/>
  <c r="Z14" i="14"/>
  <c r="Z14" i="2"/>
  <c r="Z14" i="10"/>
  <c r="AA14" i="10" l="1"/>
  <c r="AC43" i="5"/>
  <c r="AA14" i="12"/>
  <c r="AC78" i="5"/>
  <c r="AA14" i="14"/>
  <c r="AA14" i="13"/>
  <c r="AD8" i="5"/>
  <c r="AA14" i="2"/>
  <c r="AA14" i="9"/>
  <c r="AB14" i="12" l="1"/>
  <c r="AB14" i="9"/>
  <c r="AB14" i="2"/>
  <c r="AE8" i="5"/>
  <c r="AD78" i="5"/>
  <c r="AB14" i="10"/>
  <c r="AB14" i="14"/>
  <c r="AD43" i="5"/>
  <c r="AB14" i="13"/>
  <c r="AC14" i="9" l="1"/>
  <c r="AE43" i="5"/>
  <c r="AE78" i="5"/>
  <c r="AC14" i="2"/>
  <c r="AC14" i="12"/>
  <c r="AC14" i="14"/>
  <c r="AC14" i="13"/>
  <c r="AF8" i="5"/>
  <c r="AC14" i="10"/>
  <c r="Q9" i="5" l="1"/>
  <c r="AD14" i="13"/>
  <c r="AF14" i="13" s="1"/>
  <c r="AF43" i="5"/>
  <c r="AD14" i="12"/>
  <c r="AF14" i="12" s="1"/>
  <c r="AD14" i="14"/>
  <c r="AF14" i="14" s="1"/>
  <c r="AD14" i="2"/>
  <c r="AF14" i="2" s="1"/>
  <c r="AF78" i="5"/>
  <c r="AD14" i="9"/>
  <c r="AF14" i="9" s="1"/>
  <c r="AD14" i="10"/>
  <c r="AF14" i="10" s="1"/>
  <c r="O15" i="9" l="1"/>
  <c r="O15" i="10"/>
  <c r="O15" i="14"/>
  <c r="R9" i="5"/>
  <c r="Q79" i="5"/>
  <c r="O15" i="2"/>
  <c r="Q44" i="5"/>
  <c r="O15" i="12"/>
  <c r="O15" i="13"/>
  <c r="P15" i="13" l="1"/>
  <c r="P15" i="12"/>
  <c r="P15" i="9"/>
  <c r="R79" i="5"/>
  <c r="R44" i="5"/>
  <c r="P15" i="14"/>
  <c r="P15" i="10"/>
  <c r="P15" i="2"/>
  <c r="S9" i="5"/>
  <c r="S79" i="5" l="1"/>
  <c r="Q15" i="10"/>
  <c r="Q15" i="9"/>
  <c r="Q15" i="14"/>
  <c r="S44" i="5"/>
  <c r="Q15" i="13"/>
  <c r="Q15" i="2"/>
  <c r="T9" i="5"/>
  <c r="Q15" i="12"/>
  <c r="R15" i="13" l="1"/>
  <c r="R15" i="2"/>
  <c r="T79" i="5"/>
  <c r="R15" i="10"/>
  <c r="U9" i="5"/>
  <c r="R15" i="9"/>
  <c r="R15" i="14"/>
  <c r="R15" i="12"/>
  <c r="T44" i="5"/>
  <c r="S15" i="12" l="1"/>
  <c r="S15" i="14"/>
  <c r="U44" i="5"/>
  <c r="V9" i="5"/>
  <c r="U79" i="5"/>
  <c r="S15" i="13"/>
  <c r="S15" i="10"/>
  <c r="S15" i="9"/>
  <c r="S15" i="2"/>
  <c r="T15" i="12" l="1"/>
  <c r="T15" i="13"/>
  <c r="V79" i="5"/>
  <c r="T15" i="2"/>
  <c r="T15" i="10"/>
  <c r="T15" i="9"/>
  <c r="V44" i="5"/>
  <c r="T15" i="14"/>
  <c r="W9" i="5"/>
  <c r="U15" i="2" l="1"/>
  <c r="U15" i="12"/>
  <c r="W79" i="5"/>
  <c r="W44" i="5"/>
  <c r="U15" i="13"/>
  <c r="U15" i="14"/>
  <c r="U15" i="10"/>
  <c r="X9" i="5"/>
  <c r="U15" i="9"/>
  <c r="Y9" i="5" l="1"/>
  <c r="V15" i="10"/>
  <c r="V15" i="14"/>
  <c r="V15" i="12"/>
  <c r="V15" i="9"/>
  <c r="V15" i="2"/>
  <c r="X44" i="5"/>
  <c r="X79" i="5"/>
  <c r="V15" i="13"/>
  <c r="W15" i="9" l="1"/>
  <c r="W15" i="10"/>
  <c r="W15" i="12"/>
  <c r="Z9" i="5"/>
  <c r="Y79" i="5"/>
  <c r="W15" i="2"/>
  <c r="Y44" i="5"/>
  <c r="W15" i="14"/>
  <c r="W15" i="13"/>
  <c r="X15" i="10" l="1"/>
  <c r="Z79" i="5"/>
  <c r="Z44" i="5"/>
  <c r="X15" i="14"/>
  <c r="X15" i="9"/>
  <c r="X15" i="13"/>
  <c r="X15" i="12"/>
  <c r="AA9" i="5"/>
  <c r="X15" i="2"/>
  <c r="AA44" i="5" l="1"/>
  <c r="Y15" i="9"/>
  <c r="Y15" i="14"/>
  <c r="Y15" i="10"/>
  <c r="Y15" i="13"/>
  <c r="AA79" i="5"/>
  <c r="Y15" i="2"/>
  <c r="AB9" i="5"/>
  <c r="Y15" i="12"/>
  <c r="Z15" i="12" l="1"/>
  <c r="Z15" i="9"/>
  <c r="AB44" i="5"/>
  <c r="AB79" i="5"/>
  <c r="Z15" i="2"/>
  <c r="AC9" i="5"/>
  <c r="Z15" i="13"/>
  <c r="Z15" i="10"/>
  <c r="Z15" i="14"/>
  <c r="AA15" i="14" l="1"/>
  <c r="AC44" i="5"/>
  <c r="AA15" i="9"/>
  <c r="AA15" i="2"/>
  <c r="AD9" i="5"/>
  <c r="AA15" i="10"/>
  <c r="AC79" i="5"/>
  <c r="AA15" i="12"/>
  <c r="AA15" i="13"/>
  <c r="AB15" i="14" l="1"/>
  <c r="AB15" i="2"/>
  <c r="AE9" i="5"/>
  <c r="AB15" i="9"/>
  <c r="AB15" i="10"/>
  <c r="AB15" i="12"/>
  <c r="AD44" i="5"/>
  <c r="AD79" i="5"/>
  <c r="AB15" i="13"/>
  <c r="AC15" i="14" l="1"/>
  <c r="AC15" i="12"/>
  <c r="AC15" i="13"/>
  <c r="AF9" i="5"/>
  <c r="AC15" i="2"/>
  <c r="AC15" i="9"/>
  <c r="AE79" i="5"/>
  <c r="AE44" i="5"/>
  <c r="AC15" i="10"/>
  <c r="W11" i="5" l="1"/>
  <c r="AD15" i="9"/>
  <c r="AF15" i="9" s="1"/>
  <c r="AE22" i="5"/>
  <c r="AF32" i="5"/>
  <c r="T27" i="5"/>
  <c r="Q10" i="5"/>
  <c r="AA28" i="5"/>
  <c r="V24" i="5"/>
  <c r="AD15" i="14"/>
  <c r="AF15" i="14" s="1"/>
  <c r="X21" i="5"/>
  <c r="R30" i="5"/>
  <c r="AD15" i="10"/>
  <c r="AF15" i="10" s="1"/>
  <c r="Q20" i="5"/>
  <c r="U14" i="5"/>
  <c r="AB15" i="5"/>
  <c r="AF79" i="5"/>
  <c r="W34" i="5"/>
  <c r="S17" i="5"/>
  <c r="AD12" i="5"/>
  <c r="AD15" i="13"/>
  <c r="AF15" i="13" s="1"/>
  <c r="Y31" i="5"/>
  <c r="Z18" i="5"/>
  <c r="AD15" i="12"/>
  <c r="AF15" i="12" s="1"/>
  <c r="AC25" i="5"/>
  <c r="AD15" i="2"/>
  <c r="AF15" i="2" s="1"/>
  <c r="AF44" i="5"/>
  <c r="U17" i="13" l="1"/>
  <c r="U17" i="10"/>
  <c r="U17" i="2"/>
  <c r="W81" i="5"/>
  <c r="W46" i="5"/>
  <c r="U17" i="9"/>
  <c r="X11" i="5"/>
  <c r="U17" i="12"/>
  <c r="V59" i="5"/>
  <c r="T30" i="14"/>
  <c r="W24" i="5"/>
  <c r="V94" i="5"/>
  <c r="T30" i="10"/>
  <c r="T30" i="13"/>
  <c r="T30" i="2"/>
  <c r="T30" i="9"/>
  <c r="T30" i="12"/>
  <c r="S52" i="5"/>
  <c r="Q23" i="14"/>
  <c r="Q23" i="12"/>
  <c r="T17" i="5"/>
  <c r="S87" i="5"/>
  <c r="Q23" i="2"/>
  <c r="Q23" i="9"/>
  <c r="Q23" i="10"/>
  <c r="Q23" i="13"/>
  <c r="V27" i="12"/>
  <c r="V27" i="14"/>
  <c r="V27" i="10"/>
  <c r="X91" i="5"/>
  <c r="V27" i="2"/>
  <c r="X56" i="5"/>
  <c r="Y21" i="5"/>
  <c r="V27" i="9"/>
  <c r="V27" i="13"/>
  <c r="U49" i="5"/>
  <c r="U84" i="5"/>
  <c r="S20" i="2"/>
  <c r="S20" i="12"/>
  <c r="S20" i="14"/>
  <c r="S20" i="13"/>
  <c r="V14" i="5"/>
  <c r="S20" i="10"/>
  <c r="S20" i="9"/>
  <c r="Q45" i="5"/>
  <c r="R10" i="5"/>
  <c r="Q80" i="5"/>
  <c r="O16" i="2"/>
  <c r="O16" i="10"/>
  <c r="O16" i="13"/>
  <c r="O16" i="9"/>
  <c r="O16" i="14"/>
  <c r="O16" i="12"/>
  <c r="X34" i="5"/>
  <c r="U40" i="2"/>
  <c r="U40" i="13"/>
  <c r="U40" i="10"/>
  <c r="U40" i="14"/>
  <c r="W104" i="5"/>
  <c r="U40" i="12"/>
  <c r="W69" i="5"/>
  <c r="U40" i="9"/>
  <c r="AA31" i="10"/>
  <c r="AA31" i="9"/>
  <c r="AA31" i="12"/>
  <c r="AC60" i="5"/>
  <c r="AD25" i="5"/>
  <c r="AA31" i="14"/>
  <c r="AA31" i="2"/>
  <c r="AC95" i="5"/>
  <c r="AA31" i="13"/>
  <c r="AB50" i="5"/>
  <c r="AC15" i="5"/>
  <c r="Z21" i="9"/>
  <c r="Z21" i="12"/>
  <c r="Z21" i="2"/>
  <c r="Z21" i="13"/>
  <c r="AB85" i="5"/>
  <c r="Z21" i="10"/>
  <c r="Z21" i="14"/>
  <c r="Y34" i="12"/>
  <c r="Y34" i="10"/>
  <c r="Y34" i="14"/>
  <c r="Y34" i="2"/>
  <c r="AA63" i="5"/>
  <c r="AB28" i="5"/>
  <c r="Y34" i="9"/>
  <c r="AA98" i="5"/>
  <c r="Y34" i="13"/>
  <c r="Z53" i="5"/>
  <c r="X24" i="14"/>
  <c r="X24" i="2"/>
  <c r="X24" i="13"/>
  <c r="Z88" i="5"/>
  <c r="AA18" i="5"/>
  <c r="X24" i="10"/>
  <c r="X24" i="9"/>
  <c r="X24" i="12"/>
  <c r="W37" i="10"/>
  <c r="W37" i="9"/>
  <c r="Y101" i="5"/>
  <c r="Z31" i="5"/>
  <c r="W37" i="14"/>
  <c r="W37" i="13"/>
  <c r="W37" i="12"/>
  <c r="Y66" i="5"/>
  <c r="W37" i="2"/>
  <c r="O26" i="9"/>
  <c r="Q90" i="5"/>
  <c r="O26" i="12"/>
  <c r="O26" i="14"/>
  <c r="R20" i="5"/>
  <c r="O26" i="10"/>
  <c r="O26" i="2"/>
  <c r="O26" i="13"/>
  <c r="Q55" i="5"/>
  <c r="T97" i="5"/>
  <c r="R33" i="2"/>
  <c r="R33" i="13"/>
  <c r="R33" i="9"/>
  <c r="R33" i="12"/>
  <c r="R33" i="14"/>
  <c r="R33" i="10"/>
  <c r="T62" i="5"/>
  <c r="U27" i="5"/>
  <c r="Q33" i="5"/>
  <c r="AF67" i="5"/>
  <c r="AD38" i="13"/>
  <c r="AD38" i="2"/>
  <c r="AD38" i="10"/>
  <c r="AD38" i="9"/>
  <c r="AF102" i="5"/>
  <c r="AD38" i="12"/>
  <c r="AD38" i="14"/>
  <c r="AB18" i="12"/>
  <c r="AB18" i="10"/>
  <c r="AB18" i="2"/>
  <c r="AD47" i="5"/>
  <c r="AB18" i="9"/>
  <c r="AE12" i="5"/>
  <c r="AB18" i="13"/>
  <c r="AD82" i="5"/>
  <c r="P36" i="13"/>
  <c r="P36" i="2"/>
  <c r="P36" i="14"/>
  <c r="S30" i="5"/>
  <c r="P36" i="10"/>
  <c r="P36" i="9"/>
  <c r="R100" i="5"/>
  <c r="R65" i="5"/>
  <c r="P36" i="12"/>
  <c r="AE57" i="5"/>
  <c r="AC28" i="14"/>
  <c r="AC28" i="10"/>
  <c r="AE92" i="5"/>
  <c r="AC28" i="9"/>
  <c r="AC28" i="13"/>
  <c r="AC28" i="2"/>
  <c r="AF22" i="5"/>
  <c r="AC28" i="12"/>
  <c r="AA88" i="5" l="1"/>
  <c r="AA53" i="5"/>
  <c r="AB18" i="5"/>
  <c r="Y24" i="2"/>
  <c r="Y24" i="10"/>
  <c r="Y24" i="14"/>
  <c r="Y24" i="13"/>
  <c r="Y24" i="12"/>
  <c r="Y24" i="9"/>
  <c r="Y11" i="5"/>
  <c r="X46" i="5"/>
  <c r="X81" i="5"/>
  <c r="V17" i="2"/>
  <c r="V17" i="10"/>
  <c r="V17" i="13"/>
  <c r="V17" i="9"/>
  <c r="V17" i="12"/>
  <c r="Q103" i="5"/>
  <c r="Q68" i="5"/>
  <c r="O39" i="10"/>
  <c r="O39" i="2"/>
  <c r="O39" i="9"/>
  <c r="O39" i="13"/>
  <c r="O39" i="12"/>
  <c r="O39" i="14"/>
  <c r="Z101" i="5"/>
  <c r="AA31" i="5"/>
  <c r="Z66" i="5"/>
  <c r="X37" i="2"/>
  <c r="X37" i="10"/>
  <c r="X37" i="12"/>
  <c r="X37" i="9"/>
  <c r="X37" i="13"/>
  <c r="X37" i="14"/>
  <c r="AB98" i="5"/>
  <c r="AB63" i="5"/>
  <c r="AC28" i="5"/>
  <c r="Z34" i="2"/>
  <c r="Z34" i="10"/>
  <c r="Z34" i="9"/>
  <c r="Z34" i="12"/>
  <c r="Z34" i="13"/>
  <c r="Z34" i="14"/>
  <c r="X69" i="5"/>
  <c r="X104" i="5"/>
  <c r="Y34" i="5"/>
  <c r="V40" i="2"/>
  <c r="V40" i="10"/>
  <c r="V40" i="13"/>
  <c r="V40" i="9"/>
  <c r="V40" i="14"/>
  <c r="V40" i="12"/>
  <c r="S10" i="5"/>
  <c r="R45" i="5"/>
  <c r="R80" i="5"/>
  <c r="P16" i="14"/>
  <c r="P16" i="2"/>
  <c r="P16" i="13"/>
  <c r="P16" i="12"/>
  <c r="P16" i="10"/>
  <c r="P16" i="9"/>
  <c r="AE82" i="5"/>
  <c r="AF12" i="5"/>
  <c r="AE47" i="5"/>
  <c r="AC18" i="10"/>
  <c r="AC18" i="2"/>
  <c r="AC18" i="9"/>
  <c r="AC18" i="12"/>
  <c r="AC18" i="13"/>
  <c r="V27" i="5"/>
  <c r="U97" i="5"/>
  <c r="U62" i="5"/>
  <c r="S33" i="2"/>
  <c r="S33" i="10"/>
  <c r="S33" i="9"/>
  <c r="S33" i="14"/>
  <c r="S33" i="13"/>
  <c r="S33" i="12"/>
  <c r="U17" i="5"/>
  <c r="T87" i="5"/>
  <c r="T52" i="5"/>
  <c r="R23" i="10"/>
  <c r="R23" i="2"/>
  <c r="R23" i="9"/>
  <c r="R23" i="14"/>
  <c r="R23" i="13"/>
  <c r="R23" i="12"/>
  <c r="T30" i="5"/>
  <c r="S100" i="5"/>
  <c r="S65" i="5"/>
  <c r="Q36" i="10"/>
  <c r="Q36" i="2"/>
  <c r="Q36" i="12"/>
  <c r="Q36" i="9"/>
  <c r="Q36" i="13"/>
  <c r="Q36" i="14"/>
  <c r="AE25" i="5"/>
  <c r="AD60" i="5"/>
  <c r="AD95" i="5"/>
  <c r="AB31" i="10"/>
  <c r="AB31" i="2"/>
  <c r="AB31" i="12"/>
  <c r="AB31" i="14"/>
  <c r="AB31" i="9"/>
  <c r="AB31" i="13"/>
  <c r="W94" i="5"/>
  <c r="X24" i="5"/>
  <c r="W59" i="5"/>
  <c r="U30" i="2"/>
  <c r="U30" i="10"/>
  <c r="U30" i="14"/>
  <c r="U30" i="12"/>
  <c r="U30" i="9"/>
  <c r="U30" i="13"/>
  <c r="W14" i="5"/>
  <c r="V49" i="5"/>
  <c r="V84" i="5"/>
  <c r="T20" i="10"/>
  <c r="T20" i="2"/>
  <c r="T20" i="14"/>
  <c r="T20" i="13"/>
  <c r="T20" i="12"/>
  <c r="T20" i="9"/>
  <c r="AC50" i="5"/>
  <c r="AD15" i="5"/>
  <c r="AC85" i="5"/>
  <c r="AA21" i="2"/>
  <c r="AA21" i="10"/>
  <c r="AA21" i="12"/>
  <c r="AA21" i="13"/>
  <c r="AA21" i="14"/>
  <c r="AA21" i="9"/>
  <c r="Y91" i="5"/>
  <c r="Z21" i="5"/>
  <c r="Y56" i="5"/>
  <c r="W27" i="2"/>
  <c r="W27" i="10"/>
  <c r="W27" i="9"/>
  <c r="W27" i="14"/>
  <c r="W27" i="13"/>
  <c r="W27" i="12"/>
  <c r="Q23" i="5"/>
  <c r="AF92" i="5"/>
  <c r="AF57" i="5"/>
  <c r="AD28" i="2"/>
  <c r="AD28" i="10"/>
  <c r="AD28" i="12"/>
  <c r="AD28" i="9"/>
  <c r="AD28" i="13"/>
  <c r="AD28" i="14"/>
  <c r="R90" i="5"/>
  <c r="S20" i="5"/>
  <c r="R55" i="5"/>
  <c r="P26" i="2"/>
  <c r="P26" i="10"/>
  <c r="P26" i="14"/>
  <c r="P26" i="13"/>
  <c r="P26" i="12"/>
  <c r="P26" i="9"/>
  <c r="W49" i="5" l="1"/>
  <c r="W84" i="5"/>
  <c r="X14" i="5"/>
  <c r="U20" i="14"/>
  <c r="U20" i="13"/>
  <c r="U20" i="10"/>
  <c r="U20" i="2"/>
  <c r="U20" i="12"/>
  <c r="U20" i="9"/>
  <c r="T10" i="5"/>
  <c r="S80" i="5"/>
  <c r="S45" i="5"/>
  <c r="Q16" i="9"/>
  <c r="Q16" i="13"/>
  <c r="Q16" i="14"/>
  <c r="Q16" i="12"/>
  <c r="Q16" i="10"/>
  <c r="Q16" i="2"/>
  <c r="AC98" i="5"/>
  <c r="AD28" i="5"/>
  <c r="AC63" i="5"/>
  <c r="AA34" i="13"/>
  <c r="AA34" i="14"/>
  <c r="AA34" i="12"/>
  <c r="AA34" i="10"/>
  <c r="AA34" i="2"/>
  <c r="AA34" i="9"/>
  <c r="T100" i="5"/>
  <c r="U30" i="5"/>
  <c r="T65" i="5"/>
  <c r="R36" i="2"/>
  <c r="R36" i="9"/>
  <c r="R36" i="14"/>
  <c r="R36" i="13"/>
  <c r="R36" i="12"/>
  <c r="R36" i="10"/>
  <c r="R23" i="5"/>
  <c r="Q93" i="5"/>
  <c r="Q58" i="5"/>
  <c r="O29" i="9"/>
  <c r="O29" i="10"/>
  <c r="O29" i="12"/>
  <c r="O29" i="13"/>
  <c r="O29" i="14"/>
  <c r="O29" i="2"/>
  <c r="AA21" i="5"/>
  <c r="Z91" i="5"/>
  <c r="Z56" i="5"/>
  <c r="X27" i="14"/>
  <c r="X27" i="13"/>
  <c r="X27" i="10"/>
  <c r="X27" i="12"/>
  <c r="X27" i="9"/>
  <c r="X27" i="2"/>
  <c r="Y24" i="5"/>
  <c r="X94" i="5"/>
  <c r="X59" i="5"/>
  <c r="V30" i="10"/>
  <c r="V30" i="12"/>
  <c r="V30" i="14"/>
  <c r="V30" i="13"/>
  <c r="V30" i="2"/>
  <c r="V30" i="9"/>
  <c r="AB31" i="5"/>
  <c r="AA101" i="5"/>
  <c r="AA66" i="5"/>
  <c r="Y37" i="2"/>
  <c r="Y37" i="14"/>
  <c r="Y37" i="9"/>
  <c r="Y37" i="12"/>
  <c r="Y37" i="10"/>
  <c r="Y37" i="13"/>
  <c r="Y104" i="5"/>
  <c r="Y69" i="5"/>
  <c r="Z34" i="5"/>
  <c r="W40" i="10"/>
  <c r="W40" i="9"/>
  <c r="W40" i="2"/>
  <c r="W40" i="14"/>
  <c r="W40" i="13"/>
  <c r="W40" i="12"/>
  <c r="U52" i="5"/>
  <c r="U87" i="5"/>
  <c r="V17" i="5"/>
  <c r="S23" i="13"/>
  <c r="S23" i="14"/>
  <c r="S23" i="9"/>
  <c r="S23" i="2"/>
  <c r="S23" i="10"/>
  <c r="S23" i="12"/>
  <c r="AD50" i="5"/>
  <c r="AD85" i="5"/>
  <c r="AE15" i="5"/>
  <c r="AB21" i="2"/>
  <c r="AB21" i="12"/>
  <c r="AB21" i="14"/>
  <c r="AB21" i="9"/>
  <c r="AB21" i="13"/>
  <c r="AB21" i="10"/>
  <c r="R33" i="5"/>
  <c r="Q13" i="5"/>
  <c r="AF47" i="5"/>
  <c r="AF82" i="5"/>
  <c r="AD18" i="2"/>
  <c r="AD18" i="14"/>
  <c r="AD18" i="13"/>
  <c r="AD18" i="10"/>
  <c r="AD18" i="9"/>
  <c r="AD18" i="12"/>
  <c r="Y46" i="5"/>
  <c r="Z11" i="5"/>
  <c r="Y81" i="5"/>
  <c r="W17" i="14"/>
  <c r="W17" i="12"/>
  <c r="W17" i="13"/>
  <c r="W17" i="10"/>
  <c r="W17" i="9"/>
  <c r="W17" i="2"/>
  <c r="AB53" i="5"/>
  <c r="AC18" i="5"/>
  <c r="AB88" i="5"/>
  <c r="Z24" i="14"/>
  <c r="Z24" i="12"/>
  <c r="Z24" i="13"/>
  <c r="Z24" i="10"/>
  <c r="Z24" i="2"/>
  <c r="Z24" i="9"/>
  <c r="AE95" i="5"/>
  <c r="AF25" i="5"/>
  <c r="AE60" i="5"/>
  <c r="AC31" i="2"/>
  <c r="AC31" i="14"/>
  <c r="AC31" i="10"/>
  <c r="AC31" i="9"/>
  <c r="AC31" i="12"/>
  <c r="AC31" i="13"/>
  <c r="W27" i="5"/>
  <c r="V97" i="5"/>
  <c r="V62" i="5"/>
  <c r="T33" i="2"/>
  <c r="T33" i="12"/>
  <c r="T33" i="10"/>
  <c r="T33" i="13"/>
  <c r="T33" i="14"/>
  <c r="T33" i="9"/>
  <c r="S55" i="5"/>
  <c r="S90" i="5"/>
  <c r="T20" i="5"/>
  <c r="Q26" i="14"/>
  <c r="Q26" i="9"/>
  <c r="Q26" i="13"/>
  <c r="Q26" i="10"/>
  <c r="Q26" i="2"/>
  <c r="Q26" i="12"/>
  <c r="AE85" i="5" l="1"/>
  <c r="AF15" i="5"/>
  <c r="AE50" i="5"/>
  <c r="AC21" i="14"/>
  <c r="AC21" i="9"/>
  <c r="AC21" i="13"/>
  <c r="AC21" i="10"/>
  <c r="AC21" i="12"/>
  <c r="AC21" i="2"/>
  <c r="V52" i="5"/>
  <c r="W17" i="5"/>
  <c r="V87" i="5"/>
  <c r="T23" i="14"/>
  <c r="T23" i="13"/>
  <c r="T23" i="9"/>
  <c r="T23" i="12"/>
  <c r="T23" i="10"/>
  <c r="T23" i="2"/>
  <c r="R58" i="5"/>
  <c r="R93" i="5"/>
  <c r="S23" i="5"/>
  <c r="P29" i="13"/>
  <c r="P29" i="14"/>
  <c r="P29" i="9"/>
  <c r="P29" i="2"/>
  <c r="P29" i="12"/>
  <c r="P29" i="10"/>
  <c r="U100" i="5"/>
  <c r="V30" i="5"/>
  <c r="U65" i="5"/>
  <c r="S36" i="14"/>
  <c r="S36" i="13"/>
  <c r="S36" i="9"/>
  <c r="S36" i="2"/>
  <c r="S36" i="12"/>
  <c r="S36" i="10"/>
  <c r="R68" i="5"/>
  <c r="S33" i="5"/>
  <c r="R103" i="5"/>
  <c r="P39" i="10"/>
  <c r="P39" i="14"/>
  <c r="P39" i="12"/>
  <c r="P39" i="2"/>
  <c r="P39" i="13"/>
  <c r="P39" i="9"/>
  <c r="W62" i="5"/>
  <c r="W97" i="5"/>
  <c r="X27" i="5"/>
  <c r="U33" i="13"/>
  <c r="U33" i="9"/>
  <c r="U33" i="14"/>
  <c r="U33" i="2"/>
  <c r="U33" i="12"/>
  <c r="U33" i="10"/>
  <c r="Q26" i="5"/>
  <c r="AF95" i="5"/>
  <c r="AF60" i="5"/>
  <c r="AD31" i="13"/>
  <c r="AD31" i="9"/>
  <c r="AD31" i="14"/>
  <c r="AD31" i="12"/>
  <c r="AD31" i="2"/>
  <c r="AD31" i="10"/>
  <c r="Z104" i="5"/>
  <c r="AA34" i="5"/>
  <c r="Z69" i="5"/>
  <c r="X40" i="14"/>
  <c r="X40" i="13"/>
  <c r="X40" i="9"/>
  <c r="X40" i="10"/>
  <c r="X40" i="12"/>
  <c r="X40" i="2"/>
  <c r="AA91" i="5"/>
  <c r="AB21" i="5"/>
  <c r="AA56" i="5"/>
  <c r="Y27" i="9"/>
  <c r="Y27" i="14"/>
  <c r="Y27" i="13"/>
  <c r="Y27" i="12"/>
  <c r="Y27" i="10"/>
  <c r="Y27" i="2"/>
  <c r="Q83" i="5"/>
  <c r="R13" i="5"/>
  <c r="Q48" i="5"/>
  <c r="O19" i="13"/>
  <c r="O19" i="9"/>
  <c r="O19" i="10"/>
  <c r="O19" i="2"/>
  <c r="O19" i="14"/>
  <c r="O19" i="12"/>
  <c r="AC88" i="5"/>
  <c r="AD18" i="5"/>
  <c r="AC53" i="5"/>
  <c r="AA24" i="9"/>
  <c r="AA24" i="14"/>
  <c r="AA24" i="13"/>
  <c r="AA24" i="12"/>
  <c r="AA24" i="10"/>
  <c r="AA24" i="2"/>
  <c r="AD98" i="5"/>
  <c r="AE28" i="5"/>
  <c r="AD63" i="5"/>
  <c r="AB34" i="13"/>
  <c r="AB34" i="14"/>
  <c r="AB34" i="9"/>
  <c r="AB34" i="10"/>
  <c r="AB34" i="2"/>
  <c r="AB34" i="12"/>
  <c r="Z24" i="5"/>
  <c r="Y94" i="5"/>
  <c r="Y59" i="5"/>
  <c r="W30" i="14"/>
  <c r="W30" i="9"/>
  <c r="W30" i="13"/>
  <c r="W30" i="12"/>
  <c r="W30" i="2"/>
  <c r="W30" i="10"/>
  <c r="AA11" i="5"/>
  <c r="Z46" i="5"/>
  <c r="Z81" i="5"/>
  <c r="X17" i="13"/>
  <c r="X17" i="9"/>
  <c r="X17" i="12"/>
  <c r="X17" i="2"/>
  <c r="X17" i="10"/>
  <c r="X17" i="14"/>
  <c r="Y14" i="5"/>
  <c r="X84" i="5"/>
  <c r="X49" i="5"/>
  <c r="V20" i="9"/>
  <c r="V20" i="13"/>
  <c r="V20" i="14"/>
  <c r="V20" i="12"/>
  <c r="V20" i="10"/>
  <c r="V20" i="2"/>
  <c r="U20" i="5"/>
  <c r="T90" i="5"/>
  <c r="T55" i="5"/>
  <c r="R26" i="13"/>
  <c r="R26" i="9"/>
  <c r="R26" i="14"/>
  <c r="R26" i="10"/>
  <c r="R26" i="2"/>
  <c r="R26" i="12"/>
  <c r="AB101" i="5"/>
  <c r="AC31" i="5"/>
  <c r="AB66" i="5"/>
  <c r="Z37" i="13"/>
  <c r="Z37" i="14"/>
  <c r="Z37" i="9"/>
  <c r="Z37" i="12"/>
  <c r="Z37" i="2"/>
  <c r="Z37" i="10"/>
  <c r="U10" i="5"/>
  <c r="R16" i="14"/>
  <c r="R16" i="12"/>
  <c r="R16" i="2"/>
  <c r="R16" i="13"/>
  <c r="T80" i="5"/>
  <c r="T45" i="5"/>
  <c r="R16" i="9"/>
  <c r="R16" i="10"/>
  <c r="Q16" i="5" l="1"/>
  <c r="AD21" i="10"/>
  <c r="AD21" i="9"/>
  <c r="AD21" i="2"/>
  <c r="AF50" i="5"/>
  <c r="AD21" i="14"/>
  <c r="AD21" i="12"/>
  <c r="AD21" i="13"/>
  <c r="AF85" i="5"/>
  <c r="S68" i="5"/>
  <c r="S103" i="5"/>
  <c r="T33" i="5"/>
  <c r="Q39" i="9"/>
  <c r="Q39" i="14"/>
  <c r="Q39" i="13"/>
  <c r="Q39" i="2"/>
  <c r="Q39" i="10"/>
  <c r="Q39" i="12"/>
  <c r="X30" i="12"/>
  <c r="Z59" i="5"/>
  <c r="X30" i="14"/>
  <c r="X30" i="9"/>
  <c r="AA24" i="5"/>
  <c r="X30" i="13"/>
  <c r="X30" i="10"/>
  <c r="Z94" i="5"/>
  <c r="X30" i="2"/>
  <c r="AF28" i="5"/>
  <c r="AC34" i="14"/>
  <c r="AC34" i="2"/>
  <c r="AC34" i="9"/>
  <c r="AC34" i="12"/>
  <c r="AE63" i="5"/>
  <c r="AC34" i="13"/>
  <c r="AC34" i="10"/>
  <c r="AE98" i="5"/>
  <c r="AB56" i="5"/>
  <c r="Z27" i="10"/>
  <c r="AB91" i="5"/>
  <c r="AC21" i="5"/>
  <c r="Z27" i="14"/>
  <c r="Z27" i="9"/>
  <c r="Z27" i="13"/>
  <c r="Z27" i="2"/>
  <c r="Z27" i="12"/>
  <c r="AA37" i="14"/>
  <c r="AC101" i="5"/>
  <c r="AD31" i="5"/>
  <c r="AA37" i="12"/>
  <c r="AA37" i="9"/>
  <c r="AA37" i="13"/>
  <c r="AA37" i="2"/>
  <c r="AA37" i="10"/>
  <c r="AC66" i="5"/>
  <c r="V65" i="5"/>
  <c r="T36" i="9"/>
  <c r="T36" i="13"/>
  <c r="T36" i="2"/>
  <c r="T36" i="12"/>
  <c r="V100" i="5"/>
  <c r="W30" i="5"/>
  <c r="T36" i="14"/>
  <c r="T36" i="10"/>
  <c r="Q29" i="9"/>
  <c r="T23" i="5"/>
  <c r="Q29" i="2"/>
  <c r="Q29" i="14"/>
  <c r="Q29" i="12"/>
  <c r="Q29" i="10"/>
  <c r="S58" i="5"/>
  <c r="S93" i="5"/>
  <c r="Q29" i="13"/>
  <c r="Y17" i="10"/>
  <c r="AA81" i="5"/>
  <c r="AB11" i="5"/>
  <c r="Y17" i="13"/>
  <c r="Y17" i="9"/>
  <c r="Y17" i="12"/>
  <c r="AA46" i="5"/>
  <c r="Y17" i="2"/>
  <c r="Y17" i="14"/>
  <c r="S26" i="13"/>
  <c r="S26" i="14"/>
  <c r="V20" i="5"/>
  <c r="S26" i="9"/>
  <c r="S26" i="2"/>
  <c r="U90" i="5"/>
  <c r="S26" i="10"/>
  <c r="S26" i="12"/>
  <c r="U55" i="5"/>
  <c r="AB24" i="10"/>
  <c r="AB24" i="12"/>
  <c r="AB24" i="2"/>
  <c r="AD88" i="5"/>
  <c r="AD53" i="5"/>
  <c r="AE18" i="5"/>
  <c r="AB24" i="13"/>
  <c r="AB24" i="9"/>
  <c r="AB24" i="14"/>
  <c r="Y40" i="2"/>
  <c r="AA69" i="5"/>
  <c r="Y40" i="14"/>
  <c r="Y40" i="10"/>
  <c r="Y40" i="12"/>
  <c r="AA104" i="5"/>
  <c r="AB34" i="5"/>
  <c r="Y40" i="9"/>
  <c r="Y40" i="13"/>
  <c r="W20" i="13"/>
  <c r="W20" i="10"/>
  <c r="Z14" i="5"/>
  <c r="Y84" i="5"/>
  <c r="W20" i="12"/>
  <c r="Y49" i="5"/>
  <c r="W20" i="9"/>
  <c r="W20" i="14"/>
  <c r="W20" i="2"/>
  <c r="P19" i="9"/>
  <c r="P19" i="10"/>
  <c r="P19" i="2"/>
  <c r="P19" i="13"/>
  <c r="R83" i="5"/>
  <c r="P19" i="12"/>
  <c r="R48" i="5"/>
  <c r="S13" i="5"/>
  <c r="P19" i="14"/>
  <c r="X97" i="5"/>
  <c r="X62" i="5"/>
  <c r="V33" i="10"/>
  <c r="V33" i="13"/>
  <c r="V33" i="9"/>
  <c r="V33" i="14"/>
  <c r="V33" i="12"/>
  <c r="V33" i="2"/>
  <c r="Y27" i="5"/>
  <c r="W87" i="5"/>
  <c r="U23" i="12"/>
  <c r="U23" i="9"/>
  <c r="U23" i="10"/>
  <c r="X17" i="5"/>
  <c r="U23" i="14"/>
  <c r="U23" i="13"/>
  <c r="U23" i="2"/>
  <c r="W52" i="5"/>
  <c r="S16" i="10"/>
  <c r="V10" i="5"/>
  <c r="U80" i="5"/>
  <c r="S16" i="9"/>
  <c r="S16" i="2"/>
  <c r="U45" i="5"/>
  <c r="S16" i="12"/>
  <c r="S16" i="14"/>
  <c r="S16" i="13"/>
  <c r="O32" i="10"/>
  <c r="O32" i="12"/>
  <c r="O32" i="2"/>
  <c r="O32" i="14"/>
  <c r="Q61" i="5"/>
  <c r="O32" i="13"/>
  <c r="Q96" i="5"/>
  <c r="O32" i="9"/>
  <c r="R26" i="5"/>
  <c r="U36" i="12" l="1"/>
  <c r="W100" i="5"/>
  <c r="U36" i="2"/>
  <c r="U36" i="14"/>
  <c r="U36" i="9"/>
  <c r="U36" i="13"/>
  <c r="X30" i="5"/>
  <c r="U36" i="10"/>
  <c r="W65" i="5"/>
  <c r="Y62" i="5"/>
  <c r="W33" i="2"/>
  <c r="W33" i="13"/>
  <c r="W33" i="10"/>
  <c r="W33" i="12"/>
  <c r="Z27" i="5"/>
  <c r="Y97" i="5"/>
  <c r="W33" i="14"/>
  <c r="W33" i="9"/>
  <c r="Z84" i="5"/>
  <c r="X20" i="10"/>
  <c r="X20" i="14"/>
  <c r="X20" i="12"/>
  <c r="X20" i="2"/>
  <c r="AA14" i="5"/>
  <c r="X20" i="9"/>
  <c r="Z49" i="5"/>
  <c r="X20" i="13"/>
  <c r="AC24" i="2"/>
  <c r="AC24" i="14"/>
  <c r="AC24" i="10"/>
  <c r="AC24" i="12"/>
  <c r="AE88" i="5"/>
  <c r="AE53" i="5"/>
  <c r="AF18" i="5"/>
  <c r="AC24" i="9"/>
  <c r="AC24" i="13"/>
  <c r="Y30" i="14"/>
  <c r="AA59" i="5"/>
  <c r="AB24" i="5"/>
  <c r="Y30" i="12"/>
  <c r="Y30" i="2"/>
  <c r="AA94" i="5"/>
  <c r="Y30" i="10"/>
  <c r="Y30" i="9"/>
  <c r="Y30" i="13"/>
  <c r="O22" i="13"/>
  <c r="Q86" i="5"/>
  <c r="O22" i="12"/>
  <c r="O22" i="10"/>
  <c r="O22" i="9"/>
  <c r="O22" i="14"/>
  <c r="R16" i="5"/>
  <c r="O22" i="2"/>
  <c r="Q51" i="5"/>
  <c r="AA27" i="14"/>
  <c r="AC91" i="5"/>
  <c r="AD21" i="5"/>
  <c r="AA27" i="12"/>
  <c r="AA27" i="2"/>
  <c r="AA27" i="13"/>
  <c r="AA27" i="10"/>
  <c r="AA27" i="9"/>
  <c r="AC56" i="5"/>
  <c r="X87" i="5"/>
  <c r="V23" i="9"/>
  <c r="V23" i="12"/>
  <c r="V23" i="2"/>
  <c r="V23" i="10"/>
  <c r="X52" i="5"/>
  <c r="V23" i="13"/>
  <c r="V23" i="14"/>
  <c r="Y17" i="5"/>
  <c r="Q19" i="10"/>
  <c r="Q19" i="2"/>
  <c r="Q19" i="13"/>
  <c r="T13" i="5"/>
  <c r="Q19" i="9"/>
  <c r="S48" i="5"/>
  <c r="S83" i="5"/>
  <c r="Q19" i="12"/>
  <c r="Q19" i="14"/>
  <c r="U23" i="5"/>
  <c r="R29" i="13"/>
  <c r="R29" i="9"/>
  <c r="R29" i="12"/>
  <c r="R29" i="2"/>
  <c r="T58" i="5"/>
  <c r="R29" i="14"/>
  <c r="T93" i="5"/>
  <c r="R29" i="10"/>
  <c r="Z40" i="2"/>
  <c r="Z40" i="14"/>
  <c r="AC34" i="5"/>
  <c r="AB104" i="5"/>
  <c r="AB69" i="5"/>
  <c r="Z40" i="13"/>
  <c r="Z40" i="12"/>
  <c r="Z40" i="10"/>
  <c r="Z40" i="9"/>
  <c r="P32" i="9"/>
  <c r="R61" i="5"/>
  <c r="P32" i="14"/>
  <c r="P32" i="13"/>
  <c r="P32" i="2"/>
  <c r="P32" i="10"/>
  <c r="S26" i="5"/>
  <c r="P32" i="12"/>
  <c r="R96" i="5"/>
  <c r="Q29" i="5"/>
  <c r="AD34" i="10"/>
  <c r="AD34" i="13"/>
  <c r="AD34" i="14"/>
  <c r="AD34" i="9"/>
  <c r="AF63" i="5"/>
  <c r="AD34" i="12"/>
  <c r="AD34" i="2"/>
  <c r="AF98" i="5"/>
  <c r="T103" i="5"/>
  <c r="R39" i="9"/>
  <c r="T68" i="5"/>
  <c r="R39" i="2"/>
  <c r="U33" i="5"/>
  <c r="R39" i="10"/>
  <c r="R39" i="13"/>
  <c r="R39" i="12"/>
  <c r="R39" i="14"/>
  <c r="V55" i="5"/>
  <c r="T26" i="10"/>
  <c r="V90" i="5"/>
  <c r="W20" i="5"/>
  <c r="T26" i="2"/>
  <c r="T26" i="13"/>
  <c r="T26" i="9"/>
  <c r="T26" i="14"/>
  <c r="T26" i="12"/>
  <c r="AC11" i="5"/>
  <c r="AB81" i="5"/>
  <c r="AB46" i="5"/>
  <c r="Z17" i="10"/>
  <c r="Z17" i="2"/>
  <c r="Z17" i="9"/>
  <c r="Z17" i="12"/>
  <c r="Z17" i="13"/>
  <c r="Z17" i="14"/>
  <c r="V80" i="5"/>
  <c r="T16" i="2"/>
  <c r="V45" i="5"/>
  <c r="T16" i="10"/>
  <c r="W10" i="5"/>
  <c r="T16" i="9"/>
  <c r="T16" i="12"/>
  <c r="T16" i="13"/>
  <c r="T16" i="14"/>
  <c r="AB37" i="12"/>
  <c r="AB37" i="9"/>
  <c r="AD66" i="5"/>
  <c r="AD101" i="5"/>
  <c r="AB37" i="10"/>
  <c r="AE31" i="5"/>
  <c r="AB37" i="14"/>
  <c r="AB37" i="13"/>
  <c r="AB37" i="2"/>
  <c r="U16" i="9" l="1"/>
  <c r="U16" i="13"/>
  <c r="X10" i="5"/>
  <c r="U16" i="12"/>
  <c r="U16" i="2"/>
  <c r="U16" i="14"/>
  <c r="W45" i="5"/>
  <c r="W80" i="5"/>
  <c r="U16" i="10"/>
  <c r="Q32" i="2"/>
  <c r="Q32" i="14"/>
  <c r="Q32" i="10"/>
  <c r="S96" i="5"/>
  <c r="Q32" i="13"/>
  <c r="Q32" i="12"/>
  <c r="S61" i="5"/>
  <c r="Q32" i="9"/>
  <c r="T26" i="5"/>
  <c r="S29" i="12"/>
  <c r="U93" i="5"/>
  <c r="S29" i="13"/>
  <c r="S29" i="10"/>
  <c r="S29" i="2"/>
  <c r="S29" i="9"/>
  <c r="V23" i="5"/>
  <c r="S29" i="14"/>
  <c r="U58" i="5"/>
  <c r="AF53" i="5"/>
  <c r="AD24" i="2"/>
  <c r="AD24" i="12"/>
  <c r="AD24" i="13"/>
  <c r="Q19" i="5"/>
  <c r="AD24" i="10"/>
  <c r="AD24" i="14"/>
  <c r="AF88" i="5"/>
  <c r="AD24" i="9"/>
  <c r="AC24" i="5"/>
  <c r="Z30" i="14"/>
  <c r="Z30" i="13"/>
  <c r="AB94" i="5"/>
  <c r="AB59" i="5"/>
  <c r="Z30" i="12"/>
  <c r="Z30" i="10"/>
  <c r="Z30" i="9"/>
  <c r="Z30" i="2"/>
  <c r="R29" i="5"/>
  <c r="O35" i="2"/>
  <c r="O35" i="13"/>
  <c r="O35" i="12"/>
  <c r="Q64" i="5"/>
  <c r="Q99" i="5"/>
  <c r="O35" i="9"/>
  <c r="O35" i="10"/>
  <c r="O35" i="14"/>
  <c r="Y87" i="5"/>
  <c r="W23" i="9"/>
  <c r="W23" i="14"/>
  <c r="W23" i="12"/>
  <c r="W23" i="13"/>
  <c r="Y52" i="5"/>
  <c r="W23" i="10"/>
  <c r="W23" i="2"/>
  <c r="Z17" i="5"/>
  <c r="Y20" i="10"/>
  <c r="Y20" i="14"/>
  <c r="Y20" i="12"/>
  <c r="AA84" i="5"/>
  <c r="Y20" i="9"/>
  <c r="Y20" i="2"/>
  <c r="AA49" i="5"/>
  <c r="AB14" i="5"/>
  <c r="Y20" i="13"/>
  <c r="Z62" i="5"/>
  <c r="X33" i="9"/>
  <c r="AA27" i="5"/>
  <c r="Z97" i="5"/>
  <c r="X33" i="2"/>
  <c r="X33" i="12"/>
  <c r="X33" i="14"/>
  <c r="X33" i="13"/>
  <c r="X33" i="10"/>
  <c r="AD91" i="5"/>
  <c r="AD56" i="5"/>
  <c r="AB27" i="14"/>
  <c r="AB27" i="9"/>
  <c r="AE21" i="5"/>
  <c r="AB27" i="10"/>
  <c r="AB27" i="13"/>
  <c r="AB27" i="2"/>
  <c r="AB27" i="12"/>
  <c r="S16" i="5"/>
  <c r="P22" i="13"/>
  <c r="R51" i="5"/>
  <c r="P22" i="10"/>
  <c r="P22" i="2"/>
  <c r="P22" i="14"/>
  <c r="R86" i="5"/>
  <c r="P22" i="12"/>
  <c r="P22" i="9"/>
  <c r="V36" i="14"/>
  <c r="V36" i="9"/>
  <c r="V36" i="13"/>
  <c r="X100" i="5"/>
  <c r="V36" i="10"/>
  <c r="V36" i="2"/>
  <c r="Y30" i="5"/>
  <c r="X65" i="5"/>
  <c r="V36" i="12"/>
  <c r="U26" i="13"/>
  <c r="U26" i="10"/>
  <c r="U26" i="2"/>
  <c r="U26" i="14"/>
  <c r="W90" i="5"/>
  <c r="W55" i="5"/>
  <c r="U26" i="9"/>
  <c r="X20" i="5"/>
  <c r="U26" i="12"/>
  <c r="U103" i="5"/>
  <c r="S39" i="2"/>
  <c r="S39" i="10"/>
  <c r="S39" i="14"/>
  <c r="U68" i="5"/>
  <c r="S39" i="9"/>
  <c r="V33" i="5"/>
  <c r="S39" i="13"/>
  <c r="S39" i="12"/>
  <c r="AA40" i="13"/>
  <c r="AA40" i="14"/>
  <c r="AD34" i="5"/>
  <c r="AC104" i="5"/>
  <c r="AC69" i="5"/>
  <c r="AA40" i="10"/>
  <c r="AA40" i="9"/>
  <c r="AA40" i="2"/>
  <c r="AA40" i="12"/>
  <c r="AC37" i="9"/>
  <c r="AC37" i="14"/>
  <c r="AE101" i="5"/>
  <c r="AC37" i="2"/>
  <c r="AE66" i="5"/>
  <c r="AC37" i="12"/>
  <c r="AC37" i="13"/>
  <c r="AC37" i="10"/>
  <c r="AF31" i="5"/>
  <c r="AC46" i="5"/>
  <c r="AA17" i="12"/>
  <c r="AA17" i="13"/>
  <c r="AA17" i="9"/>
  <c r="AA17" i="2"/>
  <c r="AD11" i="5"/>
  <c r="AC81" i="5"/>
  <c r="AA17" i="10"/>
  <c r="AA17" i="14"/>
  <c r="R19" i="13"/>
  <c r="R19" i="12"/>
  <c r="T83" i="5"/>
  <c r="T48" i="5"/>
  <c r="R19" i="2"/>
  <c r="U13" i="5"/>
  <c r="R19" i="10"/>
  <c r="R19" i="9"/>
  <c r="R19" i="14"/>
  <c r="Z20" i="9" l="1"/>
  <c r="Z20" i="2"/>
  <c r="AC14" i="5"/>
  <c r="Z20" i="12"/>
  <c r="Z20" i="14"/>
  <c r="Z20" i="13"/>
  <c r="AB84" i="5"/>
  <c r="AB49" i="5"/>
  <c r="Z20" i="10"/>
  <c r="S51" i="5"/>
  <c r="T16" i="5"/>
  <c r="Q22" i="9"/>
  <c r="Q22" i="2"/>
  <c r="Q22" i="12"/>
  <c r="Q22" i="13"/>
  <c r="Q22" i="10"/>
  <c r="Q22" i="14"/>
  <c r="S86" i="5"/>
  <c r="X23" i="9"/>
  <c r="X23" i="14"/>
  <c r="X23" i="13"/>
  <c r="Z52" i="5"/>
  <c r="Z87" i="5"/>
  <c r="X23" i="2"/>
  <c r="X23" i="12"/>
  <c r="X23" i="10"/>
  <c r="AA17" i="5"/>
  <c r="W36" i="9"/>
  <c r="W36" i="12"/>
  <c r="Y65" i="5"/>
  <c r="Y100" i="5"/>
  <c r="W36" i="10"/>
  <c r="Z30" i="5"/>
  <c r="W36" i="14"/>
  <c r="W36" i="13"/>
  <c r="W36" i="2"/>
  <c r="Y33" i="13"/>
  <c r="AB27" i="5"/>
  <c r="Y33" i="9"/>
  <c r="Y33" i="12"/>
  <c r="Y33" i="10"/>
  <c r="AA62" i="5"/>
  <c r="Y33" i="2"/>
  <c r="Y33" i="14"/>
  <c r="AA97" i="5"/>
  <c r="U48" i="5"/>
  <c r="S19" i="12"/>
  <c r="S19" i="10"/>
  <c r="S19" i="9"/>
  <c r="U83" i="5"/>
  <c r="V13" i="5"/>
  <c r="S19" i="2"/>
  <c r="S19" i="13"/>
  <c r="S19" i="14"/>
  <c r="AD37" i="2"/>
  <c r="AD37" i="14"/>
  <c r="AF101" i="5"/>
  <c r="AF66" i="5"/>
  <c r="Q32" i="5"/>
  <c r="AD37" i="9"/>
  <c r="AD37" i="12"/>
  <c r="AD37" i="10"/>
  <c r="AD37" i="13"/>
  <c r="AB40" i="9"/>
  <c r="AD104" i="5"/>
  <c r="AB40" i="13"/>
  <c r="AE34" i="5"/>
  <c r="AB40" i="14"/>
  <c r="AB40" i="12"/>
  <c r="AD69" i="5"/>
  <c r="AB40" i="10"/>
  <c r="AB40" i="2"/>
  <c r="P35" i="2"/>
  <c r="R99" i="5"/>
  <c r="R64" i="5"/>
  <c r="P35" i="9"/>
  <c r="P35" i="14"/>
  <c r="P35" i="12"/>
  <c r="P35" i="10"/>
  <c r="P35" i="13"/>
  <c r="S29" i="5"/>
  <c r="O25" i="12"/>
  <c r="O25" i="9"/>
  <c r="R19" i="5"/>
  <c r="O25" i="10"/>
  <c r="Q89" i="5"/>
  <c r="O25" i="2"/>
  <c r="O25" i="14"/>
  <c r="O25" i="13"/>
  <c r="Q54" i="5"/>
  <c r="R32" i="2"/>
  <c r="R32" i="12"/>
  <c r="R32" i="13"/>
  <c r="U26" i="5"/>
  <c r="R32" i="14"/>
  <c r="T96" i="5"/>
  <c r="T61" i="5"/>
  <c r="R32" i="10"/>
  <c r="R32" i="9"/>
  <c r="X80" i="5"/>
  <c r="X45" i="5"/>
  <c r="V16" i="9"/>
  <c r="V16" i="2"/>
  <c r="Y10" i="5"/>
  <c r="V16" i="14"/>
  <c r="V16" i="13"/>
  <c r="V16" i="10"/>
  <c r="V16" i="12"/>
  <c r="V58" i="5"/>
  <c r="T29" i="10"/>
  <c r="T29" i="2"/>
  <c r="T29" i="14"/>
  <c r="T29" i="12"/>
  <c r="V93" i="5"/>
  <c r="W23" i="5"/>
  <c r="T29" i="13"/>
  <c r="T29" i="9"/>
  <c r="V26" i="12"/>
  <c r="V26" i="13"/>
  <c r="X90" i="5"/>
  <c r="X55" i="5"/>
  <c r="V26" i="9"/>
  <c r="Y20" i="5"/>
  <c r="V26" i="10"/>
  <c r="V26" i="14"/>
  <c r="V26" i="2"/>
  <c r="AB17" i="2"/>
  <c r="AB17" i="13"/>
  <c r="AB17" i="12"/>
  <c r="AB17" i="9"/>
  <c r="AB17" i="10"/>
  <c r="AD81" i="5"/>
  <c r="AD46" i="5"/>
  <c r="AE11" i="5"/>
  <c r="AB17" i="14"/>
  <c r="AC59" i="5"/>
  <c r="AA30" i="12"/>
  <c r="AC94" i="5"/>
  <c r="AA30" i="9"/>
  <c r="AA30" i="13"/>
  <c r="AA30" i="10"/>
  <c r="AA30" i="14"/>
  <c r="AD24" i="5"/>
  <c r="AA30" i="2"/>
  <c r="W33" i="5"/>
  <c r="T39" i="12"/>
  <c r="V68" i="5"/>
  <c r="T39" i="13"/>
  <c r="T39" i="10"/>
  <c r="T39" i="2"/>
  <c r="V103" i="5"/>
  <c r="T39" i="9"/>
  <c r="T39" i="14"/>
  <c r="AC27" i="14"/>
  <c r="AC27" i="12"/>
  <c r="AC27" i="9"/>
  <c r="AC27" i="2"/>
  <c r="AC27" i="10"/>
  <c r="AE56" i="5"/>
  <c r="AF21" i="5"/>
  <c r="AE91" i="5"/>
  <c r="AC27" i="13"/>
  <c r="W26" i="14" l="1"/>
  <c r="Y90" i="5"/>
  <c r="W26" i="12"/>
  <c r="W26" i="13"/>
  <c r="Y55" i="5"/>
  <c r="W26" i="9"/>
  <c r="W26" i="10"/>
  <c r="Z20" i="5"/>
  <c r="W26" i="2"/>
  <c r="AB62" i="5"/>
  <c r="Z33" i="9"/>
  <c r="Z33" i="12"/>
  <c r="AC27" i="5"/>
  <c r="AB97" i="5"/>
  <c r="Z33" i="13"/>
  <c r="Z33" i="2"/>
  <c r="Z33" i="14"/>
  <c r="Z33" i="10"/>
  <c r="U29" i="10"/>
  <c r="U29" i="2"/>
  <c r="X23" i="5"/>
  <c r="U29" i="14"/>
  <c r="U29" i="12"/>
  <c r="W58" i="5"/>
  <c r="W93" i="5"/>
  <c r="U29" i="9"/>
  <c r="U29" i="13"/>
  <c r="P25" i="12"/>
  <c r="P25" i="14"/>
  <c r="P25" i="9"/>
  <c r="P25" i="2"/>
  <c r="P25" i="13"/>
  <c r="R89" i="5"/>
  <c r="S19" i="5"/>
  <c r="P25" i="10"/>
  <c r="R54" i="5"/>
  <c r="U39" i="2"/>
  <c r="U39" i="13"/>
  <c r="U39" i="12"/>
  <c r="W68" i="5"/>
  <c r="U39" i="9"/>
  <c r="U39" i="10"/>
  <c r="U39" i="14"/>
  <c r="W103" i="5"/>
  <c r="X33" i="5"/>
  <c r="AD27" i="12"/>
  <c r="AD27" i="10"/>
  <c r="AD27" i="13"/>
  <c r="AD27" i="14"/>
  <c r="AD27" i="9"/>
  <c r="AF56" i="5"/>
  <c r="AD27" i="2"/>
  <c r="AF91" i="5"/>
  <c r="Q22" i="5"/>
  <c r="AE69" i="5"/>
  <c r="AC40" i="10"/>
  <c r="AF34" i="5"/>
  <c r="AC40" i="14"/>
  <c r="AC40" i="2"/>
  <c r="AC40" i="13"/>
  <c r="AC40" i="9"/>
  <c r="AC40" i="12"/>
  <c r="AE104" i="5"/>
  <c r="O38" i="2"/>
  <c r="Q102" i="5"/>
  <c r="Q67" i="5"/>
  <c r="O38" i="10"/>
  <c r="O38" i="13"/>
  <c r="O38" i="14"/>
  <c r="O38" i="9"/>
  <c r="O38" i="12"/>
  <c r="V48" i="5"/>
  <c r="T19" i="10"/>
  <c r="T19" i="2"/>
  <c r="T19" i="9"/>
  <c r="T19" i="13"/>
  <c r="W13" i="5"/>
  <c r="T19" i="12"/>
  <c r="V83" i="5"/>
  <c r="T19" i="14"/>
  <c r="Y23" i="14"/>
  <c r="Y23" i="12"/>
  <c r="AA87" i="5"/>
  <c r="Y23" i="9"/>
  <c r="Y23" i="2"/>
  <c r="Y23" i="10"/>
  <c r="AB17" i="5"/>
  <c r="Y23" i="13"/>
  <c r="AA52" i="5"/>
  <c r="R22" i="13"/>
  <c r="T86" i="5"/>
  <c r="U16" i="5"/>
  <c r="R22" i="12"/>
  <c r="R22" i="10"/>
  <c r="R22" i="9"/>
  <c r="R22" i="2"/>
  <c r="T51" i="5"/>
  <c r="R22" i="14"/>
  <c r="Q35" i="9"/>
  <c r="Q35" i="12"/>
  <c r="S99" i="5"/>
  <c r="S64" i="5"/>
  <c r="Q35" i="2"/>
  <c r="T29" i="5"/>
  <c r="Q35" i="14"/>
  <c r="Q35" i="10"/>
  <c r="Q35" i="13"/>
  <c r="AA20" i="12"/>
  <c r="AA20" i="9"/>
  <c r="AA20" i="2"/>
  <c r="AA20" i="14"/>
  <c r="AD14" i="5"/>
  <c r="AC84" i="5"/>
  <c r="AC49" i="5"/>
  <c r="AA20" i="10"/>
  <c r="AA20" i="13"/>
  <c r="AB30" i="13"/>
  <c r="AB30" i="2"/>
  <c r="AE24" i="5"/>
  <c r="AB30" i="14"/>
  <c r="AD94" i="5"/>
  <c r="AD59" i="5"/>
  <c r="AB30" i="12"/>
  <c r="AB30" i="9"/>
  <c r="AB30" i="10"/>
  <c r="AE81" i="5"/>
  <c r="AC17" i="9"/>
  <c r="AE46" i="5"/>
  <c r="AC17" i="2"/>
  <c r="AC17" i="13"/>
  <c r="AF11" i="5"/>
  <c r="AC17" i="12"/>
  <c r="AC17" i="10"/>
  <c r="AC17" i="14"/>
  <c r="W16" i="12"/>
  <c r="W16" i="10"/>
  <c r="W16" i="2"/>
  <c r="W16" i="9"/>
  <c r="Y45" i="5"/>
  <c r="W16" i="14"/>
  <c r="Z10" i="5"/>
  <c r="W16" i="13"/>
  <c r="Y80" i="5"/>
  <c r="X36" i="9"/>
  <c r="Z65" i="5"/>
  <c r="AA30" i="5"/>
  <c r="X36" i="13"/>
  <c r="X36" i="12"/>
  <c r="X36" i="14"/>
  <c r="Z100" i="5"/>
  <c r="X36" i="10"/>
  <c r="X36" i="2"/>
  <c r="U96" i="5"/>
  <c r="S32" i="9"/>
  <c r="S32" i="2"/>
  <c r="V26" i="5"/>
  <c r="S32" i="13"/>
  <c r="S32" i="10"/>
  <c r="S32" i="14"/>
  <c r="U61" i="5"/>
  <c r="S32" i="12"/>
  <c r="AA65" i="5" l="1"/>
  <c r="Y36" i="14"/>
  <c r="Y36" i="9"/>
  <c r="Y36" i="13"/>
  <c r="Y36" i="12"/>
  <c r="Y36" i="2"/>
  <c r="Y36" i="10"/>
  <c r="AB30" i="5"/>
  <c r="AA100" i="5"/>
  <c r="V29" i="9"/>
  <c r="V29" i="2"/>
  <c r="V29" i="14"/>
  <c r="X58" i="5"/>
  <c r="Y23" i="5"/>
  <c r="V29" i="12"/>
  <c r="V29" i="10"/>
  <c r="X93" i="5"/>
  <c r="V29" i="13"/>
  <c r="AA33" i="9"/>
  <c r="AC97" i="5"/>
  <c r="AD27" i="5"/>
  <c r="AA33" i="2"/>
  <c r="AC62" i="5"/>
  <c r="AA33" i="13"/>
  <c r="AA33" i="10"/>
  <c r="AA33" i="14"/>
  <c r="AA33" i="12"/>
  <c r="AF69" i="5"/>
  <c r="AD40" i="2"/>
  <c r="AD40" i="13"/>
  <c r="AD40" i="12"/>
  <c r="AD40" i="9"/>
  <c r="AF104" i="5"/>
  <c r="AD40" i="10"/>
  <c r="Q35" i="5"/>
  <c r="AD40" i="14"/>
  <c r="AD84" i="5"/>
  <c r="AB20" i="14"/>
  <c r="AB20" i="13"/>
  <c r="AB20" i="12"/>
  <c r="AB20" i="9"/>
  <c r="AE14" i="5"/>
  <c r="AD49" i="5"/>
  <c r="AB20" i="10"/>
  <c r="AB20" i="2"/>
  <c r="R35" i="13"/>
  <c r="U29" i="5"/>
  <c r="T99" i="5"/>
  <c r="T64" i="5"/>
  <c r="R35" i="9"/>
  <c r="R35" i="14"/>
  <c r="R35" i="2"/>
  <c r="R35" i="10"/>
  <c r="R35" i="12"/>
  <c r="Q25" i="2"/>
  <c r="S89" i="5"/>
  <c r="Q25" i="9"/>
  <c r="Q25" i="13"/>
  <c r="T19" i="5"/>
  <c r="S54" i="5"/>
  <c r="Q25" i="12"/>
  <c r="Q25" i="10"/>
  <c r="Q25" i="14"/>
  <c r="AE94" i="5"/>
  <c r="AC30" i="2"/>
  <c r="AE59" i="5"/>
  <c r="AC30" i="12"/>
  <c r="AC30" i="10"/>
  <c r="AC30" i="14"/>
  <c r="AF24" i="5"/>
  <c r="AC30" i="13"/>
  <c r="AC30" i="9"/>
  <c r="AC17" i="5"/>
  <c r="Z23" i="12"/>
  <c r="Z23" i="2"/>
  <c r="AB87" i="5"/>
  <c r="Z23" i="10"/>
  <c r="Z23" i="14"/>
  <c r="Z23" i="13"/>
  <c r="AB52" i="5"/>
  <c r="Z23" i="9"/>
  <c r="X16" i="2"/>
  <c r="Z45" i="5"/>
  <c r="X16" i="13"/>
  <c r="AA10" i="5"/>
  <c r="Z80" i="5"/>
  <c r="X16" i="12"/>
  <c r="X16" i="9"/>
  <c r="X16" i="14"/>
  <c r="X16" i="10"/>
  <c r="U19" i="13"/>
  <c r="U19" i="2"/>
  <c r="U19" i="12"/>
  <c r="W48" i="5"/>
  <c r="W83" i="5"/>
  <c r="X13" i="5"/>
  <c r="U19" i="10"/>
  <c r="U19" i="9"/>
  <c r="U19" i="14"/>
  <c r="R22" i="5"/>
  <c r="O28" i="13"/>
  <c r="O28" i="9"/>
  <c r="O28" i="10"/>
  <c r="Q92" i="5"/>
  <c r="O28" i="12"/>
  <c r="Q57" i="5"/>
  <c r="O28" i="14"/>
  <c r="O28" i="2"/>
  <c r="X26" i="12"/>
  <c r="Z55" i="5"/>
  <c r="X26" i="2"/>
  <c r="AA20" i="5"/>
  <c r="X26" i="14"/>
  <c r="X26" i="9"/>
  <c r="X26" i="13"/>
  <c r="Z90" i="5"/>
  <c r="X26" i="10"/>
  <c r="V61" i="5"/>
  <c r="T32" i="2"/>
  <c r="T32" i="10"/>
  <c r="W26" i="5"/>
  <c r="T32" i="14"/>
  <c r="T32" i="12"/>
  <c r="T32" i="13"/>
  <c r="V96" i="5"/>
  <c r="T32" i="9"/>
  <c r="AD17" i="9"/>
  <c r="AD17" i="13"/>
  <c r="AD17" i="12"/>
  <c r="AF81" i="5"/>
  <c r="AF46" i="5"/>
  <c r="AD17" i="2"/>
  <c r="R32" i="5"/>
  <c r="Q12" i="5"/>
  <c r="AD17" i="10"/>
  <c r="AD17" i="14"/>
  <c r="S22" i="2"/>
  <c r="S22" i="13"/>
  <c r="U51" i="5"/>
  <c r="U86" i="5"/>
  <c r="S22" i="12"/>
  <c r="V16" i="5"/>
  <c r="S22" i="14"/>
  <c r="S22" i="9"/>
  <c r="S22" i="10"/>
  <c r="V39" i="14"/>
  <c r="V39" i="10"/>
  <c r="V39" i="9"/>
  <c r="V39" i="13"/>
  <c r="Y33" i="5"/>
  <c r="X68" i="5"/>
  <c r="V39" i="2"/>
  <c r="X103" i="5"/>
  <c r="V39" i="12"/>
  <c r="X26" i="5" l="1"/>
  <c r="U32" i="9"/>
  <c r="U32" i="14"/>
  <c r="U32" i="13"/>
  <c r="W61" i="5"/>
  <c r="U32" i="10"/>
  <c r="W96" i="5"/>
  <c r="U32" i="12"/>
  <c r="U32" i="2"/>
  <c r="Z36" i="12"/>
  <c r="Z36" i="2"/>
  <c r="AB65" i="5"/>
  <c r="AC30" i="5"/>
  <c r="Z36" i="14"/>
  <c r="AB100" i="5"/>
  <c r="Z36" i="13"/>
  <c r="Z36" i="10"/>
  <c r="Z36" i="9"/>
  <c r="Y16" i="2"/>
  <c r="AB10" i="5"/>
  <c r="Y16" i="14"/>
  <c r="AA45" i="5"/>
  <c r="Y16" i="13"/>
  <c r="Y16" i="12"/>
  <c r="Y16" i="9"/>
  <c r="AA80" i="5"/>
  <c r="Y16" i="10"/>
  <c r="Y26" i="2"/>
  <c r="AA90" i="5"/>
  <c r="AB20" i="5"/>
  <c r="Y26" i="14"/>
  <c r="Y26" i="10"/>
  <c r="Y26" i="12"/>
  <c r="Y26" i="9"/>
  <c r="AA55" i="5"/>
  <c r="Y26" i="13"/>
  <c r="V19" i="10"/>
  <c r="X83" i="5"/>
  <c r="X48" i="5"/>
  <c r="Y13" i="5"/>
  <c r="V19" i="2"/>
  <c r="V19" i="9"/>
  <c r="V19" i="13"/>
  <c r="V19" i="12"/>
  <c r="V19" i="14"/>
  <c r="T89" i="5"/>
  <c r="R25" i="9"/>
  <c r="T54" i="5"/>
  <c r="R25" i="13"/>
  <c r="R25" i="2"/>
  <c r="R25" i="12"/>
  <c r="R25" i="10"/>
  <c r="U19" i="5"/>
  <c r="R25" i="14"/>
  <c r="AA23" i="13"/>
  <c r="AA23" i="9"/>
  <c r="AA23" i="2"/>
  <c r="AC87" i="5"/>
  <c r="AA23" i="12"/>
  <c r="AC52" i="5"/>
  <c r="AD17" i="5"/>
  <c r="AA23" i="10"/>
  <c r="AA23" i="14"/>
  <c r="AC20" i="14"/>
  <c r="AC20" i="12"/>
  <c r="AC20" i="10"/>
  <c r="AC20" i="9"/>
  <c r="AC20" i="2"/>
  <c r="AF14" i="5"/>
  <c r="AC20" i="13"/>
  <c r="AE49" i="5"/>
  <c r="AE84" i="5"/>
  <c r="Z23" i="5"/>
  <c r="W29" i="12"/>
  <c r="Y58" i="5"/>
  <c r="W29" i="10"/>
  <c r="W29" i="9"/>
  <c r="W29" i="13"/>
  <c r="W29" i="14"/>
  <c r="W29" i="2"/>
  <c r="Y93" i="5"/>
  <c r="AB33" i="2"/>
  <c r="AB33" i="12"/>
  <c r="AB33" i="9"/>
  <c r="AB33" i="14"/>
  <c r="AD62" i="5"/>
  <c r="AB33" i="13"/>
  <c r="AB33" i="10"/>
  <c r="AD97" i="5"/>
  <c r="AE27" i="5"/>
  <c r="P38" i="10"/>
  <c r="S32" i="5"/>
  <c r="P38" i="9"/>
  <c r="P38" i="2"/>
  <c r="P38" i="14"/>
  <c r="R102" i="5"/>
  <c r="R67" i="5"/>
  <c r="P38" i="12"/>
  <c r="P38" i="13"/>
  <c r="O41" i="13"/>
  <c r="O41" i="2"/>
  <c r="Q105" i="5"/>
  <c r="O41" i="14"/>
  <c r="O41" i="10"/>
  <c r="O41" i="9"/>
  <c r="O41" i="12"/>
  <c r="Q70" i="5"/>
  <c r="W39" i="10"/>
  <c r="W39" i="2"/>
  <c r="W39" i="12"/>
  <c r="Y103" i="5"/>
  <c r="Y68" i="5"/>
  <c r="W39" i="9"/>
  <c r="Z33" i="5"/>
  <c r="W39" i="13"/>
  <c r="W39" i="14"/>
  <c r="V86" i="5"/>
  <c r="T22" i="14"/>
  <c r="T22" i="9"/>
  <c r="T22" i="10"/>
  <c r="T22" i="2"/>
  <c r="T22" i="13"/>
  <c r="V51" i="5"/>
  <c r="T22" i="12"/>
  <c r="W16" i="5"/>
  <c r="O18" i="13"/>
  <c r="O18" i="2"/>
  <c r="R12" i="5"/>
  <c r="Q47" i="5"/>
  <c r="O18" i="10"/>
  <c r="Q82" i="5"/>
  <c r="O18" i="12"/>
  <c r="O18" i="9"/>
  <c r="O18" i="14"/>
  <c r="P28" i="14"/>
  <c r="R57" i="5"/>
  <c r="R92" i="5"/>
  <c r="S22" i="5"/>
  <c r="P28" i="10"/>
  <c r="P28" i="9"/>
  <c r="P28" i="13"/>
  <c r="P28" i="2"/>
  <c r="P28" i="12"/>
  <c r="AD30" i="2"/>
  <c r="AD30" i="12"/>
  <c r="AD30" i="9"/>
  <c r="Q25" i="5"/>
  <c r="AD30" i="13"/>
  <c r="AD30" i="14"/>
  <c r="AF59" i="5"/>
  <c r="AD30" i="10"/>
  <c r="AF94" i="5"/>
  <c r="S35" i="14"/>
  <c r="S35" i="12"/>
  <c r="S35" i="9"/>
  <c r="S35" i="10"/>
  <c r="S35" i="2"/>
  <c r="U64" i="5"/>
  <c r="U99" i="5"/>
  <c r="V29" i="5"/>
  <c r="S35" i="13"/>
  <c r="P18" i="13" l="1"/>
  <c r="P18" i="9"/>
  <c r="S12" i="5"/>
  <c r="P18" i="12"/>
  <c r="P18" i="10"/>
  <c r="R82" i="5"/>
  <c r="R47" i="5"/>
  <c r="P18" i="2"/>
  <c r="P18" i="14"/>
  <c r="X29" i="10"/>
  <c r="Z58" i="5"/>
  <c r="AA23" i="5"/>
  <c r="X29" i="14"/>
  <c r="X29" i="9"/>
  <c r="X29" i="2"/>
  <c r="Z93" i="5"/>
  <c r="X29" i="12"/>
  <c r="X29" i="13"/>
  <c r="X39" i="10"/>
  <c r="Z68" i="5"/>
  <c r="X39" i="14"/>
  <c r="Z103" i="5"/>
  <c r="X39" i="12"/>
  <c r="X39" i="2"/>
  <c r="AA33" i="5"/>
  <c r="X39" i="13"/>
  <c r="X39" i="9"/>
  <c r="AC33" i="12"/>
  <c r="AC33" i="2"/>
  <c r="AF27" i="5"/>
  <c r="AE62" i="5"/>
  <c r="AC33" i="9"/>
  <c r="AC33" i="14"/>
  <c r="AC33" i="10"/>
  <c r="AE97" i="5"/>
  <c r="AC33" i="13"/>
  <c r="V64" i="5"/>
  <c r="W29" i="5"/>
  <c r="T35" i="9"/>
  <c r="T35" i="10"/>
  <c r="T35" i="12"/>
  <c r="T35" i="14"/>
  <c r="T35" i="2"/>
  <c r="T35" i="13"/>
  <c r="V99" i="5"/>
  <c r="Y83" i="5"/>
  <c r="W19" i="13"/>
  <c r="W19" i="10"/>
  <c r="W19" i="9"/>
  <c r="Y48" i="5"/>
  <c r="W19" i="12"/>
  <c r="W19" i="2"/>
  <c r="Z13" i="5"/>
  <c r="W19" i="14"/>
  <c r="V32" i="14"/>
  <c r="V32" i="2"/>
  <c r="Y26" i="5"/>
  <c r="V32" i="10"/>
  <c r="X61" i="5"/>
  <c r="V32" i="12"/>
  <c r="X96" i="5"/>
  <c r="V32" i="9"/>
  <c r="V32" i="13"/>
  <c r="Z16" i="14"/>
  <c r="Z16" i="10"/>
  <c r="Z16" i="9"/>
  <c r="AC10" i="5"/>
  <c r="AB80" i="5"/>
  <c r="AB45" i="5"/>
  <c r="Z16" i="13"/>
  <c r="Z16" i="12"/>
  <c r="Z16" i="2"/>
  <c r="W51" i="5"/>
  <c r="U22" i="13"/>
  <c r="U22" i="9"/>
  <c r="W86" i="5"/>
  <c r="U22" i="12"/>
  <c r="U22" i="14"/>
  <c r="U22" i="10"/>
  <c r="U22" i="2"/>
  <c r="X16" i="5"/>
  <c r="Z26" i="14"/>
  <c r="Z26" i="10"/>
  <c r="Z26" i="9"/>
  <c r="AB55" i="5"/>
  <c r="Z26" i="12"/>
  <c r="Z26" i="2"/>
  <c r="AC20" i="5"/>
  <c r="Z26" i="13"/>
  <c r="AB90" i="5"/>
  <c r="Q28" i="14"/>
  <c r="Q28" i="10"/>
  <c r="Q28" i="2"/>
  <c r="S92" i="5"/>
  <c r="Q28" i="12"/>
  <c r="Q28" i="9"/>
  <c r="S57" i="5"/>
  <c r="T22" i="5"/>
  <c r="Q28" i="13"/>
  <c r="S67" i="5"/>
  <c r="S102" i="5"/>
  <c r="Q38" i="9"/>
  <c r="Q38" i="10"/>
  <c r="Q38" i="13"/>
  <c r="Q38" i="2"/>
  <c r="T32" i="5"/>
  <c r="Q38" i="12"/>
  <c r="Q38" i="14"/>
  <c r="AD20" i="14"/>
  <c r="AD20" i="2"/>
  <c r="Q15" i="5"/>
  <c r="AF49" i="5"/>
  <c r="AD20" i="13"/>
  <c r="AD20" i="9"/>
  <c r="R35" i="5"/>
  <c r="AD20" i="10"/>
  <c r="AF84" i="5"/>
  <c r="AD20" i="12"/>
  <c r="AD52" i="5"/>
  <c r="AB23" i="13"/>
  <c r="AB23" i="2"/>
  <c r="AB23" i="12"/>
  <c r="AB23" i="10"/>
  <c r="AE17" i="5"/>
  <c r="AB23" i="14"/>
  <c r="AD87" i="5"/>
  <c r="AB23" i="9"/>
  <c r="S25" i="2"/>
  <c r="S25" i="12"/>
  <c r="S25" i="10"/>
  <c r="V19" i="5"/>
  <c r="S25" i="13"/>
  <c r="S25" i="14"/>
  <c r="U54" i="5"/>
  <c r="U89" i="5"/>
  <c r="S25" i="9"/>
  <c r="O31" i="13"/>
  <c r="O31" i="12"/>
  <c r="O31" i="14"/>
  <c r="O31" i="9"/>
  <c r="R25" i="5"/>
  <c r="O31" i="10"/>
  <c r="O31" i="2"/>
  <c r="Q60" i="5"/>
  <c r="Q95" i="5"/>
  <c r="AA36" i="13"/>
  <c r="AA36" i="2"/>
  <c r="AC65" i="5"/>
  <c r="AC100" i="5"/>
  <c r="AA36" i="12"/>
  <c r="AA36" i="9"/>
  <c r="AD30" i="5"/>
  <c r="AA36" i="10"/>
  <c r="AA36" i="14"/>
  <c r="R28" i="10" l="1"/>
  <c r="R28" i="14"/>
  <c r="R28" i="13"/>
  <c r="T57" i="5"/>
  <c r="R28" i="12"/>
  <c r="R28" i="2"/>
  <c r="T92" i="5"/>
  <c r="U22" i="5"/>
  <c r="R28" i="9"/>
  <c r="W99" i="5"/>
  <c r="U35" i="12"/>
  <c r="U35" i="2"/>
  <c r="U35" i="13"/>
  <c r="U35" i="9"/>
  <c r="W64" i="5"/>
  <c r="X29" i="5"/>
  <c r="U35" i="14"/>
  <c r="U35" i="10"/>
  <c r="AD33" i="10"/>
  <c r="AF97" i="5"/>
  <c r="AD33" i="14"/>
  <c r="AD33" i="13"/>
  <c r="AF62" i="5"/>
  <c r="AD33" i="12"/>
  <c r="AD33" i="9"/>
  <c r="AD33" i="2"/>
  <c r="Q28" i="5"/>
  <c r="O21" i="12"/>
  <c r="Q50" i="5"/>
  <c r="O21" i="14"/>
  <c r="Q85" i="5"/>
  <c r="R15" i="5"/>
  <c r="O21" i="10"/>
  <c r="O21" i="9"/>
  <c r="O21" i="2"/>
  <c r="O21" i="13"/>
  <c r="V22" i="2"/>
  <c r="V22" i="14"/>
  <c r="X86" i="5"/>
  <c r="V22" i="10"/>
  <c r="V22" i="12"/>
  <c r="X51" i="5"/>
  <c r="V22" i="13"/>
  <c r="Y16" i="5"/>
  <c r="V22" i="9"/>
  <c r="AA16" i="14"/>
  <c r="AA16" i="2"/>
  <c r="AC45" i="5"/>
  <c r="AD10" i="5"/>
  <c r="AA16" i="12"/>
  <c r="AC80" i="5"/>
  <c r="AA16" i="10"/>
  <c r="AA16" i="13"/>
  <c r="AA16" i="9"/>
  <c r="Z48" i="5"/>
  <c r="X19" i="2"/>
  <c r="AA13" i="5"/>
  <c r="Z83" i="5"/>
  <c r="X19" i="13"/>
  <c r="X19" i="10"/>
  <c r="X19" i="9"/>
  <c r="X19" i="12"/>
  <c r="X19" i="14"/>
  <c r="T67" i="5"/>
  <c r="T102" i="5"/>
  <c r="R38" i="2"/>
  <c r="R38" i="9"/>
  <c r="U32" i="5"/>
  <c r="R38" i="12"/>
  <c r="R38" i="14"/>
  <c r="R38" i="13"/>
  <c r="R38" i="10"/>
  <c r="AA26" i="10"/>
  <c r="AC55" i="5"/>
  <c r="AA26" i="13"/>
  <c r="AD20" i="5"/>
  <c r="AA26" i="14"/>
  <c r="AA26" i="2"/>
  <c r="AA26" i="12"/>
  <c r="AA26" i="9"/>
  <c r="AC90" i="5"/>
  <c r="Y61" i="5"/>
  <c r="W32" i="9"/>
  <c r="Y96" i="5"/>
  <c r="W32" i="13"/>
  <c r="W32" i="12"/>
  <c r="W32" i="10"/>
  <c r="W32" i="2"/>
  <c r="Z26" i="5"/>
  <c r="W32" i="14"/>
  <c r="AB36" i="9"/>
  <c r="AB36" i="14"/>
  <c r="AB36" i="2"/>
  <c r="AB36" i="12"/>
  <c r="AB36" i="10"/>
  <c r="AD65" i="5"/>
  <c r="AE30" i="5"/>
  <c r="AB36" i="13"/>
  <c r="AD100" i="5"/>
  <c r="P31" i="10"/>
  <c r="P31" i="12"/>
  <c r="S25" i="5"/>
  <c r="R60" i="5"/>
  <c r="R95" i="5"/>
  <c r="P31" i="13"/>
  <c r="P31" i="9"/>
  <c r="P31" i="14"/>
  <c r="P31" i="2"/>
  <c r="Y29" i="10"/>
  <c r="Y29" i="9"/>
  <c r="AA58" i="5"/>
  <c r="Y29" i="13"/>
  <c r="Y29" i="12"/>
  <c r="Y29" i="2"/>
  <c r="Y29" i="14"/>
  <c r="AB23" i="5"/>
  <c r="AA93" i="5"/>
  <c r="AC23" i="12"/>
  <c r="AC23" i="14"/>
  <c r="AF17" i="5"/>
  <c r="AC23" i="13"/>
  <c r="AC23" i="10"/>
  <c r="AC23" i="2"/>
  <c r="AE52" i="5"/>
  <c r="AE87" i="5"/>
  <c r="AC23" i="9"/>
  <c r="T25" i="13"/>
  <c r="T25" i="14"/>
  <c r="T25" i="10"/>
  <c r="V54" i="5"/>
  <c r="W19" i="5"/>
  <c r="V89" i="5"/>
  <c r="T25" i="12"/>
  <c r="T25" i="2"/>
  <c r="T25" i="9"/>
  <c r="S35" i="5"/>
  <c r="P41" i="12"/>
  <c r="R105" i="5"/>
  <c r="P41" i="14"/>
  <c r="P41" i="13"/>
  <c r="P41" i="10"/>
  <c r="P41" i="2"/>
  <c r="R70" i="5"/>
  <c r="P41" i="9"/>
  <c r="AA103" i="5"/>
  <c r="Y39" i="13"/>
  <c r="Y39" i="9"/>
  <c r="Y39" i="12"/>
  <c r="Y39" i="10"/>
  <c r="Y39" i="2"/>
  <c r="Y39" i="14"/>
  <c r="AB33" i="5"/>
  <c r="AA68" i="5"/>
  <c r="Q18" i="12"/>
  <c r="S47" i="5"/>
  <c r="S82" i="5"/>
  <c r="T12" i="5"/>
  <c r="Q18" i="13"/>
  <c r="Q18" i="2"/>
  <c r="Q18" i="9"/>
  <c r="Q18" i="10"/>
  <c r="Q18" i="14"/>
  <c r="T47" i="5" l="1"/>
  <c r="R18" i="13"/>
  <c r="R18" i="12"/>
  <c r="R18" i="10"/>
  <c r="T82" i="5"/>
  <c r="R18" i="9"/>
  <c r="R18" i="2"/>
  <c r="U12" i="5"/>
  <c r="R18" i="14"/>
  <c r="Z96" i="5"/>
  <c r="X32" i="9"/>
  <c r="X32" i="14"/>
  <c r="X32" i="13"/>
  <c r="X32" i="2"/>
  <c r="X32" i="10"/>
  <c r="AA26" i="5"/>
  <c r="Z61" i="5"/>
  <c r="X32" i="12"/>
  <c r="O34" i="2"/>
  <c r="R28" i="5"/>
  <c r="O34" i="13"/>
  <c r="O34" i="12"/>
  <c r="O34" i="10"/>
  <c r="Q63" i="5"/>
  <c r="Q98" i="5"/>
  <c r="O34" i="9"/>
  <c r="O34" i="14"/>
  <c r="Q18" i="5"/>
  <c r="AD23" i="13"/>
  <c r="AD23" i="12"/>
  <c r="AF87" i="5"/>
  <c r="AD23" i="2"/>
  <c r="AD23" i="10"/>
  <c r="AD23" i="9"/>
  <c r="AD23" i="14"/>
  <c r="AF52" i="5"/>
  <c r="Q31" i="9"/>
  <c r="Q31" i="12"/>
  <c r="Q31" i="13"/>
  <c r="T25" i="5"/>
  <c r="S95" i="5"/>
  <c r="Q31" i="10"/>
  <c r="Q31" i="2"/>
  <c r="S60" i="5"/>
  <c r="Q31" i="14"/>
  <c r="AB26" i="2"/>
  <c r="AD55" i="5"/>
  <c r="AE20" i="5"/>
  <c r="AD90" i="5"/>
  <c r="AB26" i="14"/>
  <c r="AB26" i="13"/>
  <c r="AB26" i="12"/>
  <c r="AB26" i="9"/>
  <c r="AB26" i="10"/>
  <c r="Z29" i="13"/>
  <c r="Z29" i="10"/>
  <c r="AC23" i="5"/>
  <c r="Z29" i="12"/>
  <c r="Z29" i="9"/>
  <c r="Z29" i="14"/>
  <c r="Z29" i="2"/>
  <c r="AB93" i="5"/>
  <c r="AB58" i="5"/>
  <c r="Y19" i="2"/>
  <c r="AB13" i="5"/>
  <c r="Y19" i="9"/>
  <c r="Y19" i="10"/>
  <c r="AA83" i="5"/>
  <c r="AA48" i="5"/>
  <c r="Y19" i="12"/>
  <c r="Y19" i="13"/>
  <c r="Y19" i="14"/>
  <c r="AB16" i="10"/>
  <c r="AE10" i="5"/>
  <c r="AD80" i="5"/>
  <c r="AB16" i="14"/>
  <c r="AB16" i="12"/>
  <c r="AB16" i="9"/>
  <c r="AB16" i="13"/>
  <c r="AB16" i="2"/>
  <c r="AD45" i="5"/>
  <c r="S70" i="5"/>
  <c r="Q41" i="14"/>
  <c r="Q41" i="13"/>
  <c r="Q41" i="10"/>
  <c r="S105" i="5"/>
  <c r="T35" i="5"/>
  <c r="Q41" i="12"/>
  <c r="Q41" i="9"/>
  <c r="Q41" i="2"/>
  <c r="W22" i="13"/>
  <c r="W22" i="10"/>
  <c r="W22" i="9"/>
  <c r="W22" i="2"/>
  <c r="W22" i="12"/>
  <c r="Y51" i="5"/>
  <c r="W22" i="14"/>
  <c r="Z16" i="5"/>
  <c r="Y86" i="5"/>
  <c r="W89" i="5"/>
  <c r="U25" i="9"/>
  <c r="U25" i="13"/>
  <c r="U25" i="14"/>
  <c r="U25" i="10"/>
  <c r="U25" i="2"/>
  <c r="W54" i="5"/>
  <c r="X19" i="5"/>
  <c r="U25" i="12"/>
  <c r="P21" i="14"/>
  <c r="P21" i="13"/>
  <c r="P21" i="9"/>
  <c r="P21" i="12"/>
  <c r="S15" i="5"/>
  <c r="P21" i="10"/>
  <c r="P21" i="2"/>
  <c r="R85" i="5"/>
  <c r="R50" i="5"/>
  <c r="V35" i="10"/>
  <c r="V35" i="13"/>
  <c r="V35" i="14"/>
  <c r="V35" i="9"/>
  <c r="V35" i="2"/>
  <c r="Y29" i="5"/>
  <c r="X64" i="5"/>
  <c r="V35" i="12"/>
  <c r="X99" i="5"/>
  <c r="S28" i="12"/>
  <c r="U57" i="5"/>
  <c r="S28" i="9"/>
  <c r="U92" i="5"/>
  <c r="V22" i="5"/>
  <c r="S28" i="13"/>
  <c r="S28" i="10"/>
  <c r="S28" i="2"/>
  <c r="S28" i="14"/>
  <c r="AE100" i="5"/>
  <c r="AC36" i="10"/>
  <c r="AE65" i="5"/>
  <c r="AC36" i="9"/>
  <c r="AC36" i="12"/>
  <c r="AC36" i="2"/>
  <c r="AF30" i="5"/>
  <c r="AC36" i="13"/>
  <c r="AC36" i="14"/>
  <c r="S38" i="13"/>
  <c r="V32" i="5"/>
  <c r="U67" i="5"/>
  <c r="S38" i="10"/>
  <c r="S38" i="2"/>
  <c r="S38" i="9"/>
  <c r="U102" i="5"/>
  <c r="S38" i="12"/>
  <c r="S38" i="14"/>
  <c r="Z39" i="12"/>
  <c r="Z39" i="2"/>
  <c r="AB68" i="5"/>
  <c r="Z39" i="13"/>
  <c r="AB103" i="5"/>
  <c r="AC33" i="5"/>
  <c r="Z39" i="14"/>
  <c r="Z39" i="10"/>
  <c r="Z39" i="9"/>
  <c r="AA39" i="2" l="1"/>
  <c r="AD33" i="5"/>
  <c r="AC103" i="5"/>
  <c r="AA39" i="13"/>
  <c r="AC68" i="5"/>
  <c r="AA39" i="10"/>
  <c r="AA39" i="9"/>
  <c r="AA39" i="12"/>
  <c r="AA39" i="14"/>
  <c r="AF65" i="5"/>
  <c r="AD36" i="2"/>
  <c r="AF36" i="2" s="1"/>
  <c r="AD36" i="14"/>
  <c r="AF36" i="14" s="1"/>
  <c r="Q31" i="5"/>
  <c r="AD36" i="13"/>
  <c r="AF36" i="13" s="1"/>
  <c r="AF100" i="5"/>
  <c r="AD36" i="12"/>
  <c r="AF36" i="12" s="1"/>
  <c r="AD36" i="9"/>
  <c r="AF36" i="9" s="1"/>
  <c r="AD36" i="10"/>
  <c r="AF36" i="10" s="1"/>
  <c r="U35" i="5"/>
  <c r="R41" i="9"/>
  <c r="R41" i="12"/>
  <c r="R41" i="14"/>
  <c r="R41" i="13"/>
  <c r="R41" i="10"/>
  <c r="R41" i="2"/>
  <c r="T105" i="5"/>
  <c r="T70" i="5"/>
  <c r="Y32" i="12"/>
  <c r="Y32" i="10"/>
  <c r="Y32" i="9"/>
  <c r="Y32" i="13"/>
  <c r="AA61" i="5"/>
  <c r="AA96" i="5"/>
  <c r="Y32" i="2"/>
  <c r="AB26" i="5"/>
  <c r="Y32" i="14"/>
  <c r="S18" i="10"/>
  <c r="S18" i="2"/>
  <c r="U82" i="5"/>
  <c r="V12" i="5"/>
  <c r="U47" i="5"/>
  <c r="S18" i="9"/>
  <c r="S18" i="12"/>
  <c r="S18" i="13"/>
  <c r="S18" i="14"/>
  <c r="W22" i="5"/>
  <c r="T28" i="10"/>
  <c r="V57" i="5"/>
  <c r="T28" i="13"/>
  <c r="T28" i="14"/>
  <c r="T28" i="12"/>
  <c r="T28" i="9"/>
  <c r="T28" i="2"/>
  <c r="V92" i="5"/>
  <c r="Z29" i="5"/>
  <c r="W35" i="14"/>
  <c r="W35" i="13"/>
  <c r="W35" i="12"/>
  <c r="W35" i="9"/>
  <c r="W35" i="10"/>
  <c r="W35" i="2"/>
  <c r="Y64" i="5"/>
  <c r="Y99" i="5"/>
  <c r="T38" i="9"/>
  <c r="T38" i="10"/>
  <c r="V102" i="5"/>
  <c r="T38" i="2"/>
  <c r="W32" i="5"/>
  <c r="V67" i="5"/>
  <c r="T38" i="14"/>
  <c r="T38" i="13"/>
  <c r="T38" i="12"/>
  <c r="V25" i="14"/>
  <c r="V25" i="12"/>
  <c r="V25" i="10"/>
  <c r="V25" i="9"/>
  <c r="X89" i="5"/>
  <c r="V25" i="2"/>
  <c r="Y19" i="5"/>
  <c r="X54" i="5"/>
  <c r="V25" i="13"/>
  <c r="R18" i="5"/>
  <c r="O24" i="14"/>
  <c r="O24" i="12"/>
  <c r="O24" i="10"/>
  <c r="O24" i="2"/>
  <c r="O24" i="9"/>
  <c r="O24" i="13"/>
  <c r="Q53" i="5"/>
  <c r="Q88" i="5"/>
  <c r="P34" i="12"/>
  <c r="P34" i="10"/>
  <c r="P34" i="9"/>
  <c r="R98" i="5"/>
  <c r="P34" i="2"/>
  <c r="R63" i="5"/>
  <c r="P34" i="13"/>
  <c r="P34" i="14"/>
  <c r="S28" i="5"/>
  <c r="Q21" i="9"/>
  <c r="S50" i="5"/>
  <c r="T15" i="5"/>
  <c r="Q21" i="14"/>
  <c r="S85" i="5"/>
  <c r="Q21" i="12"/>
  <c r="Q21" i="2"/>
  <c r="Q21" i="10"/>
  <c r="Q21" i="13"/>
  <c r="X22" i="10"/>
  <c r="X22" i="9"/>
  <c r="X22" i="2"/>
  <c r="Z86" i="5"/>
  <c r="Z51" i="5"/>
  <c r="X22" i="14"/>
  <c r="X22" i="13"/>
  <c r="AA16" i="5"/>
  <c r="X22" i="12"/>
  <c r="AC16" i="13"/>
  <c r="AC16" i="12"/>
  <c r="AE45" i="5"/>
  <c r="AE80" i="5"/>
  <c r="AF10" i="5"/>
  <c r="AC16" i="10"/>
  <c r="AC16" i="9"/>
  <c r="AC16" i="2"/>
  <c r="AC16" i="14"/>
  <c r="Z19" i="2"/>
  <c r="AB83" i="5"/>
  <c r="AC13" i="5"/>
  <c r="Z19" i="13"/>
  <c r="AB48" i="5"/>
  <c r="Z19" i="12"/>
  <c r="Z19" i="10"/>
  <c r="Z19" i="9"/>
  <c r="Z19" i="14"/>
  <c r="AC93" i="5"/>
  <c r="AA29" i="14"/>
  <c r="AA29" i="13"/>
  <c r="AA29" i="10"/>
  <c r="AA29" i="9"/>
  <c r="AC58" i="5"/>
  <c r="AA29" i="2"/>
  <c r="AD23" i="5"/>
  <c r="AA29" i="12"/>
  <c r="AC26" i="10"/>
  <c r="AF20" i="5"/>
  <c r="AC26" i="9"/>
  <c r="AC26" i="13"/>
  <c r="AC26" i="2"/>
  <c r="AC26" i="14"/>
  <c r="AE55" i="5"/>
  <c r="AE90" i="5"/>
  <c r="AC26" i="12"/>
  <c r="R31" i="14"/>
  <c r="U25" i="5"/>
  <c r="R31" i="13"/>
  <c r="R31" i="10"/>
  <c r="R31" i="9"/>
  <c r="T95" i="5"/>
  <c r="T60" i="5"/>
  <c r="R31" i="2"/>
  <c r="R31" i="12"/>
  <c r="U95" i="5" l="1"/>
  <c r="S31" i="13"/>
  <c r="S31" i="9"/>
  <c r="U60" i="5"/>
  <c r="S31" i="14"/>
  <c r="V25" i="5"/>
  <c r="S31" i="12"/>
  <c r="S31" i="10"/>
  <c r="S31" i="2"/>
  <c r="AD26" i="12"/>
  <c r="AF26" i="12" s="1"/>
  <c r="AD26" i="2"/>
  <c r="AF26" i="2" s="1"/>
  <c r="AD26" i="14"/>
  <c r="AF26" i="14" s="1"/>
  <c r="AD26" i="10"/>
  <c r="AF26" i="10" s="1"/>
  <c r="AD26" i="9"/>
  <c r="AF26" i="9" s="1"/>
  <c r="AD26" i="13"/>
  <c r="AF26" i="13" s="1"/>
  <c r="AF90" i="5"/>
  <c r="Q21" i="5"/>
  <c r="AF55" i="5"/>
  <c r="Y22" i="14"/>
  <c r="Y22" i="13"/>
  <c r="Y22" i="2"/>
  <c r="Y22" i="12"/>
  <c r="AA86" i="5"/>
  <c r="AA51" i="5"/>
  <c r="AB16" i="5"/>
  <c r="Y22" i="10"/>
  <c r="Y22" i="9"/>
  <c r="W12" i="5"/>
  <c r="V47" i="5"/>
  <c r="T18" i="12"/>
  <c r="T18" i="10"/>
  <c r="T18" i="2"/>
  <c r="T18" i="13"/>
  <c r="T18" i="9"/>
  <c r="V82" i="5"/>
  <c r="T18" i="14"/>
  <c r="O37" i="13"/>
  <c r="O37" i="10"/>
  <c r="O37" i="14"/>
  <c r="O37" i="12"/>
  <c r="Q101" i="5"/>
  <c r="O37" i="2"/>
  <c r="Q66" i="5"/>
  <c r="O37" i="9"/>
  <c r="X32" i="5"/>
  <c r="W102" i="5"/>
  <c r="U38" i="13"/>
  <c r="W67" i="5"/>
  <c r="U38" i="14"/>
  <c r="U38" i="9"/>
  <c r="U38" i="2"/>
  <c r="U38" i="12"/>
  <c r="U38" i="10"/>
  <c r="X35" i="12"/>
  <c r="X35" i="13"/>
  <c r="X35" i="14"/>
  <c r="X35" i="9"/>
  <c r="X35" i="2"/>
  <c r="X35" i="10"/>
  <c r="Z99" i="5"/>
  <c r="Z64" i="5"/>
  <c r="AA29" i="5"/>
  <c r="S41" i="14"/>
  <c r="S41" i="2"/>
  <c r="S41" i="9"/>
  <c r="U70" i="5"/>
  <c r="S41" i="13"/>
  <c r="V35" i="5"/>
  <c r="S41" i="12"/>
  <c r="S41" i="10"/>
  <c r="U105" i="5"/>
  <c r="AD16" i="12"/>
  <c r="AF16" i="12" s="1"/>
  <c r="AD16" i="10"/>
  <c r="AF16" i="10" s="1"/>
  <c r="AF45" i="5"/>
  <c r="AD16" i="2"/>
  <c r="AF16" i="2" s="1"/>
  <c r="R31" i="5"/>
  <c r="AF80" i="5"/>
  <c r="Q11" i="5"/>
  <c r="AD16" i="14"/>
  <c r="AF16" i="14" s="1"/>
  <c r="AD16" i="13"/>
  <c r="AF16" i="13" s="1"/>
  <c r="AD16" i="9"/>
  <c r="AF16" i="9" s="1"/>
  <c r="S98" i="5"/>
  <c r="Q34" i="13"/>
  <c r="Q34" i="12"/>
  <c r="Q34" i="10"/>
  <c r="Q34" i="9"/>
  <c r="S63" i="5"/>
  <c r="Q34" i="14"/>
  <c r="T28" i="5"/>
  <c r="Q34" i="2"/>
  <c r="U28" i="13"/>
  <c r="U28" i="9"/>
  <c r="U28" i="12"/>
  <c r="W92" i="5"/>
  <c r="U28" i="2"/>
  <c r="W57" i="5"/>
  <c r="X22" i="5"/>
  <c r="U28" i="14"/>
  <c r="U28" i="10"/>
  <c r="AC83" i="5"/>
  <c r="AA19" i="9"/>
  <c r="AD13" i="5"/>
  <c r="AA19" i="13"/>
  <c r="AA19" i="12"/>
  <c r="AA19" i="10"/>
  <c r="AA19" i="2"/>
  <c r="AC48" i="5"/>
  <c r="AA19" i="14"/>
  <c r="P24" i="9"/>
  <c r="R53" i="5"/>
  <c r="P24" i="12"/>
  <c r="S18" i="5"/>
  <c r="P24" i="14"/>
  <c r="R88" i="5"/>
  <c r="P24" i="10"/>
  <c r="P24" i="13"/>
  <c r="P24" i="2"/>
  <c r="AD68" i="5"/>
  <c r="AB39" i="14"/>
  <c r="AE33" i="5"/>
  <c r="AB39" i="12"/>
  <c r="AB39" i="9"/>
  <c r="AB39" i="2"/>
  <c r="AD103" i="5"/>
  <c r="AB39" i="10"/>
  <c r="AB39" i="13"/>
  <c r="AD58" i="5"/>
  <c r="AB29" i="12"/>
  <c r="AB29" i="13"/>
  <c r="AB29" i="10"/>
  <c r="AB29" i="9"/>
  <c r="AB29" i="2"/>
  <c r="AD93" i="5"/>
  <c r="AE23" i="5"/>
  <c r="AB29" i="14"/>
  <c r="AC26" i="5"/>
  <c r="Z32" i="14"/>
  <c r="Z32" i="12"/>
  <c r="AB96" i="5"/>
  <c r="Z32" i="10"/>
  <c r="Z32" i="9"/>
  <c r="Z32" i="13"/>
  <c r="Z32" i="2"/>
  <c r="AB61" i="5"/>
  <c r="R21" i="12"/>
  <c r="R21" i="10"/>
  <c r="T85" i="5"/>
  <c r="R21" i="9"/>
  <c r="R21" i="13"/>
  <c r="R21" i="14"/>
  <c r="T50" i="5"/>
  <c r="R21" i="2"/>
  <c r="U15" i="5"/>
  <c r="W25" i="2"/>
  <c r="W25" i="14"/>
  <c r="Y54" i="5"/>
  <c r="W25" i="13"/>
  <c r="W25" i="12"/>
  <c r="Y89" i="5"/>
  <c r="W25" i="9"/>
  <c r="Z19" i="5"/>
  <c r="W25" i="10"/>
  <c r="X102" i="5" l="1"/>
  <c r="X67" i="5"/>
  <c r="V38" i="14"/>
  <c r="V38" i="13"/>
  <c r="Y32" i="5"/>
  <c r="V38" i="12"/>
  <c r="V38" i="10"/>
  <c r="V38" i="2"/>
  <c r="V38" i="9"/>
  <c r="R66" i="5"/>
  <c r="P37" i="13"/>
  <c r="P37" i="12"/>
  <c r="P37" i="9"/>
  <c r="P37" i="14"/>
  <c r="P37" i="10"/>
  <c r="R101" i="5"/>
  <c r="S31" i="5"/>
  <c r="P37" i="2"/>
  <c r="T41" i="14"/>
  <c r="T41" i="2"/>
  <c r="V105" i="5"/>
  <c r="T41" i="12"/>
  <c r="T41" i="13"/>
  <c r="T41" i="10"/>
  <c r="W35" i="5"/>
  <c r="V70" i="5"/>
  <c r="T41" i="9"/>
  <c r="W47" i="5"/>
  <c r="U18" i="9"/>
  <c r="U18" i="13"/>
  <c r="U18" i="12"/>
  <c r="U18" i="2"/>
  <c r="W82" i="5"/>
  <c r="X12" i="5"/>
  <c r="U18" i="10"/>
  <c r="U18" i="14"/>
  <c r="V28" i="2"/>
  <c r="X92" i="5"/>
  <c r="V28" i="14"/>
  <c r="V28" i="12"/>
  <c r="V28" i="9"/>
  <c r="Y22" i="5"/>
  <c r="V28" i="10"/>
  <c r="V28" i="13"/>
  <c r="X57" i="5"/>
  <c r="T98" i="5"/>
  <c r="R34" i="13"/>
  <c r="R34" i="12"/>
  <c r="R34" i="10"/>
  <c r="R34" i="2"/>
  <c r="T63" i="5"/>
  <c r="U28" i="5"/>
  <c r="R34" i="14"/>
  <c r="R34" i="9"/>
  <c r="Z22" i="10"/>
  <c r="Z22" i="2"/>
  <c r="Z22" i="14"/>
  <c r="Z22" i="13"/>
  <c r="Z22" i="9"/>
  <c r="Z22" i="12"/>
  <c r="AB86" i="5"/>
  <c r="AC16" i="5"/>
  <c r="AB51" i="5"/>
  <c r="O27" i="10"/>
  <c r="O27" i="9"/>
  <c r="O27" i="12"/>
  <c r="O27" i="14"/>
  <c r="O27" i="2"/>
  <c r="O27" i="13"/>
  <c r="Q91" i="5"/>
  <c r="Q56" i="5"/>
  <c r="R21" i="5"/>
  <c r="AA32" i="12"/>
  <c r="AA32" i="9"/>
  <c r="AA32" i="2"/>
  <c r="AC61" i="5"/>
  <c r="AA32" i="10"/>
  <c r="AD26" i="5"/>
  <c r="AC96" i="5"/>
  <c r="AA32" i="14"/>
  <c r="AA32" i="13"/>
  <c r="AC39" i="9"/>
  <c r="AC39" i="2"/>
  <c r="AF33" i="5"/>
  <c r="AE103" i="5"/>
  <c r="AE68" i="5"/>
  <c r="AC39" i="14"/>
  <c r="AC39" i="13"/>
  <c r="AC39" i="12"/>
  <c r="AC39" i="10"/>
  <c r="Q24" i="13"/>
  <c r="T18" i="5"/>
  <c r="Q24" i="12"/>
  <c r="Q24" i="10"/>
  <c r="S53" i="5"/>
  <c r="S88" i="5"/>
  <c r="Q24" i="14"/>
  <c r="Q24" i="2"/>
  <c r="Q24" i="9"/>
  <c r="X25" i="10"/>
  <c r="X25" i="12"/>
  <c r="X25" i="2"/>
  <c r="Z54" i="5"/>
  <c r="Z89" i="5"/>
  <c r="X25" i="14"/>
  <c r="X25" i="9"/>
  <c r="X25" i="13"/>
  <c r="AA19" i="5"/>
  <c r="U85" i="5"/>
  <c r="V15" i="5"/>
  <c r="S21" i="9"/>
  <c r="S21" i="10"/>
  <c r="S21" i="14"/>
  <c r="S21" i="2"/>
  <c r="S21" i="13"/>
  <c r="S21" i="12"/>
  <c r="U50" i="5"/>
  <c r="AE58" i="5"/>
  <c r="AC29" i="9"/>
  <c r="AC29" i="2"/>
  <c r="AE93" i="5"/>
  <c r="AF23" i="5"/>
  <c r="AC29" i="13"/>
  <c r="AC29" i="10"/>
  <c r="AC29" i="12"/>
  <c r="AC29" i="14"/>
  <c r="AB19" i="10"/>
  <c r="AB19" i="2"/>
  <c r="AB19" i="13"/>
  <c r="AD83" i="5"/>
  <c r="AB19" i="9"/>
  <c r="AE13" i="5"/>
  <c r="AB19" i="12"/>
  <c r="AD48" i="5"/>
  <c r="AB19" i="14"/>
  <c r="Q46" i="5"/>
  <c r="O17" i="13"/>
  <c r="O17" i="9"/>
  <c r="R11" i="5"/>
  <c r="O17" i="2"/>
  <c r="O17" i="12"/>
  <c r="O17" i="14"/>
  <c r="O17" i="10"/>
  <c r="Q81" i="5"/>
  <c r="Y35" i="10"/>
  <c r="Y35" i="13"/>
  <c r="AB29" i="5"/>
  <c r="Y35" i="2"/>
  <c r="Y35" i="14"/>
  <c r="Y35" i="12"/>
  <c r="Y35" i="9"/>
  <c r="AA64" i="5"/>
  <c r="AA99" i="5"/>
  <c r="T31" i="9"/>
  <c r="T31" i="2"/>
  <c r="V60" i="5"/>
  <c r="W25" i="5"/>
  <c r="T31" i="14"/>
  <c r="T31" i="13"/>
  <c r="T31" i="12"/>
  <c r="T31" i="10"/>
  <c r="V95" i="5"/>
  <c r="Y25" i="2" l="1"/>
  <c r="AA54" i="5"/>
  <c r="AB19" i="5"/>
  <c r="AA89" i="5"/>
  <c r="Y25" i="12"/>
  <c r="Y25" i="14"/>
  <c r="Y25" i="10"/>
  <c r="Y25" i="9"/>
  <c r="Y25" i="13"/>
  <c r="AB32" i="2"/>
  <c r="AB32" i="14"/>
  <c r="AB32" i="10"/>
  <c r="AD96" i="5"/>
  <c r="AD61" i="5"/>
  <c r="AB32" i="12"/>
  <c r="AB32" i="13"/>
  <c r="AB32" i="9"/>
  <c r="AE26" i="5"/>
  <c r="AA22" i="9"/>
  <c r="AA22" i="2"/>
  <c r="AC86" i="5"/>
  <c r="AD16" i="5"/>
  <c r="AA22" i="12"/>
  <c r="AA22" i="10"/>
  <c r="AC51" i="5"/>
  <c r="AA22" i="14"/>
  <c r="AA22" i="13"/>
  <c r="W15" i="5"/>
  <c r="T21" i="9"/>
  <c r="T21" i="10"/>
  <c r="T21" i="2"/>
  <c r="V50" i="5"/>
  <c r="V85" i="5"/>
  <c r="T21" i="12"/>
  <c r="T21" i="13"/>
  <c r="T21" i="14"/>
  <c r="W70" i="5"/>
  <c r="U41" i="14"/>
  <c r="U41" i="13"/>
  <c r="U41" i="12"/>
  <c r="U41" i="2"/>
  <c r="X35" i="5"/>
  <c r="U41" i="10"/>
  <c r="U41" i="9"/>
  <c r="W105" i="5"/>
  <c r="AC29" i="5"/>
  <c r="Z35" i="12"/>
  <c r="AB64" i="5"/>
  <c r="AB99" i="5"/>
  <c r="Z35" i="14"/>
  <c r="Z35" i="13"/>
  <c r="Z35" i="9"/>
  <c r="Z35" i="10"/>
  <c r="Z35" i="2"/>
  <c r="P17" i="13"/>
  <c r="P17" i="2"/>
  <c r="P17" i="9"/>
  <c r="R46" i="5"/>
  <c r="P17" i="10"/>
  <c r="S11" i="5"/>
  <c r="P17" i="12"/>
  <c r="R81" i="5"/>
  <c r="P17" i="14"/>
  <c r="R91" i="5"/>
  <c r="P27" i="12"/>
  <c r="R56" i="5"/>
  <c r="P27" i="14"/>
  <c r="P27" i="10"/>
  <c r="P27" i="2"/>
  <c r="P27" i="13"/>
  <c r="P27" i="9"/>
  <c r="S21" i="5"/>
  <c r="Q37" i="14"/>
  <c r="Q37" i="13"/>
  <c r="T31" i="5"/>
  <c r="Q37" i="10"/>
  <c r="Q37" i="9"/>
  <c r="Q37" i="2"/>
  <c r="S101" i="5"/>
  <c r="S66" i="5"/>
  <c r="Q37" i="12"/>
  <c r="U31" i="12"/>
  <c r="U31" i="13"/>
  <c r="U31" i="2"/>
  <c r="U31" i="10"/>
  <c r="U31" i="14"/>
  <c r="U31" i="9"/>
  <c r="W60" i="5"/>
  <c r="X25" i="5"/>
  <c r="W95" i="5"/>
  <c r="AF13" i="5"/>
  <c r="AE48" i="5"/>
  <c r="AC19" i="9"/>
  <c r="AE83" i="5"/>
  <c r="AC19" i="12"/>
  <c r="AC19" i="13"/>
  <c r="AC19" i="2"/>
  <c r="AC19" i="10"/>
  <c r="AC19" i="14"/>
  <c r="AD29" i="12"/>
  <c r="AF29" i="12" s="1"/>
  <c r="AD29" i="2"/>
  <c r="AF29" i="2" s="1"/>
  <c r="Q24" i="5"/>
  <c r="AF93" i="5"/>
  <c r="AF58" i="5"/>
  <c r="AD29" i="14"/>
  <c r="AF29" i="14" s="1"/>
  <c r="AD29" i="13"/>
  <c r="AF29" i="13" s="1"/>
  <c r="AD29" i="9"/>
  <c r="AF29" i="9" s="1"/>
  <c r="AD29" i="10"/>
  <c r="AF29" i="10" s="1"/>
  <c r="R24" i="12"/>
  <c r="R24" i="14"/>
  <c r="R24" i="10"/>
  <c r="T88" i="5"/>
  <c r="R24" i="13"/>
  <c r="R24" i="9"/>
  <c r="R24" i="2"/>
  <c r="U18" i="5"/>
  <c r="T53" i="5"/>
  <c r="AD39" i="9"/>
  <c r="AF39" i="9" s="1"/>
  <c r="AD39" i="2"/>
  <c r="AF39" i="2" s="1"/>
  <c r="AF103" i="5"/>
  <c r="AF68" i="5"/>
  <c r="AD39" i="12"/>
  <c r="AF39" i="12" s="1"/>
  <c r="Q34" i="5"/>
  <c r="AD39" i="14"/>
  <c r="AF39" i="14" s="1"/>
  <c r="AD39" i="13"/>
  <c r="AF39" i="13" s="1"/>
  <c r="AD39" i="10"/>
  <c r="AF39" i="10" s="1"/>
  <c r="S34" i="10"/>
  <c r="S34" i="2"/>
  <c r="S34" i="9"/>
  <c r="U98" i="5"/>
  <c r="U63" i="5"/>
  <c r="S34" i="12"/>
  <c r="S34" i="14"/>
  <c r="S34" i="13"/>
  <c r="V28" i="5"/>
  <c r="Y102" i="5"/>
  <c r="Y67" i="5"/>
  <c r="W38" i="14"/>
  <c r="W38" i="13"/>
  <c r="W38" i="12"/>
  <c r="Z32" i="5"/>
  <c r="W38" i="10"/>
  <c r="W38" i="9"/>
  <c r="W38" i="2"/>
  <c r="W28" i="12"/>
  <c r="W28" i="13"/>
  <c r="W28" i="10"/>
  <c r="Z22" i="5"/>
  <c r="W28" i="9"/>
  <c r="W28" i="14"/>
  <c r="W28" i="2"/>
  <c r="Y92" i="5"/>
  <c r="Y57" i="5"/>
  <c r="V18" i="10"/>
  <c r="V18" i="9"/>
  <c r="V18" i="12"/>
  <c r="V18" i="2"/>
  <c r="X82" i="5"/>
  <c r="Y12" i="5"/>
  <c r="V18" i="13"/>
  <c r="X47" i="5"/>
  <c r="V18" i="14"/>
  <c r="T34" i="2" l="1"/>
  <c r="T34" i="10"/>
  <c r="W28" i="5"/>
  <c r="T34" i="9"/>
  <c r="T34" i="13"/>
  <c r="T34" i="12"/>
  <c r="V63" i="5"/>
  <c r="T34" i="14"/>
  <c r="V98" i="5"/>
  <c r="X28" i="2"/>
  <c r="X28" i="13"/>
  <c r="X28" i="9"/>
  <c r="X28" i="10"/>
  <c r="X28" i="12"/>
  <c r="X28" i="14"/>
  <c r="AA22" i="5"/>
  <c r="Z57" i="5"/>
  <c r="Z92" i="5"/>
  <c r="Q59" i="5"/>
  <c r="O30" i="2"/>
  <c r="R24" i="5"/>
  <c r="O30" i="10"/>
  <c r="O30" i="9"/>
  <c r="O30" i="12"/>
  <c r="O30" i="13"/>
  <c r="Q94" i="5"/>
  <c r="O30" i="14"/>
  <c r="AC99" i="5"/>
  <c r="AA35" i="2"/>
  <c r="AC64" i="5"/>
  <c r="AA35" i="12"/>
  <c r="AA35" i="10"/>
  <c r="AA35" i="13"/>
  <c r="AD29" i="5"/>
  <c r="AA35" i="9"/>
  <c r="AA35" i="14"/>
  <c r="X38" i="13"/>
  <c r="AA32" i="5"/>
  <c r="X38" i="10"/>
  <c r="Z67" i="5"/>
  <c r="Z102" i="5"/>
  <c r="X38" i="14"/>
  <c r="X38" i="2"/>
  <c r="X38" i="12"/>
  <c r="X38" i="9"/>
  <c r="AB22" i="2"/>
  <c r="AB22" i="10"/>
  <c r="AB22" i="9"/>
  <c r="AE16" i="5"/>
  <c r="AB22" i="12"/>
  <c r="AD86" i="5"/>
  <c r="AB22" i="14"/>
  <c r="AB22" i="13"/>
  <c r="AD51" i="5"/>
  <c r="S24" i="12"/>
  <c r="U53" i="5"/>
  <c r="U88" i="5"/>
  <c r="S24" i="2"/>
  <c r="S24" i="9"/>
  <c r="S24" i="13"/>
  <c r="S24" i="14"/>
  <c r="S24" i="10"/>
  <c r="V18" i="5"/>
  <c r="Q17" i="2"/>
  <c r="Q17" i="12"/>
  <c r="S46" i="5"/>
  <c r="S81" i="5"/>
  <c r="Q17" i="9"/>
  <c r="T11" i="5"/>
  <c r="Q17" i="10"/>
  <c r="Q17" i="13"/>
  <c r="O40" i="10"/>
  <c r="O40" i="9"/>
  <c r="O40" i="13"/>
  <c r="O40" i="2"/>
  <c r="Q69" i="5"/>
  <c r="Q104" i="5"/>
  <c r="O40" i="12"/>
  <c r="O40" i="14"/>
  <c r="AD19" i="14"/>
  <c r="AF19" i="14" s="1"/>
  <c r="AD19" i="13"/>
  <c r="AF19" i="13" s="1"/>
  <c r="AD19" i="9"/>
  <c r="AF19" i="9" s="1"/>
  <c r="AD19" i="12"/>
  <c r="AF19" i="12" s="1"/>
  <c r="R34" i="5"/>
  <c r="AF48" i="5"/>
  <c r="AF83" i="5"/>
  <c r="AD19" i="10"/>
  <c r="AF19" i="10" s="1"/>
  <c r="Q14" i="5"/>
  <c r="AD19" i="2"/>
  <c r="T101" i="5"/>
  <c r="R37" i="12"/>
  <c r="R37" i="2"/>
  <c r="R37" i="10"/>
  <c r="T66" i="5"/>
  <c r="R37" i="9"/>
  <c r="R37" i="13"/>
  <c r="R37" i="14"/>
  <c r="U31" i="5"/>
  <c r="U21" i="13"/>
  <c r="U21" i="12"/>
  <c r="U21" i="14"/>
  <c r="W85" i="5"/>
  <c r="X15" i="5"/>
  <c r="U21" i="10"/>
  <c r="U21" i="2"/>
  <c r="U21" i="9"/>
  <c r="W50" i="5"/>
  <c r="Z25" i="12"/>
  <c r="Z25" i="2"/>
  <c r="AC19" i="5"/>
  <c r="Z25" i="10"/>
  <c r="Z25" i="9"/>
  <c r="Z25" i="14"/>
  <c r="AB89" i="5"/>
  <c r="Z25" i="13"/>
  <c r="AB54" i="5"/>
  <c r="Q27" i="12"/>
  <c r="Q27" i="14"/>
  <c r="S56" i="5"/>
  <c r="Q27" i="13"/>
  <c r="Q27" i="9"/>
  <c r="Q27" i="2"/>
  <c r="S91" i="5"/>
  <c r="Q27" i="10"/>
  <c r="T21" i="5"/>
  <c r="W18" i="14"/>
  <c r="W18" i="2"/>
  <c r="Z12" i="5"/>
  <c r="W18" i="10"/>
  <c r="W18" i="13"/>
  <c r="Y82" i="5"/>
  <c r="W18" i="12"/>
  <c r="W18" i="9"/>
  <c r="Y47" i="5"/>
  <c r="AF19" i="2"/>
  <c r="V31" i="14"/>
  <c r="Y25" i="5"/>
  <c r="X60" i="5"/>
  <c r="V31" i="2"/>
  <c r="X95" i="5"/>
  <c r="V31" i="12"/>
  <c r="V31" i="13"/>
  <c r="V31" i="10"/>
  <c r="V31" i="9"/>
  <c r="X105" i="5"/>
  <c r="V41" i="14"/>
  <c r="V41" i="12"/>
  <c r="V41" i="13"/>
  <c r="V41" i="10"/>
  <c r="Y35" i="5"/>
  <c r="V41" i="2"/>
  <c r="V41" i="9"/>
  <c r="X70" i="5"/>
  <c r="AE61" i="5"/>
  <c r="AC32" i="14"/>
  <c r="AE96" i="5"/>
  <c r="AC32" i="9"/>
  <c r="AF26" i="5"/>
  <c r="AC32" i="12"/>
  <c r="AC32" i="2"/>
  <c r="AC32" i="10"/>
  <c r="AC32" i="13"/>
  <c r="X28" i="5" l="1"/>
  <c r="U34" i="13"/>
  <c r="U34" i="2"/>
  <c r="W63" i="5"/>
  <c r="U34" i="9"/>
  <c r="U34" i="10"/>
  <c r="W98" i="5"/>
  <c r="U34" i="12"/>
  <c r="Z25" i="5"/>
  <c r="Y60" i="5"/>
  <c r="W31" i="9"/>
  <c r="W31" i="12"/>
  <c r="W31" i="2"/>
  <c r="W31" i="10"/>
  <c r="W31" i="13"/>
  <c r="Y95" i="5"/>
  <c r="AD64" i="5"/>
  <c r="AE29" i="5"/>
  <c r="AB35" i="9"/>
  <c r="AB35" i="10"/>
  <c r="AB35" i="13"/>
  <c r="AB35" i="2"/>
  <c r="AD99" i="5"/>
  <c r="AB35" i="12"/>
  <c r="X18" i="9"/>
  <c r="AA12" i="5"/>
  <c r="X18" i="2"/>
  <c r="X18" i="12"/>
  <c r="Z82" i="5"/>
  <c r="Z47" i="5"/>
  <c r="X18" i="13"/>
  <c r="X18" i="10"/>
  <c r="O20" i="12"/>
  <c r="O20" i="2"/>
  <c r="O20" i="13"/>
  <c r="R14" i="5"/>
  <c r="Q84" i="5"/>
  <c r="Q49" i="5"/>
  <c r="O20" i="9"/>
  <c r="O20" i="10"/>
  <c r="AF16" i="5"/>
  <c r="AC22" i="12"/>
  <c r="AC22" i="2"/>
  <c r="AE86" i="5"/>
  <c r="AE51" i="5"/>
  <c r="AC22" i="10"/>
  <c r="AC22" i="9"/>
  <c r="AC22" i="13"/>
  <c r="V21" i="9"/>
  <c r="Y15" i="5"/>
  <c r="V21" i="10"/>
  <c r="V21" i="13"/>
  <c r="V21" i="12"/>
  <c r="V21" i="2"/>
  <c r="X85" i="5"/>
  <c r="X50" i="5"/>
  <c r="AA57" i="5"/>
  <c r="Y28" i="9"/>
  <c r="AA92" i="5"/>
  <c r="AB22" i="5"/>
  <c r="Y28" i="12"/>
  <c r="Y28" i="13"/>
  <c r="Y28" i="10"/>
  <c r="Y28" i="2"/>
  <c r="AF96" i="5"/>
  <c r="Q27" i="5"/>
  <c r="AF61" i="5"/>
  <c r="AD32" i="12"/>
  <c r="AF32" i="12" s="1"/>
  <c r="AD32" i="2"/>
  <c r="AF32" i="2" s="1"/>
  <c r="AD32" i="10"/>
  <c r="AF32" i="10" s="1"/>
  <c r="AD32" i="9"/>
  <c r="AF32" i="9" s="1"/>
  <c r="AD32" i="13"/>
  <c r="AF32" i="13" s="1"/>
  <c r="W41" i="10"/>
  <c r="Z35" i="5"/>
  <c r="W41" i="13"/>
  <c r="W41" i="12"/>
  <c r="Y70" i="5"/>
  <c r="Y105" i="5"/>
  <c r="W41" i="14"/>
  <c r="W41" i="2"/>
  <c r="W41" i="9"/>
  <c r="AC89" i="5"/>
  <c r="AC54" i="5"/>
  <c r="AD19" i="5"/>
  <c r="AA25" i="10"/>
  <c r="AA25" i="12"/>
  <c r="AA25" i="9"/>
  <c r="AA25" i="2"/>
  <c r="AA25" i="13"/>
  <c r="T24" i="9"/>
  <c r="T24" i="10"/>
  <c r="T24" i="13"/>
  <c r="V53" i="5"/>
  <c r="W18" i="5"/>
  <c r="V88" i="5"/>
  <c r="T24" i="2"/>
  <c r="T24" i="12"/>
  <c r="U21" i="5"/>
  <c r="R27" i="2"/>
  <c r="R27" i="12"/>
  <c r="R27" i="9"/>
  <c r="T91" i="5"/>
  <c r="R27" i="10"/>
  <c r="R27" i="13"/>
  <c r="T56" i="5"/>
  <c r="AA102" i="5"/>
  <c r="AA67" i="5"/>
  <c r="Y38" i="2"/>
  <c r="Y38" i="14"/>
  <c r="AB32" i="5"/>
  <c r="Y38" i="12"/>
  <c r="Y38" i="13"/>
  <c r="Y38" i="9"/>
  <c r="Y38" i="10"/>
  <c r="P40" i="9"/>
  <c r="P40" i="13"/>
  <c r="S34" i="5"/>
  <c r="P40" i="10"/>
  <c r="R104" i="5"/>
  <c r="P40" i="2"/>
  <c r="R69" i="5"/>
  <c r="P40" i="14"/>
  <c r="P40" i="12"/>
  <c r="R17" i="2"/>
  <c r="U11" i="5"/>
  <c r="R17" i="12"/>
  <c r="T46" i="5"/>
  <c r="R17" i="10"/>
  <c r="T81" i="5"/>
  <c r="R17" i="13"/>
  <c r="R17" i="9"/>
  <c r="R59" i="5"/>
  <c r="S24" i="5"/>
  <c r="P30" i="9"/>
  <c r="P30" i="10"/>
  <c r="P30" i="13"/>
  <c r="R94" i="5"/>
  <c r="P30" i="12"/>
  <c r="P30" i="2"/>
  <c r="S37" i="10"/>
  <c r="S37" i="2"/>
  <c r="V31" i="5"/>
  <c r="S37" i="13"/>
  <c r="S37" i="12"/>
  <c r="S37" i="9"/>
  <c r="U66" i="5"/>
  <c r="U101" i="5"/>
  <c r="T37" i="2" l="1"/>
  <c r="W31" i="5"/>
  <c r="V101" i="5"/>
  <c r="T37" i="10"/>
  <c r="V66" i="5"/>
  <c r="T37" i="12"/>
  <c r="T37" i="13"/>
  <c r="T37" i="9"/>
  <c r="U56" i="5"/>
  <c r="S27" i="9"/>
  <c r="V21" i="5"/>
  <c r="S27" i="2"/>
  <c r="S27" i="13"/>
  <c r="S27" i="10"/>
  <c r="S27" i="12"/>
  <c r="U91" i="5"/>
  <c r="AD22" i="13"/>
  <c r="AF22" i="13" s="1"/>
  <c r="Q17" i="5"/>
  <c r="AF51" i="5"/>
  <c r="AF86" i="5"/>
  <c r="AD22" i="10"/>
  <c r="AF22" i="10" s="1"/>
  <c r="AD22" i="9"/>
  <c r="AF22" i="9" s="1"/>
  <c r="AD22" i="12"/>
  <c r="AF22" i="12" s="1"/>
  <c r="AD22" i="2"/>
  <c r="AF22" i="2" s="1"/>
  <c r="Z28" i="12"/>
  <c r="AB92" i="5"/>
  <c r="AB57" i="5"/>
  <c r="Z28" i="9"/>
  <c r="Z28" i="13"/>
  <c r="Z28" i="2"/>
  <c r="Z28" i="10"/>
  <c r="AC22" i="5"/>
  <c r="Y18" i="10"/>
  <c r="AA82" i="5"/>
  <c r="Y18" i="9"/>
  <c r="AB12" i="5"/>
  <c r="Y18" i="12"/>
  <c r="AA47" i="5"/>
  <c r="Y18" i="2"/>
  <c r="Y18" i="13"/>
  <c r="AB25" i="2"/>
  <c r="AB25" i="13"/>
  <c r="AD54" i="5"/>
  <c r="AB25" i="9"/>
  <c r="AD89" i="5"/>
  <c r="AE19" i="5"/>
  <c r="AB25" i="12"/>
  <c r="AB25" i="10"/>
  <c r="S94" i="5"/>
  <c r="T24" i="5"/>
  <c r="Q30" i="10"/>
  <c r="Q30" i="12"/>
  <c r="S59" i="5"/>
  <c r="Q30" i="2"/>
  <c r="Q30" i="9"/>
  <c r="Q30" i="13"/>
  <c r="X41" i="12"/>
  <c r="Z70" i="5"/>
  <c r="X41" i="9"/>
  <c r="X41" i="13"/>
  <c r="X41" i="2"/>
  <c r="AA35" i="5"/>
  <c r="X41" i="10"/>
  <c r="Z105" i="5"/>
  <c r="AC35" i="13"/>
  <c r="AC35" i="9"/>
  <c r="AE99" i="5"/>
  <c r="AF29" i="5"/>
  <c r="AE64" i="5"/>
  <c r="AC35" i="10"/>
  <c r="AC35" i="12"/>
  <c r="AC35" i="2"/>
  <c r="U81" i="5"/>
  <c r="U46" i="5"/>
  <c r="S17" i="13"/>
  <c r="AF17" i="13" s="1"/>
  <c r="S17" i="9"/>
  <c r="AF17" i="9" s="1"/>
  <c r="S17" i="12"/>
  <c r="AF17" i="12" s="1"/>
  <c r="S17" i="2"/>
  <c r="AF17" i="2" s="1"/>
  <c r="S17" i="10"/>
  <c r="AF17" i="10" s="1"/>
  <c r="AB102" i="5"/>
  <c r="Z38" i="10"/>
  <c r="AB67" i="5"/>
  <c r="AC32" i="5"/>
  <c r="Z38" i="12"/>
  <c r="Z38" i="2"/>
  <c r="Z38" i="13"/>
  <c r="Z38" i="9"/>
  <c r="Q62" i="5"/>
  <c r="R27" i="5"/>
  <c r="O33" i="9"/>
  <c r="O33" i="12"/>
  <c r="Q97" i="5"/>
  <c r="O33" i="2"/>
  <c r="O33" i="13"/>
  <c r="O33" i="10"/>
  <c r="Q40" i="12"/>
  <c r="S104" i="5"/>
  <c r="Q40" i="13"/>
  <c r="S69" i="5"/>
  <c r="Q40" i="10"/>
  <c r="Q40" i="2"/>
  <c r="Q40" i="9"/>
  <c r="T34" i="5"/>
  <c r="X31" i="10"/>
  <c r="Z95" i="5"/>
  <c r="X31" i="9"/>
  <c r="X31" i="2"/>
  <c r="AA25" i="5"/>
  <c r="X31" i="13"/>
  <c r="X31" i="12"/>
  <c r="Z60" i="5"/>
  <c r="U24" i="10"/>
  <c r="U24" i="13"/>
  <c r="U24" i="12"/>
  <c r="U24" i="2"/>
  <c r="W88" i="5"/>
  <c r="X18" i="5"/>
  <c r="U24" i="9"/>
  <c r="W53" i="5"/>
  <c r="Y28" i="5"/>
  <c r="V34" i="10"/>
  <c r="X98" i="5"/>
  <c r="V34" i="9"/>
  <c r="V34" i="12"/>
  <c r="V34" i="2"/>
  <c r="V34" i="13"/>
  <c r="X63" i="5"/>
  <c r="W21" i="10"/>
  <c r="Z15" i="5"/>
  <c r="W21" i="13"/>
  <c r="W21" i="2"/>
  <c r="Y85" i="5"/>
  <c r="Y50" i="5"/>
  <c r="W21" i="9"/>
  <c r="W21" i="12"/>
  <c r="P20" i="13"/>
  <c r="R49" i="5"/>
  <c r="S14" i="5"/>
  <c r="P20" i="10"/>
  <c r="P20" i="9"/>
  <c r="P20" i="2"/>
  <c r="P20" i="12"/>
  <c r="R84" i="5"/>
  <c r="X53" i="5" l="1"/>
  <c r="X88" i="5"/>
  <c r="V24" i="13"/>
  <c r="AF24" i="13" s="1"/>
  <c r="V24" i="10"/>
  <c r="AF24" i="10" s="1"/>
  <c r="V24" i="2"/>
  <c r="AF24" i="2" s="1"/>
  <c r="V24" i="12"/>
  <c r="AF24" i="12" s="1"/>
  <c r="V24" i="9"/>
  <c r="AF24" i="9" s="1"/>
  <c r="R40" i="9"/>
  <c r="R40" i="10"/>
  <c r="R40" i="2"/>
  <c r="R40" i="13"/>
  <c r="T69" i="5"/>
  <c r="U34" i="5"/>
  <c r="R40" i="12"/>
  <c r="T104" i="5"/>
  <c r="R97" i="5"/>
  <c r="R62" i="5"/>
  <c r="P33" i="13"/>
  <c r="AF33" i="13" s="1"/>
  <c r="P33" i="10"/>
  <c r="AF33" i="10" s="1"/>
  <c r="P33" i="9"/>
  <c r="AF33" i="9" s="1"/>
  <c r="P33" i="2"/>
  <c r="AF33" i="2" s="1"/>
  <c r="P33" i="12"/>
  <c r="AF33" i="12" s="1"/>
  <c r="AF99" i="5"/>
  <c r="AF64" i="5"/>
  <c r="AD35" i="13"/>
  <c r="AF35" i="13" s="1"/>
  <c r="AD35" i="9"/>
  <c r="AF35" i="9" s="1"/>
  <c r="AD35" i="2"/>
  <c r="AF35" i="2" s="1"/>
  <c r="AD35" i="12"/>
  <c r="AF35" i="12" s="1"/>
  <c r="AD35" i="10"/>
  <c r="AF35" i="10" s="1"/>
  <c r="AE54" i="5"/>
  <c r="AE89" i="5"/>
  <c r="AC25" i="13"/>
  <c r="AF25" i="13" s="1"/>
  <c r="AC25" i="10"/>
  <c r="AF25" i="10" s="1"/>
  <c r="AC25" i="9"/>
  <c r="AF25" i="9" s="1"/>
  <c r="AC25" i="12"/>
  <c r="AF25" i="12" s="1"/>
  <c r="AC25" i="2"/>
  <c r="AF25" i="2" s="1"/>
  <c r="Q87" i="5"/>
  <c r="Q52" i="5"/>
  <c r="O23" i="13"/>
  <c r="AF23" i="13" s="1"/>
  <c r="O23" i="10"/>
  <c r="AF23" i="10" s="1"/>
  <c r="O23" i="2"/>
  <c r="AF23" i="2" s="1"/>
  <c r="O23" i="12"/>
  <c r="AF23" i="12" s="1"/>
  <c r="O23" i="9"/>
  <c r="AF23" i="9" s="1"/>
  <c r="V91" i="5"/>
  <c r="V56" i="5"/>
  <c r="T27" i="13"/>
  <c r="AF27" i="13" s="1"/>
  <c r="T27" i="2"/>
  <c r="AF27" i="2" s="1"/>
  <c r="T27" i="12"/>
  <c r="AF27" i="12" s="1"/>
  <c r="T27" i="10"/>
  <c r="AF27" i="10" s="1"/>
  <c r="T27" i="9"/>
  <c r="AF27" i="9" s="1"/>
  <c r="S84" i="5"/>
  <c r="S49" i="5"/>
  <c r="Q20" i="13"/>
  <c r="AF20" i="13" s="1"/>
  <c r="Q20" i="2"/>
  <c r="AF20" i="2" s="1"/>
  <c r="Q20" i="12"/>
  <c r="AF20" i="12" s="1"/>
  <c r="Q20" i="9"/>
  <c r="AF20" i="9" s="1"/>
  <c r="Q20" i="10"/>
  <c r="AF20" i="10" s="1"/>
  <c r="AC92" i="5"/>
  <c r="AC57" i="5"/>
  <c r="AA28" i="13"/>
  <c r="AF28" i="13" s="1"/>
  <c r="AA28" i="12"/>
  <c r="AF28" i="12" s="1"/>
  <c r="AA28" i="9"/>
  <c r="AF28" i="9" s="1"/>
  <c r="AA28" i="2"/>
  <c r="AF28" i="2" s="1"/>
  <c r="AA28" i="10"/>
  <c r="AF28" i="10" s="1"/>
  <c r="W101" i="5"/>
  <c r="W66" i="5"/>
  <c r="U37" i="13"/>
  <c r="AF37" i="13" s="1"/>
  <c r="U37" i="12"/>
  <c r="AF37" i="12" s="1"/>
  <c r="U37" i="10"/>
  <c r="AF37" i="10" s="1"/>
  <c r="U37" i="2"/>
  <c r="AF37" i="2" s="1"/>
  <c r="U37" i="9"/>
  <c r="AF37" i="9" s="1"/>
  <c r="Z50" i="5"/>
  <c r="Z85" i="5"/>
  <c r="X21" i="13"/>
  <c r="AF21" i="13" s="1"/>
  <c r="X21" i="12"/>
  <c r="AF21" i="12" s="1"/>
  <c r="X21" i="9"/>
  <c r="AF21" i="9" s="1"/>
  <c r="X21" i="2"/>
  <c r="AF21" i="2" s="1"/>
  <c r="X21" i="10"/>
  <c r="AF21" i="10" s="1"/>
  <c r="AA60" i="5"/>
  <c r="AA95" i="5"/>
  <c r="Y31" i="13"/>
  <c r="AF31" i="13" s="1"/>
  <c r="Y31" i="2"/>
  <c r="AF31" i="2" s="1"/>
  <c r="Y31" i="12"/>
  <c r="AF31" i="12" s="1"/>
  <c r="Y31" i="9"/>
  <c r="AF31" i="9" s="1"/>
  <c r="Y31" i="10"/>
  <c r="AF31" i="10" s="1"/>
  <c r="T59" i="5"/>
  <c r="T94" i="5"/>
  <c r="R30" i="13"/>
  <c r="AF30" i="13" s="1"/>
  <c r="R30" i="9"/>
  <c r="AF30" i="9" s="1"/>
  <c r="R30" i="2"/>
  <c r="AF30" i="2" s="1"/>
  <c r="R30" i="10"/>
  <c r="AF30" i="10" s="1"/>
  <c r="R30" i="12"/>
  <c r="AF30" i="12" s="1"/>
  <c r="AB47" i="5"/>
  <c r="AB82" i="5"/>
  <c r="Z18" i="13"/>
  <c r="AF18" i="13" s="1"/>
  <c r="Z18" i="10"/>
  <c r="AF18" i="10" s="1"/>
  <c r="Z18" i="9"/>
  <c r="AF18" i="9" s="1"/>
  <c r="Z18" i="12"/>
  <c r="AF18" i="12" s="1"/>
  <c r="Z18" i="2"/>
  <c r="AF18" i="2" s="1"/>
  <c r="Y63" i="5"/>
  <c r="Y98" i="5"/>
  <c r="W34" i="13"/>
  <c r="AF34" i="13" s="1"/>
  <c r="W34" i="9"/>
  <c r="AF34" i="9" s="1"/>
  <c r="W34" i="10"/>
  <c r="AF34" i="10" s="1"/>
  <c r="W34" i="12"/>
  <c r="AF34" i="12" s="1"/>
  <c r="W34" i="2"/>
  <c r="AF34" i="2" s="1"/>
  <c r="AC102" i="5"/>
  <c r="AC67" i="5"/>
  <c r="AA38" i="10"/>
  <c r="AD32" i="5"/>
  <c r="AA38" i="9"/>
  <c r="AA38" i="13"/>
  <c r="AA38" i="2"/>
  <c r="AA38" i="12"/>
  <c r="Y41" i="12"/>
  <c r="Y41" i="2"/>
  <c r="AB35" i="5"/>
  <c r="Y41" i="13"/>
  <c r="Y41" i="10"/>
  <c r="AA105" i="5"/>
  <c r="AA70" i="5"/>
  <c r="Y41" i="9"/>
  <c r="AB105" i="5" l="1"/>
  <c r="AB70" i="5"/>
  <c r="Z41" i="13"/>
  <c r="AF41" i="13" s="1"/>
  <c r="Z41" i="12"/>
  <c r="AF41" i="12" s="1"/>
  <c r="Z41" i="10"/>
  <c r="AF41" i="10" s="1"/>
  <c r="Z41" i="9"/>
  <c r="AF41" i="9" s="1"/>
  <c r="Z41" i="2"/>
  <c r="AF41" i="2" s="1"/>
  <c r="AD67" i="5"/>
  <c r="AD102" i="5"/>
  <c r="AB38" i="13"/>
  <c r="AF38" i="13" s="1"/>
  <c r="AB38" i="2"/>
  <c r="AF38" i="2" s="1"/>
  <c r="AB38" i="10"/>
  <c r="AF38" i="10" s="1"/>
  <c r="AB38" i="9"/>
  <c r="AF38" i="9" s="1"/>
  <c r="AB38" i="12"/>
  <c r="AF38" i="12" s="1"/>
  <c r="U69" i="5"/>
  <c r="U104" i="5"/>
  <c r="S40" i="13"/>
  <c r="AF40" i="13" s="1"/>
  <c r="S40" i="2"/>
  <c r="AF40" i="2" s="1"/>
  <c r="S40" i="12"/>
  <c r="AF40" i="12" s="1"/>
  <c r="S40" i="9"/>
  <c r="AF40" i="9" s="1"/>
  <c r="S40" i="10"/>
  <c r="AF40" i="10" s="1"/>
  <c r="Q93" i="14" l="1"/>
  <c r="R92" i="14"/>
  <c r="S94" i="14"/>
  <c r="T95" i="14"/>
  <c r="Q95" i="14"/>
  <c r="R95" i="14"/>
  <c r="S91" i="14"/>
  <c r="R91" i="14"/>
  <c r="Q91" i="14" l="1"/>
  <c r="T94" i="14"/>
  <c r="T93" i="14"/>
  <c r="R94" i="14"/>
  <c r="T91" i="14"/>
  <c r="S93" i="14"/>
  <c r="T92" i="14"/>
  <c r="S95" i="14"/>
  <c r="Q94" i="14"/>
  <c r="R93" i="14"/>
  <c r="S92" i="14"/>
  <c r="Q92" i="14"/>
  <c r="R96" i="14" l="1"/>
  <c r="T96" i="14"/>
  <c r="Q96" i="14"/>
  <c r="S96" i="14"/>
  <c r="F70" i="14" l="1"/>
  <c r="F71" i="14" s="1"/>
  <c r="G70" i="14"/>
  <c r="AA47" i="14" s="1"/>
  <c r="AB47" i="14" s="1"/>
  <c r="N488" i="14" l="1"/>
  <c r="P488" i="14" s="1"/>
  <c r="N496" i="14"/>
  <c r="P496" i="14" s="1"/>
  <c r="N504" i="14"/>
  <c r="P504" i="14" s="1"/>
  <c r="N512" i="14"/>
  <c r="P512" i="14" s="1"/>
  <c r="N520" i="14"/>
  <c r="P520" i="14" s="1"/>
  <c r="N528" i="14"/>
  <c r="P528" i="14" s="1"/>
  <c r="N536" i="14"/>
  <c r="P536" i="14" s="1"/>
  <c r="N544" i="14"/>
  <c r="P544" i="14" s="1"/>
  <c r="N552" i="14"/>
  <c r="P552" i="14" s="1"/>
  <c r="N560" i="14"/>
  <c r="P560" i="14" s="1"/>
  <c r="N568" i="14"/>
  <c r="P568" i="14" s="1"/>
  <c r="N576" i="14"/>
  <c r="P576" i="14" s="1"/>
  <c r="N584" i="14"/>
  <c r="P584" i="14" s="1"/>
  <c r="N592" i="14"/>
  <c r="P592" i="14" s="1"/>
  <c r="N600" i="14"/>
  <c r="P600" i="14" s="1"/>
  <c r="N363" i="14"/>
  <c r="P363" i="14" s="1"/>
  <c r="N371" i="14"/>
  <c r="P371" i="14" s="1"/>
  <c r="N379" i="14"/>
  <c r="P379" i="14" s="1"/>
  <c r="N387" i="14"/>
  <c r="P387" i="14" s="1"/>
  <c r="N395" i="14"/>
  <c r="P395" i="14" s="1"/>
  <c r="N403" i="14"/>
  <c r="P403" i="14" s="1"/>
  <c r="N411" i="14"/>
  <c r="P411" i="14" s="1"/>
  <c r="N419" i="14"/>
  <c r="P419" i="14" s="1"/>
  <c r="N427" i="14"/>
  <c r="P427" i="14" s="1"/>
  <c r="N435" i="14"/>
  <c r="P435" i="14" s="1"/>
  <c r="N443" i="14"/>
  <c r="P443" i="14" s="1"/>
  <c r="N451" i="14"/>
  <c r="P451" i="14" s="1"/>
  <c r="N459" i="14"/>
  <c r="P459" i="14" s="1"/>
  <c r="N467" i="14"/>
  <c r="P467" i="14" s="1"/>
  <c r="N475" i="14"/>
  <c r="P475" i="14" s="1"/>
  <c r="N489" i="14"/>
  <c r="P489" i="14" s="1"/>
  <c r="N497" i="14"/>
  <c r="P497" i="14" s="1"/>
  <c r="N505" i="14"/>
  <c r="P505" i="14" s="1"/>
  <c r="N513" i="14"/>
  <c r="P513" i="14" s="1"/>
  <c r="N521" i="14"/>
  <c r="P521" i="14" s="1"/>
  <c r="N529" i="14"/>
  <c r="P529" i="14" s="1"/>
  <c r="N537" i="14"/>
  <c r="P537" i="14" s="1"/>
  <c r="N545" i="14"/>
  <c r="P545" i="14" s="1"/>
  <c r="N553" i="14"/>
  <c r="P553" i="14" s="1"/>
  <c r="N561" i="14"/>
  <c r="P561" i="14" s="1"/>
  <c r="N569" i="14"/>
  <c r="P569" i="14" s="1"/>
  <c r="N577" i="14"/>
  <c r="P577" i="14" s="1"/>
  <c r="N585" i="14"/>
  <c r="P585" i="14" s="1"/>
  <c r="N593" i="14"/>
  <c r="P593" i="14" s="1"/>
  <c r="N601" i="14"/>
  <c r="P601" i="14" s="1"/>
  <c r="N364" i="14"/>
  <c r="P364" i="14" s="1"/>
  <c r="N372" i="14"/>
  <c r="P372" i="14" s="1"/>
  <c r="N380" i="14"/>
  <c r="P380" i="14" s="1"/>
  <c r="N388" i="14"/>
  <c r="P388" i="14" s="1"/>
  <c r="N396" i="14"/>
  <c r="P396" i="14" s="1"/>
  <c r="N404" i="14"/>
  <c r="P404" i="14" s="1"/>
  <c r="N412" i="14"/>
  <c r="P412" i="14" s="1"/>
  <c r="N420" i="14"/>
  <c r="P420" i="14" s="1"/>
  <c r="N428" i="14"/>
  <c r="P428" i="14" s="1"/>
  <c r="N436" i="14"/>
  <c r="P436" i="14" s="1"/>
  <c r="N444" i="14"/>
  <c r="P444" i="14" s="1"/>
  <c r="N452" i="14"/>
  <c r="P452" i="14" s="1"/>
  <c r="N460" i="14"/>
  <c r="P460" i="14" s="1"/>
  <c r="N468" i="14"/>
  <c r="P468" i="14" s="1"/>
  <c r="N476" i="14"/>
  <c r="P476" i="14" s="1"/>
  <c r="N490" i="14"/>
  <c r="P490" i="14" s="1"/>
  <c r="N498" i="14"/>
  <c r="P498" i="14" s="1"/>
  <c r="N506" i="14"/>
  <c r="P506" i="14" s="1"/>
  <c r="N514" i="14"/>
  <c r="P514" i="14" s="1"/>
  <c r="N522" i="14"/>
  <c r="P522" i="14" s="1"/>
  <c r="N530" i="14"/>
  <c r="P530" i="14" s="1"/>
  <c r="N538" i="14"/>
  <c r="P538" i="14" s="1"/>
  <c r="N546" i="14"/>
  <c r="P546" i="14" s="1"/>
  <c r="N554" i="14"/>
  <c r="P554" i="14" s="1"/>
  <c r="N562" i="14"/>
  <c r="P562" i="14" s="1"/>
  <c r="N570" i="14"/>
  <c r="P570" i="14" s="1"/>
  <c r="N578" i="14"/>
  <c r="P578" i="14" s="1"/>
  <c r="N586" i="14"/>
  <c r="P586" i="14" s="1"/>
  <c r="N594" i="14"/>
  <c r="P594" i="14" s="1"/>
  <c r="N483" i="14"/>
  <c r="P483" i="14" s="1"/>
  <c r="N365" i="14"/>
  <c r="P365" i="14" s="1"/>
  <c r="N373" i="14"/>
  <c r="P373" i="14" s="1"/>
  <c r="N381" i="14"/>
  <c r="P381" i="14" s="1"/>
  <c r="N389" i="14"/>
  <c r="P389" i="14" s="1"/>
  <c r="N397" i="14"/>
  <c r="P397" i="14" s="1"/>
  <c r="N405" i="14"/>
  <c r="P405" i="14" s="1"/>
  <c r="N413" i="14"/>
  <c r="P413" i="14" s="1"/>
  <c r="N421" i="14"/>
  <c r="P421" i="14" s="1"/>
  <c r="N429" i="14"/>
  <c r="P429" i="14" s="1"/>
  <c r="N437" i="14"/>
  <c r="P437" i="14" s="1"/>
  <c r="N445" i="14"/>
  <c r="P445" i="14" s="1"/>
  <c r="N453" i="14"/>
  <c r="P453" i="14" s="1"/>
  <c r="N461" i="14"/>
  <c r="P461" i="14" s="1"/>
  <c r="N469" i="14"/>
  <c r="P469" i="14" s="1"/>
  <c r="N491" i="14"/>
  <c r="P491" i="14" s="1"/>
  <c r="N499" i="14"/>
  <c r="P499" i="14" s="1"/>
  <c r="N507" i="14"/>
  <c r="P507" i="14" s="1"/>
  <c r="N515" i="14"/>
  <c r="P515" i="14" s="1"/>
  <c r="N523" i="14"/>
  <c r="P523" i="14" s="1"/>
  <c r="N531" i="14"/>
  <c r="P531" i="14" s="1"/>
  <c r="N539" i="14"/>
  <c r="P539" i="14" s="1"/>
  <c r="N547" i="14"/>
  <c r="P547" i="14" s="1"/>
  <c r="N555" i="14"/>
  <c r="P555" i="14" s="1"/>
  <c r="N563" i="14"/>
  <c r="P563" i="14" s="1"/>
  <c r="N571" i="14"/>
  <c r="P571" i="14" s="1"/>
  <c r="N579" i="14"/>
  <c r="P579" i="14" s="1"/>
  <c r="N587" i="14"/>
  <c r="P587" i="14" s="1"/>
  <c r="N595" i="14"/>
  <c r="P595" i="14" s="1"/>
  <c r="N482" i="14"/>
  <c r="P482" i="14" s="1"/>
  <c r="N366" i="14"/>
  <c r="P366" i="14" s="1"/>
  <c r="N374" i="14"/>
  <c r="P374" i="14" s="1"/>
  <c r="N382" i="14"/>
  <c r="P382" i="14" s="1"/>
  <c r="N390" i="14"/>
  <c r="P390" i="14" s="1"/>
  <c r="N398" i="14"/>
  <c r="P398" i="14" s="1"/>
  <c r="N406" i="14"/>
  <c r="P406" i="14" s="1"/>
  <c r="N414" i="14"/>
  <c r="P414" i="14" s="1"/>
  <c r="N422" i="14"/>
  <c r="P422" i="14" s="1"/>
  <c r="N430" i="14"/>
  <c r="P430" i="14" s="1"/>
  <c r="N438" i="14"/>
  <c r="P438" i="14" s="1"/>
  <c r="N446" i="14"/>
  <c r="P446" i="14" s="1"/>
  <c r="N454" i="14"/>
  <c r="P454" i="14" s="1"/>
  <c r="N462" i="14"/>
  <c r="P462" i="14" s="1"/>
  <c r="N470" i="14"/>
  <c r="P470" i="14" s="1"/>
  <c r="N484" i="14"/>
  <c r="P484" i="14" s="1"/>
  <c r="N492" i="14"/>
  <c r="P492" i="14" s="1"/>
  <c r="N500" i="14"/>
  <c r="P500" i="14" s="1"/>
  <c r="N508" i="14"/>
  <c r="P508" i="14" s="1"/>
  <c r="N516" i="14"/>
  <c r="P516" i="14" s="1"/>
  <c r="N524" i="14"/>
  <c r="P524" i="14" s="1"/>
  <c r="N532" i="14"/>
  <c r="P532" i="14" s="1"/>
  <c r="N540" i="14"/>
  <c r="P540" i="14" s="1"/>
  <c r="N548" i="14"/>
  <c r="P548" i="14" s="1"/>
  <c r="N556" i="14"/>
  <c r="P556" i="14" s="1"/>
  <c r="N564" i="14"/>
  <c r="P564" i="14" s="1"/>
  <c r="N572" i="14"/>
  <c r="P572" i="14" s="1"/>
  <c r="N580" i="14"/>
  <c r="P580" i="14" s="1"/>
  <c r="N588" i="14"/>
  <c r="P588" i="14" s="1"/>
  <c r="N596" i="14"/>
  <c r="P596" i="14" s="1"/>
  <c r="N359" i="14"/>
  <c r="P359" i="14" s="1"/>
  <c r="N367" i="14"/>
  <c r="P367" i="14" s="1"/>
  <c r="N375" i="14"/>
  <c r="P375" i="14" s="1"/>
  <c r="N383" i="14"/>
  <c r="P383" i="14" s="1"/>
  <c r="N391" i="14"/>
  <c r="P391" i="14" s="1"/>
  <c r="N399" i="14"/>
  <c r="P399" i="14" s="1"/>
  <c r="N407" i="14"/>
  <c r="P407" i="14" s="1"/>
  <c r="N415" i="14"/>
  <c r="P415" i="14" s="1"/>
  <c r="N423" i="14"/>
  <c r="P423" i="14" s="1"/>
  <c r="N431" i="14"/>
  <c r="P431" i="14" s="1"/>
  <c r="N439" i="14"/>
  <c r="P439" i="14" s="1"/>
  <c r="N447" i="14"/>
  <c r="P447" i="14" s="1"/>
  <c r="N455" i="14"/>
  <c r="P455" i="14" s="1"/>
  <c r="N463" i="14"/>
  <c r="P463" i="14" s="1"/>
  <c r="N471" i="14"/>
  <c r="P471" i="14" s="1"/>
  <c r="N485" i="14"/>
  <c r="P485" i="14" s="1"/>
  <c r="N493" i="14"/>
  <c r="P493" i="14" s="1"/>
  <c r="N501" i="14"/>
  <c r="P501" i="14" s="1"/>
  <c r="N509" i="14"/>
  <c r="P509" i="14" s="1"/>
  <c r="N517" i="14"/>
  <c r="P517" i="14" s="1"/>
  <c r="N525" i="14"/>
  <c r="P525" i="14" s="1"/>
  <c r="N533" i="14"/>
  <c r="P533" i="14" s="1"/>
  <c r="N541" i="14"/>
  <c r="P541" i="14" s="1"/>
  <c r="N549" i="14"/>
  <c r="P549" i="14" s="1"/>
  <c r="N557" i="14"/>
  <c r="P557" i="14" s="1"/>
  <c r="N565" i="14"/>
  <c r="P565" i="14" s="1"/>
  <c r="N573" i="14"/>
  <c r="P573" i="14" s="1"/>
  <c r="N581" i="14"/>
  <c r="P581" i="14" s="1"/>
  <c r="N589" i="14"/>
  <c r="P589" i="14" s="1"/>
  <c r="N597" i="14"/>
  <c r="P597" i="14" s="1"/>
  <c r="N360" i="14"/>
  <c r="P360" i="14" s="1"/>
  <c r="N368" i="14"/>
  <c r="P368" i="14" s="1"/>
  <c r="N376" i="14"/>
  <c r="P376" i="14" s="1"/>
  <c r="N384" i="14"/>
  <c r="P384" i="14" s="1"/>
  <c r="N392" i="14"/>
  <c r="P392" i="14" s="1"/>
  <c r="N400" i="14"/>
  <c r="P400" i="14" s="1"/>
  <c r="N408" i="14"/>
  <c r="P408" i="14" s="1"/>
  <c r="N486" i="14"/>
  <c r="P486" i="14" s="1"/>
  <c r="N494" i="14"/>
  <c r="P494" i="14" s="1"/>
  <c r="N502" i="14"/>
  <c r="P502" i="14" s="1"/>
  <c r="N510" i="14"/>
  <c r="P510" i="14" s="1"/>
  <c r="N518" i="14"/>
  <c r="P518" i="14" s="1"/>
  <c r="N526" i="14"/>
  <c r="P526" i="14" s="1"/>
  <c r="N534" i="14"/>
  <c r="P534" i="14" s="1"/>
  <c r="N542" i="14"/>
  <c r="P542" i="14" s="1"/>
  <c r="N550" i="14"/>
  <c r="P550" i="14" s="1"/>
  <c r="N558" i="14"/>
  <c r="P558" i="14" s="1"/>
  <c r="N566" i="14"/>
  <c r="P566" i="14" s="1"/>
  <c r="N574" i="14"/>
  <c r="P574" i="14" s="1"/>
  <c r="N582" i="14"/>
  <c r="P582" i="14" s="1"/>
  <c r="N590" i="14"/>
  <c r="P590" i="14" s="1"/>
  <c r="N598" i="14"/>
  <c r="P598" i="14" s="1"/>
  <c r="N361" i="14"/>
  <c r="P361" i="14" s="1"/>
  <c r="N369" i="14"/>
  <c r="P369" i="14" s="1"/>
  <c r="N377" i="14"/>
  <c r="P377" i="14" s="1"/>
  <c r="N385" i="14"/>
  <c r="P385" i="14" s="1"/>
  <c r="N393" i="14"/>
  <c r="P393" i="14" s="1"/>
  <c r="N401" i="14"/>
  <c r="P401" i="14" s="1"/>
  <c r="N409" i="14"/>
  <c r="P409" i="14" s="1"/>
  <c r="N417" i="14"/>
  <c r="P417" i="14" s="1"/>
  <c r="N425" i="14"/>
  <c r="P425" i="14" s="1"/>
  <c r="N433" i="14"/>
  <c r="P433" i="14" s="1"/>
  <c r="N441" i="14"/>
  <c r="P441" i="14" s="1"/>
  <c r="N449" i="14"/>
  <c r="P449" i="14" s="1"/>
  <c r="N457" i="14"/>
  <c r="P457" i="14" s="1"/>
  <c r="N465" i="14"/>
  <c r="P465" i="14" s="1"/>
  <c r="N473" i="14"/>
  <c r="P473" i="14" s="1"/>
  <c r="N511" i="14"/>
  <c r="P511" i="14" s="1"/>
  <c r="N575" i="14"/>
  <c r="P575" i="14" s="1"/>
  <c r="N402" i="14"/>
  <c r="P402" i="14" s="1"/>
  <c r="N440" i="14"/>
  <c r="P440" i="14" s="1"/>
  <c r="N472" i="14"/>
  <c r="P472" i="14" s="1"/>
  <c r="N410" i="14"/>
  <c r="P410" i="14" s="1"/>
  <c r="N442" i="14"/>
  <c r="P442" i="14" s="1"/>
  <c r="N519" i="14"/>
  <c r="P519" i="14" s="1"/>
  <c r="N583" i="14"/>
  <c r="P583" i="14" s="1"/>
  <c r="N474" i="14"/>
  <c r="P474" i="14" s="1"/>
  <c r="N527" i="14"/>
  <c r="P527" i="14" s="1"/>
  <c r="N591" i="14"/>
  <c r="P591" i="14" s="1"/>
  <c r="N416" i="14"/>
  <c r="P416" i="14" s="1"/>
  <c r="N448" i="14"/>
  <c r="P448" i="14" s="1"/>
  <c r="N358" i="14"/>
  <c r="P358" i="14" s="1"/>
  <c r="N487" i="14"/>
  <c r="P487" i="14" s="1"/>
  <c r="N551" i="14"/>
  <c r="P551" i="14" s="1"/>
  <c r="N426" i="14"/>
  <c r="P426" i="14" s="1"/>
  <c r="N535" i="14"/>
  <c r="P535" i="14" s="1"/>
  <c r="N599" i="14"/>
  <c r="P599" i="14" s="1"/>
  <c r="N362" i="14"/>
  <c r="P362" i="14" s="1"/>
  <c r="N418" i="14"/>
  <c r="P418" i="14" s="1"/>
  <c r="N450" i="14"/>
  <c r="P450" i="14" s="1"/>
  <c r="N357" i="14"/>
  <c r="P357" i="14" s="1"/>
  <c r="N543" i="14"/>
  <c r="P543" i="14" s="1"/>
  <c r="N370" i="14"/>
  <c r="P370" i="14" s="1"/>
  <c r="N424" i="14"/>
  <c r="P424" i="14" s="1"/>
  <c r="N456" i="14"/>
  <c r="P456" i="14" s="1"/>
  <c r="N378" i="14"/>
  <c r="P378" i="14" s="1"/>
  <c r="N458" i="14"/>
  <c r="P458" i="14" s="1"/>
  <c r="N495" i="14"/>
  <c r="P495" i="14" s="1"/>
  <c r="N559" i="14"/>
  <c r="P559" i="14" s="1"/>
  <c r="N386" i="14"/>
  <c r="P386" i="14" s="1"/>
  <c r="N432" i="14"/>
  <c r="P432" i="14" s="1"/>
  <c r="N464" i="14"/>
  <c r="P464" i="14" s="1"/>
  <c r="N503" i="14"/>
  <c r="P503" i="14" s="1"/>
  <c r="N567" i="14"/>
  <c r="P567" i="14" s="1"/>
  <c r="N394" i="14"/>
  <c r="P394" i="14" s="1"/>
  <c r="N434" i="14"/>
  <c r="P434" i="14" s="1"/>
  <c r="N466" i="14"/>
  <c r="P466" i="14" s="1"/>
  <c r="N235" i="14"/>
  <c r="N243" i="14"/>
  <c r="N251" i="14"/>
  <c r="N259" i="14"/>
  <c r="N267" i="14"/>
  <c r="N275" i="14"/>
  <c r="N283" i="14"/>
  <c r="N291" i="14"/>
  <c r="N299" i="14"/>
  <c r="N307" i="14"/>
  <c r="N315" i="14"/>
  <c r="N323" i="14"/>
  <c r="N331" i="14"/>
  <c r="N339" i="14"/>
  <c r="N347" i="14"/>
  <c r="N254" i="14"/>
  <c r="P254" i="14" s="1"/>
  <c r="N286" i="14"/>
  <c r="N310" i="14"/>
  <c r="N342" i="14"/>
  <c r="N242" i="14"/>
  <c r="N322" i="14"/>
  <c r="N236" i="14"/>
  <c r="N244" i="14"/>
  <c r="N252" i="14"/>
  <c r="P252" i="14" s="1"/>
  <c r="N260" i="14"/>
  <c r="N268" i="14"/>
  <c r="N276" i="14"/>
  <c r="N284" i="14"/>
  <c r="N292" i="14"/>
  <c r="N300" i="14"/>
  <c r="N308" i="14"/>
  <c r="N316" i="14"/>
  <c r="P316" i="14" s="1"/>
  <c r="N324" i="14"/>
  <c r="N332" i="14"/>
  <c r="N340" i="14"/>
  <c r="N348" i="14"/>
  <c r="N238" i="14"/>
  <c r="N262" i="14"/>
  <c r="N278" i="14"/>
  <c r="N294" i="14"/>
  <c r="P294" i="14" s="1"/>
  <c r="N318" i="14"/>
  <c r="N334" i="14"/>
  <c r="N274" i="14"/>
  <c r="N306" i="14"/>
  <c r="N338" i="14"/>
  <c r="N237" i="14"/>
  <c r="N245" i="14"/>
  <c r="N253" i="14"/>
  <c r="P253" i="14" s="1"/>
  <c r="N261" i="14"/>
  <c r="N269" i="14"/>
  <c r="N277" i="14"/>
  <c r="N285" i="14"/>
  <c r="N293" i="14"/>
  <c r="N301" i="14"/>
  <c r="N309" i="14"/>
  <c r="N317" i="14"/>
  <c r="P317" i="14" s="1"/>
  <c r="N325" i="14"/>
  <c r="N333" i="14"/>
  <c r="N341" i="14"/>
  <c r="N349" i="14"/>
  <c r="N246" i="14"/>
  <c r="N270" i="14"/>
  <c r="N302" i="14"/>
  <c r="N326" i="14"/>
  <c r="P326" i="14" s="1"/>
  <c r="N350" i="14"/>
  <c r="N266" i="14"/>
  <c r="N298" i="14"/>
  <c r="N346" i="14"/>
  <c r="N282" i="14"/>
  <c r="N239" i="14"/>
  <c r="N247" i="14"/>
  <c r="N255" i="14"/>
  <c r="P255" i="14" s="1"/>
  <c r="N263" i="14"/>
  <c r="N271" i="14"/>
  <c r="N279" i="14"/>
  <c r="N287" i="14"/>
  <c r="N295" i="14"/>
  <c r="N303" i="14"/>
  <c r="N311" i="14"/>
  <c r="N319" i="14"/>
  <c r="P319" i="14" s="1"/>
  <c r="N327" i="14"/>
  <c r="N335" i="14"/>
  <c r="N343" i="14"/>
  <c r="N351" i="14"/>
  <c r="N241" i="14"/>
  <c r="N265" i="14"/>
  <c r="N281" i="14"/>
  <c r="N297" i="14"/>
  <c r="P297" i="14" s="1"/>
  <c r="N313" i="14"/>
  <c r="N329" i="14"/>
  <c r="N345" i="14"/>
  <c r="N258" i="14"/>
  <c r="N314" i="14"/>
  <c r="N233" i="14"/>
  <c r="N240" i="14"/>
  <c r="N248" i="14"/>
  <c r="P248" i="14" s="1"/>
  <c r="N256" i="14"/>
  <c r="N264" i="14"/>
  <c r="N272" i="14"/>
  <c r="N280" i="14"/>
  <c r="N288" i="14"/>
  <c r="N296" i="14"/>
  <c r="N304" i="14"/>
  <c r="N312" i="14"/>
  <c r="P312" i="14" s="1"/>
  <c r="N320" i="14"/>
  <c r="N328" i="14"/>
  <c r="N336" i="14"/>
  <c r="N344" i="14"/>
  <c r="N352" i="14"/>
  <c r="N249" i="14"/>
  <c r="N257" i="14"/>
  <c r="N273" i="14"/>
  <c r="P273" i="14" s="1"/>
  <c r="N289" i="14"/>
  <c r="N305" i="14"/>
  <c r="N321" i="14"/>
  <c r="N337" i="14"/>
  <c r="N234" i="14"/>
  <c r="N250" i="14"/>
  <c r="N290" i="14"/>
  <c r="N330" i="14"/>
  <c r="P330" i="14" s="1"/>
  <c r="E212" i="14"/>
  <c r="C210" i="14"/>
  <c r="D209" i="14"/>
  <c r="D210" i="14"/>
  <c r="D208" i="14"/>
  <c r="E208" i="14"/>
  <c r="C208" i="14"/>
  <c r="E209" i="14"/>
  <c r="Q49" i="8" s="1"/>
  <c r="C209" i="14"/>
  <c r="C211" i="14"/>
  <c r="E210" i="14"/>
  <c r="C212" i="14"/>
  <c r="D212" i="14"/>
  <c r="E211" i="14"/>
  <c r="Q51" i="8" s="1"/>
  <c r="D211" i="14"/>
  <c r="E137" i="14"/>
  <c r="M169" i="14" s="1"/>
  <c r="AA46" i="14"/>
  <c r="AB46" i="14" s="1"/>
  <c r="P52" i="8"/>
  <c r="Q52" i="8"/>
  <c r="P51" i="8"/>
  <c r="G71" i="14"/>
  <c r="G137" i="14"/>
  <c r="X3" i="8" s="1"/>
  <c r="P350" i="14"/>
  <c r="P341" i="14"/>
  <c r="P334" i="14"/>
  <c r="P325" i="14"/>
  <c r="P318" i="14"/>
  <c r="P309" i="14"/>
  <c r="P302" i="14"/>
  <c r="P300" i="14"/>
  <c r="P298" i="14"/>
  <c r="P291" i="14"/>
  <c r="P289" i="14"/>
  <c r="P275" i="14"/>
  <c r="P259" i="14"/>
  <c r="P257" i="14"/>
  <c r="P243" i="14"/>
  <c r="P241" i="14"/>
  <c r="P311" i="14"/>
  <c r="P284" i="14"/>
  <c r="P282" i="14"/>
  <c r="P266" i="14"/>
  <c r="P250" i="14"/>
  <c r="P234" i="14"/>
  <c r="P352" i="14"/>
  <c r="P343" i="14"/>
  <c r="P336" i="14"/>
  <c r="P327" i="14"/>
  <c r="P320" i="14"/>
  <c r="P304" i="14"/>
  <c r="P268" i="14"/>
  <c r="P236" i="14"/>
  <c r="P347" i="14"/>
  <c r="P345" i="14"/>
  <c r="P331" i="14"/>
  <c r="P329" i="14"/>
  <c r="P315" i="14"/>
  <c r="P313" i="14"/>
  <c r="P295" i="14"/>
  <c r="P293" i="14"/>
  <c r="P286" i="14"/>
  <c r="P277" i="14"/>
  <c r="P270" i="14"/>
  <c r="P261" i="14"/>
  <c r="P245" i="14"/>
  <c r="P238" i="14"/>
  <c r="P233" i="14"/>
  <c r="P301" i="14"/>
  <c r="P290" i="14"/>
  <c r="P274" i="14"/>
  <c r="P314" i="14"/>
  <c r="P287" i="14"/>
  <c r="P340" i="14"/>
  <c r="P338" i="14"/>
  <c r="P324" i="14"/>
  <c r="P322" i="14"/>
  <c r="P308" i="14"/>
  <c r="P306" i="14"/>
  <c r="P299" i="14"/>
  <c r="P288" i="14"/>
  <c r="P279" i="14"/>
  <c r="P272" i="14"/>
  <c r="P263" i="14"/>
  <c r="P256" i="14"/>
  <c r="P247" i="14"/>
  <c r="P240" i="14"/>
  <c r="P242" i="14"/>
  <c r="P280" i="14"/>
  <c r="P264" i="14"/>
  <c r="P349" i="14"/>
  <c r="P342" i="14"/>
  <c r="P333" i="14"/>
  <c r="P310" i="14"/>
  <c r="P283" i="14"/>
  <c r="P281" i="14"/>
  <c r="P267" i="14"/>
  <c r="P265" i="14"/>
  <c r="P251" i="14"/>
  <c r="P249" i="14"/>
  <c r="P235" i="14"/>
  <c r="P303" i="14"/>
  <c r="P260" i="14"/>
  <c r="P244" i="14"/>
  <c r="P351" i="14"/>
  <c r="P344" i="14"/>
  <c r="P335" i="14"/>
  <c r="P328" i="14"/>
  <c r="P292" i="14"/>
  <c r="P276" i="14"/>
  <c r="P258" i="14"/>
  <c r="P271" i="14"/>
  <c r="P339" i="14"/>
  <c r="P337" i="14"/>
  <c r="P323" i="14"/>
  <c r="P321" i="14"/>
  <c r="P307" i="14"/>
  <c r="P305" i="14"/>
  <c r="P296" i="14"/>
  <c r="P285" i="14"/>
  <c r="P278" i="14"/>
  <c r="P269" i="14"/>
  <c r="P262" i="14"/>
  <c r="P246" i="14"/>
  <c r="P237" i="14"/>
  <c r="P348" i="14"/>
  <c r="P346" i="14"/>
  <c r="P332" i="14"/>
  <c r="P239" i="14"/>
  <c r="G88" i="14"/>
  <c r="F91" i="14"/>
  <c r="F145" i="14" s="1"/>
  <c r="H90" i="14"/>
  <c r="F89" i="14"/>
  <c r="F143" i="14" s="1"/>
  <c r="F88" i="14"/>
  <c r="F142" i="14" s="1"/>
  <c r="G90" i="14"/>
  <c r="H89" i="14"/>
  <c r="H92" i="14"/>
  <c r="G92" i="14"/>
  <c r="H88" i="14"/>
  <c r="H87" i="14"/>
  <c r="F90" i="14"/>
  <c r="F144" i="14" s="1"/>
  <c r="G89" i="14"/>
  <c r="G87" i="14"/>
  <c r="H91" i="14"/>
  <c r="F87" i="14"/>
  <c r="F141" i="14" s="1"/>
  <c r="F92" i="14"/>
  <c r="F146" i="14" s="1"/>
  <c r="G91" i="14"/>
  <c r="D92" i="14"/>
  <c r="P50" i="8"/>
  <c r="E92" i="14"/>
  <c r="C87" i="14"/>
  <c r="C141" i="14" s="1"/>
  <c r="E87" i="14"/>
  <c r="D91" i="14"/>
  <c r="Q50" i="8"/>
  <c r="C89" i="14"/>
  <c r="C143" i="14" s="1"/>
  <c r="D89" i="14"/>
  <c r="D88" i="14"/>
  <c r="E91" i="14"/>
  <c r="D90" i="14"/>
  <c r="C88" i="14"/>
  <c r="C142" i="14" s="1"/>
  <c r="E89" i="14"/>
  <c r="P48" i="8"/>
  <c r="C92" i="14"/>
  <c r="C146" i="14" s="1"/>
  <c r="P49" i="8"/>
  <c r="D87" i="14"/>
  <c r="E88" i="14"/>
  <c r="Q48" i="8"/>
  <c r="C90" i="14"/>
  <c r="C144" i="14" s="1"/>
  <c r="C91" i="14"/>
  <c r="C145" i="14" s="1"/>
  <c r="E90" i="14"/>
  <c r="V17" i="14"/>
  <c r="AC18" i="14"/>
  <c r="P75" i="14" l="1"/>
  <c r="W3" i="8"/>
  <c r="O488" i="14"/>
  <c r="Q488" i="14" s="1"/>
  <c r="O496" i="14"/>
  <c r="Q496" i="14" s="1"/>
  <c r="O504" i="14"/>
  <c r="Q504" i="14" s="1"/>
  <c r="O512" i="14"/>
  <c r="Q512" i="14" s="1"/>
  <c r="O520" i="14"/>
  <c r="Q520" i="14" s="1"/>
  <c r="O528" i="14"/>
  <c r="Q528" i="14" s="1"/>
  <c r="O536" i="14"/>
  <c r="Q536" i="14" s="1"/>
  <c r="O544" i="14"/>
  <c r="Q544" i="14" s="1"/>
  <c r="O552" i="14"/>
  <c r="Q552" i="14" s="1"/>
  <c r="O560" i="14"/>
  <c r="Q560" i="14" s="1"/>
  <c r="O568" i="14"/>
  <c r="Q568" i="14" s="1"/>
  <c r="O576" i="14"/>
  <c r="Q576" i="14" s="1"/>
  <c r="O584" i="14"/>
  <c r="Q584" i="14" s="1"/>
  <c r="O592" i="14"/>
  <c r="Q592" i="14" s="1"/>
  <c r="O600" i="14"/>
  <c r="Q600" i="14" s="1"/>
  <c r="O363" i="14"/>
  <c r="Q363" i="14" s="1"/>
  <c r="O371" i="14"/>
  <c r="Q371" i="14" s="1"/>
  <c r="O379" i="14"/>
  <c r="Q379" i="14" s="1"/>
  <c r="O387" i="14"/>
  <c r="Q387" i="14" s="1"/>
  <c r="O395" i="14"/>
  <c r="Q395" i="14" s="1"/>
  <c r="O403" i="14"/>
  <c r="Q403" i="14" s="1"/>
  <c r="O411" i="14"/>
  <c r="Q411" i="14" s="1"/>
  <c r="O419" i="14"/>
  <c r="Q419" i="14" s="1"/>
  <c r="O427" i="14"/>
  <c r="Q427" i="14" s="1"/>
  <c r="O435" i="14"/>
  <c r="Q435" i="14" s="1"/>
  <c r="O443" i="14"/>
  <c r="Q443" i="14" s="1"/>
  <c r="O451" i="14"/>
  <c r="Q451" i="14" s="1"/>
  <c r="O459" i="14"/>
  <c r="Q459" i="14" s="1"/>
  <c r="O467" i="14"/>
  <c r="Q467" i="14" s="1"/>
  <c r="O475" i="14"/>
  <c r="Q475" i="14" s="1"/>
  <c r="O489" i="14"/>
  <c r="Q489" i="14" s="1"/>
  <c r="O497" i="14"/>
  <c r="Q497" i="14" s="1"/>
  <c r="O505" i="14"/>
  <c r="Q505" i="14" s="1"/>
  <c r="O513" i="14"/>
  <c r="Q513" i="14" s="1"/>
  <c r="O521" i="14"/>
  <c r="Q521" i="14" s="1"/>
  <c r="O529" i="14"/>
  <c r="Q529" i="14" s="1"/>
  <c r="O537" i="14"/>
  <c r="Q537" i="14" s="1"/>
  <c r="O545" i="14"/>
  <c r="Q545" i="14" s="1"/>
  <c r="O553" i="14"/>
  <c r="Q553" i="14" s="1"/>
  <c r="O561" i="14"/>
  <c r="Q561" i="14" s="1"/>
  <c r="O569" i="14"/>
  <c r="Q569" i="14" s="1"/>
  <c r="O577" i="14"/>
  <c r="Q577" i="14" s="1"/>
  <c r="O585" i="14"/>
  <c r="Q585" i="14" s="1"/>
  <c r="O593" i="14"/>
  <c r="Q593" i="14" s="1"/>
  <c r="O601" i="14"/>
  <c r="Q601" i="14" s="1"/>
  <c r="O364" i="14"/>
  <c r="Q364" i="14" s="1"/>
  <c r="O372" i="14"/>
  <c r="Q372" i="14" s="1"/>
  <c r="O380" i="14"/>
  <c r="Q380" i="14" s="1"/>
  <c r="O388" i="14"/>
  <c r="Q388" i="14" s="1"/>
  <c r="O396" i="14"/>
  <c r="Q396" i="14" s="1"/>
  <c r="O404" i="14"/>
  <c r="Q404" i="14" s="1"/>
  <c r="O412" i="14"/>
  <c r="Q412" i="14" s="1"/>
  <c r="O420" i="14"/>
  <c r="Q420" i="14" s="1"/>
  <c r="O428" i="14"/>
  <c r="Q428" i="14" s="1"/>
  <c r="O436" i="14"/>
  <c r="Q436" i="14" s="1"/>
  <c r="O444" i="14"/>
  <c r="Q444" i="14" s="1"/>
  <c r="O452" i="14"/>
  <c r="Q452" i="14" s="1"/>
  <c r="O460" i="14"/>
  <c r="Q460" i="14" s="1"/>
  <c r="O468" i="14"/>
  <c r="Q468" i="14" s="1"/>
  <c r="O476" i="14"/>
  <c r="Q476" i="14" s="1"/>
  <c r="O490" i="14"/>
  <c r="Q490" i="14" s="1"/>
  <c r="O498" i="14"/>
  <c r="Q498" i="14" s="1"/>
  <c r="O506" i="14"/>
  <c r="Q506" i="14" s="1"/>
  <c r="O514" i="14"/>
  <c r="Q514" i="14" s="1"/>
  <c r="O522" i="14"/>
  <c r="Q522" i="14" s="1"/>
  <c r="O530" i="14"/>
  <c r="Q530" i="14" s="1"/>
  <c r="O538" i="14"/>
  <c r="Q538" i="14" s="1"/>
  <c r="O546" i="14"/>
  <c r="Q546" i="14" s="1"/>
  <c r="O554" i="14"/>
  <c r="Q554" i="14" s="1"/>
  <c r="O562" i="14"/>
  <c r="Q562" i="14" s="1"/>
  <c r="O570" i="14"/>
  <c r="Q570" i="14" s="1"/>
  <c r="O578" i="14"/>
  <c r="Q578" i="14" s="1"/>
  <c r="O586" i="14"/>
  <c r="Q586" i="14" s="1"/>
  <c r="O594" i="14"/>
  <c r="Q594" i="14" s="1"/>
  <c r="O483" i="14"/>
  <c r="Q483" i="14" s="1"/>
  <c r="O365" i="14"/>
  <c r="Q365" i="14" s="1"/>
  <c r="O373" i="14"/>
  <c r="Q373" i="14" s="1"/>
  <c r="O381" i="14"/>
  <c r="Q381" i="14" s="1"/>
  <c r="O389" i="14"/>
  <c r="Q389" i="14" s="1"/>
  <c r="O397" i="14"/>
  <c r="Q397" i="14" s="1"/>
  <c r="O405" i="14"/>
  <c r="Q405" i="14" s="1"/>
  <c r="O413" i="14"/>
  <c r="Q413" i="14" s="1"/>
  <c r="O421" i="14"/>
  <c r="Q421" i="14" s="1"/>
  <c r="O429" i="14"/>
  <c r="Q429" i="14" s="1"/>
  <c r="O437" i="14"/>
  <c r="Q437" i="14" s="1"/>
  <c r="O445" i="14"/>
  <c r="Q445" i="14" s="1"/>
  <c r="O453" i="14"/>
  <c r="Q453" i="14" s="1"/>
  <c r="O461" i="14"/>
  <c r="Q461" i="14" s="1"/>
  <c r="O469" i="14"/>
  <c r="Q469" i="14" s="1"/>
  <c r="O358" i="14"/>
  <c r="Q358" i="14" s="1"/>
  <c r="O491" i="14"/>
  <c r="Q491" i="14" s="1"/>
  <c r="O499" i="14"/>
  <c r="Q499" i="14" s="1"/>
  <c r="O507" i="14"/>
  <c r="Q507" i="14" s="1"/>
  <c r="O515" i="14"/>
  <c r="Q515" i="14" s="1"/>
  <c r="O523" i="14"/>
  <c r="Q523" i="14" s="1"/>
  <c r="O531" i="14"/>
  <c r="Q531" i="14" s="1"/>
  <c r="O539" i="14"/>
  <c r="Q539" i="14" s="1"/>
  <c r="O547" i="14"/>
  <c r="Q547" i="14" s="1"/>
  <c r="O555" i="14"/>
  <c r="Q555" i="14" s="1"/>
  <c r="O563" i="14"/>
  <c r="Q563" i="14" s="1"/>
  <c r="O571" i="14"/>
  <c r="Q571" i="14" s="1"/>
  <c r="O579" i="14"/>
  <c r="Q579" i="14" s="1"/>
  <c r="O587" i="14"/>
  <c r="Q587" i="14" s="1"/>
  <c r="O595" i="14"/>
  <c r="Q595" i="14" s="1"/>
  <c r="O482" i="14"/>
  <c r="Q482" i="14" s="1"/>
  <c r="O366" i="14"/>
  <c r="Q366" i="14" s="1"/>
  <c r="O374" i="14"/>
  <c r="Q374" i="14" s="1"/>
  <c r="O382" i="14"/>
  <c r="Q382" i="14" s="1"/>
  <c r="O390" i="14"/>
  <c r="Q390" i="14" s="1"/>
  <c r="O398" i="14"/>
  <c r="Q398" i="14" s="1"/>
  <c r="O406" i="14"/>
  <c r="Q406" i="14" s="1"/>
  <c r="O414" i="14"/>
  <c r="Q414" i="14" s="1"/>
  <c r="O422" i="14"/>
  <c r="Q422" i="14" s="1"/>
  <c r="O430" i="14"/>
  <c r="Q430" i="14" s="1"/>
  <c r="O438" i="14"/>
  <c r="Q438" i="14" s="1"/>
  <c r="O446" i="14"/>
  <c r="Q446" i="14" s="1"/>
  <c r="O454" i="14"/>
  <c r="Q454" i="14" s="1"/>
  <c r="O462" i="14"/>
  <c r="Q462" i="14" s="1"/>
  <c r="O470" i="14"/>
  <c r="Q470" i="14" s="1"/>
  <c r="O357" i="14"/>
  <c r="Q357" i="14" s="1"/>
  <c r="O484" i="14"/>
  <c r="Q484" i="14" s="1"/>
  <c r="O492" i="14"/>
  <c r="Q492" i="14" s="1"/>
  <c r="O500" i="14"/>
  <c r="Q500" i="14" s="1"/>
  <c r="O508" i="14"/>
  <c r="Q508" i="14" s="1"/>
  <c r="O516" i="14"/>
  <c r="Q516" i="14" s="1"/>
  <c r="O524" i="14"/>
  <c r="Q524" i="14" s="1"/>
  <c r="O532" i="14"/>
  <c r="Q532" i="14" s="1"/>
  <c r="O540" i="14"/>
  <c r="Q540" i="14" s="1"/>
  <c r="O548" i="14"/>
  <c r="Q548" i="14" s="1"/>
  <c r="O556" i="14"/>
  <c r="Q556" i="14" s="1"/>
  <c r="O564" i="14"/>
  <c r="Q564" i="14" s="1"/>
  <c r="O572" i="14"/>
  <c r="Q572" i="14" s="1"/>
  <c r="O580" i="14"/>
  <c r="Q580" i="14" s="1"/>
  <c r="O588" i="14"/>
  <c r="Q588" i="14" s="1"/>
  <c r="O596" i="14"/>
  <c r="Q596" i="14" s="1"/>
  <c r="O359" i="14"/>
  <c r="Q359" i="14" s="1"/>
  <c r="O367" i="14"/>
  <c r="Q367" i="14" s="1"/>
  <c r="O375" i="14"/>
  <c r="Q375" i="14" s="1"/>
  <c r="O383" i="14"/>
  <c r="Q383" i="14" s="1"/>
  <c r="O391" i="14"/>
  <c r="Q391" i="14" s="1"/>
  <c r="O399" i="14"/>
  <c r="Q399" i="14" s="1"/>
  <c r="O407" i="14"/>
  <c r="Q407" i="14" s="1"/>
  <c r="O415" i="14"/>
  <c r="Q415" i="14" s="1"/>
  <c r="O423" i="14"/>
  <c r="Q423" i="14" s="1"/>
  <c r="O431" i="14"/>
  <c r="Q431" i="14" s="1"/>
  <c r="O439" i="14"/>
  <c r="Q439" i="14" s="1"/>
  <c r="O447" i="14"/>
  <c r="Q447" i="14" s="1"/>
  <c r="O455" i="14"/>
  <c r="Q455" i="14" s="1"/>
  <c r="O463" i="14"/>
  <c r="Q463" i="14" s="1"/>
  <c r="O471" i="14"/>
  <c r="Q471" i="14" s="1"/>
  <c r="O485" i="14"/>
  <c r="Q485" i="14" s="1"/>
  <c r="O493" i="14"/>
  <c r="Q493" i="14" s="1"/>
  <c r="O501" i="14"/>
  <c r="Q501" i="14" s="1"/>
  <c r="O509" i="14"/>
  <c r="Q509" i="14" s="1"/>
  <c r="O517" i="14"/>
  <c r="Q517" i="14" s="1"/>
  <c r="O525" i="14"/>
  <c r="Q525" i="14" s="1"/>
  <c r="O533" i="14"/>
  <c r="Q533" i="14" s="1"/>
  <c r="O541" i="14"/>
  <c r="Q541" i="14" s="1"/>
  <c r="O549" i="14"/>
  <c r="Q549" i="14" s="1"/>
  <c r="O557" i="14"/>
  <c r="Q557" i="14" s="1"/>
  <c r="O565" i="14"/>
  <c r="Q565" i="14" s="1"/>
  <c r="O573" i="14"/>
  <c r="Q573" i="14" s="1"/>
  <c r="O581" i="14"/>
  <c r="Q581" i="14" s="1"/>
  <c r="O589" i="14"/>
  <c r="Q589" i="14" s="1"/>
  <c r="O597" i="14"/>
  <c r="Q597" i="14" s="1"/>
  <c r="O360" i="14"/>
  <c r="Q360" i="14" s="1"/>
  <c r="O368" i="14"/>
  <c r="Q368" i="14" s="1"/>
  <c r="O376" i="14"/>
  <c r="Q376" i="14" s="1"/>
  <c r="O384" i="14"/>
  <c r="Q384" i="14" s="1"/>
  <c r="O392" i="14"/>
  <c r="Q392" i="14" s="1"/>
  <c r="O400" i="14"/>
  <c r="Q400" i="14" s="1"/>
  <c r="O408" i="14"/>
  <c r="Q408" i="14" s="1"/>
  <c r="O416" i="14"/>
  <c r="Q416" i="14" s="1"/>
  <c r="O424" i="14"/>
  <c r="Q424" i="14" s="1"/>
  <c r="O432" i="14"/>
  <c r="Q432" i="14" s="1"/>
  <c r="O440" i="14"/>
  <c r="Q440" i="14" s="1"/>
  <c r="O448" i="14"/>
  <c r="Q448" i="14" s="1"/>
  <c r="O456" i="14"/>
  <c r="Q456" i="14" s="1"/>
  <c r="O464" i="14"/>
  <c r="Q464" i="14" s="1"/>
  <c r="O472" i="14"/>
  <c r="Q472" i="14" s="1"/>
  <c r="O486" i="14"/>
  <c r="Q486" i="14" s="1"/>
  <c r="O494" i="14"/>
  <c r="Q494" i="14" s="1"/>
  <c r="O502" i="14"/>
  <c r="Q502" i="14" s="1"/>
  <c r="O510" i="14"/>
  <c r="Q510" i="14" s="1"/>
  <c r="O518" i="14"/>
  <c r="Q518" i="14" s="1"/>
  <c r="O526" i="14"/>
  <c r="Q526" i="14" s="1"/>
  <c r="O534" i="14"/>
  <c r="Q534" i="14" s="1"/>
  <c r="O542" i="14"/>
  <c r="Q542" i="14" s="1"/>
  <c r="O550" i="14"/>
  <c r="Q550" i="14" s="1"/>
  <c r="O558" i="14"/>
  <c r="Q558" i="14" s="1"/>
  <c r="O566" i="14"/>
  <c r="Q566" i="14" s="1"/>
  <c r="O574" i="14"/>
  <c r="Q574" i="14" s="1"/>
  <c r="O582" i="14"/>
  <c r="Q582" i="14" s="1"/>
  <c r="O590" i="14"/>
  <c r="Q590" i="14" s="1"/>
  <c r="O598" i="14"/>
  <c r="Q598" i="14" s="1"/>
  <c r="O361" i="14"/>
  <c r="Q361" i="14" s="1"/>
  <c r="O369" i="14"/>
  <c r="Q369" i="14" s="1"/>
  <c r="O377" i="14"/>
  <c r="Q377" i="14" s="1"/>
  <c r="O385" i="14"/>
  <c r="Q385" i="14" s="1"/>
  <c r="O393" i="14"/>
  <c r="Q393" i="14" s="1"/>
  <c r="O401" i="14"/>
  <c r="Q401" i="14" s="1"/>
  <c r="O409" i="14"/>
  <c r="Q409" i="14" s="1"/>
  <c r="O417" i="14"/>
  <c r="Q417" i="14" s="1"/>
  <c r="O425" i="14"/>
  <c r="Q425" i="14" s="1"/>
  <c r="O433" i="14"/>
  <c r="Q433" i="14" s="1"/>
  <c r="O441" i="14"/>
  <c r="Q441" i="14" s="1"/>
  <c r="O449" i="14"/>
  <c r="Q449" i="14" s="1"/>
  <c r="O457" i="14"/>
  <c r="Q457" i="14" s="1"/>
  <c r="O465" i="14"/>
  <c r="Q465" i="14" s="1"/>
  <c r="O473" i="14"/>
  <c r="Q473" i="14" s="1"/>
  <c r="O503" i="14"/>
  <c r="Q503" i="14" s="1"/>
  <c r="O567" i="14"/>
  <c r="Q567" i="14" s="1"/>
  <c r="O394" i="14"/>
  <c r="Q394" i="14" s="1"/>
  <c r="O458" i="14"/>
  <c r="Q458" i="14" s="1"/>
  <c r="O575" i="14"/>
  <c r="Q575" i="14" s="1"/>
  <c r="O402" i="14"/>
  <c r="Q402" i="14" s="1"/>
  <c r="O511" i="14"/>
  <c r="Q511" i="14" s="1"/>
  <c r="O466" i="14"/>
  <c r="Q466" i="14" s="1"/>
  <c r="O519" i="14"/>
  <c r="Q519" i="14" s="1"/>
  <c r="O583" i="14"/>
  <c r="Q583" i="14" s="1"/>
  <c r="O410" i="14"/>
  <c r="Q410" i="14" s="1"/>
  <c r="O474" i="14"/>
  <c r="Q474" i="14" s="1"/>
  <c r="O434" i="14"/>
  <c r="Q434" i="14" s="1"/>
  <c r="O527" i="14"/>
  <c r="Q527" i="14" s="1"/>
  <c r="O591" i="14"/>
  <c r="Q591" i="14" s="1"/>
  <c r="O418" i="14"/>
  <c r="Q418" i="14" s="1"/>
  <c r="O535" i="14"/>
  <c r="Q535" i="14" s="1"/>
  <c r="O599" i="14"/>
  <c r="Q599" i="14" s="1"/>
  <c r="O362" i="14"/>
  <c r="Q362" i="14" s="1"/>
  <c r="O426" i="14"/>
  <c r="Q426" i="14" s="1"/>
  <c r="O543" i="14"/>
  <c r="Q543" i="14" s="1"/>
  <c r="O370" i="14"/>
  <c r="Q370" i="14" s="1"/>
  <c r="O487" i="14"/>
  <c r="Q487" i="14" s="1"/>
  <c r="O551" i="14"/>
  <c r="Q551" i="14" s="1"/>
  <c r="O378" i="14"/>
  <c r="Q378" i="14" s="1"/>
  <c r="O442" i="14"/>
  <c r="Q442" i="14" s="1"/>
  <c r="O495" i="14"/>
  <c r="Q495" i="14" s="1"/>
  <c r="O559" i="14"/>
  <c r="Q559" i="14" s="1"/>
  <c r="O386" i="14"/>
  <c r="Q386" i="14" s="1"/>
  <c r="O450" i="14"/>
  <c r="Q450" i="14" s="1"/>
  <c r="P74" i="14"/>
  <c r="P76" i="14"/>
  <c r="O235" i="14"/>
  <c r="Q235" i="14" s="1"/>
  <c r="O243" i="14"/>
  <c r="Q243" i="14" s="1"/>
  <c r="O251" i="14"/>
  <c r="Q251" i="14" s="1"/>
  <c r="O259" i="14"/>
  <c r="Q259" i="14" s="1"/>
  <c r="O267" i="14"/>
  <c r="Q267" i="14" s="1"/>
  <c r="O275" i="14"/>
  <c r="Q275" i="14" s="1"/>
  <c r="O283" i="14"/>
  <c r="Q283" i="14" s="1"/>
  <c r="O291" i="14"/>
  <c r="Q291" i="14" s="1"/>
  <c r="O299" i="14"/>
  <c r="Q299" i="14" s="1"/>
  <c r="O307" i="14"/>
  <c r="Q307" i="14" s="1"/>
  <c r="O315" i="14"/>
  <c r="O323" i="14"/>
  <c r="Q323" i="14" s="1"/>
  <c r="O331" i="14"/>
  <c r="Q331" i="14" s="1"/>
  <c r="O339" i="14"/>
  <c r="Q339" i="14" s="1"/>
  <c r="O347" i="14"/>
  <c r="O262" i="14"/>
  <c r="Q262" i="14" s="1"/>
  <c r="O286" i="14"/>
  <c r="Q286" i="14" s="1"/>
  <c r="O318" i="14"/>
  <c r="Q318" i="14" s="1"/>
  <c r="O342" i="14"/>
  <c r="Q342" i="14" s="1"/>
  <c r="O258" i="14"/>
  <c r="Q258" i="14" s="1"/>
  <c r="O236" i="14"/>
  <c r="Q236" i="14" s="1"/>
  <c r="O244" i="14"/>
  <c r="Q244" i="14" s="1"/>
  <c r="O252" i="14"/>
  <c r="O260" i="14"/>
  <c r="Q260" i="14" s="1"/>
  <c r="O268" i="14"/>
  <c r="O276" i="14"/>
  <c r="Q276" i="14" s="1"/>
  <c r="O284" i="14"/>
  <c r="O292" i="14"/>
  <c r="Q292" i="14" s="1"/>
  <c r="O300" i="14"/>
  <c r="Q300" i="14" s="1"/>
  <c r="O308" i="14"/>
  <c r="Q308" i="14" s="1"/>
  <c r="O316" i="14"/>
  <c r="Q316" i="14" s="1"/>
  <c r="O324" i="14"/>
  <c r="Q324" i="14" s="1"/>
  <c r="O332" i="14"/>
  <c r="Q332" i="14" s="1"/>
  <c r="O340" i="14"/>
  <c r="Q340" i="14" s="1"/>
  <c r="O348" i="14"/>
  <c r="Q348" i="14" s="1"/>
  <c r="O254" i="14"/>
  <c r="Q254" i="14" s="1"/>
  <c r="O278" i="14"/>
  <c r="Q278" i="14" s="1"/>
  <c r="O294" i="14"/>
  <c r="Q294" i="14" s="1"/>
  <c r="O310" i="14"/>
  <c r="Q310" i="14" s="1"/>
  <c r="O334" i="14"/>
  <c r="Q334" i="14" s="1"/>
  <c r="O250" i="14"/>
  <c r="O298" i="14"/>
  <c r="Q298" i="14" s="1"/>
  <c r="O330" i="14"/>
  <c r="Q330" i="14" s="1"/>
  <c r="O233" i="14"/>
  <c r="Q233" i="14" s="1"/>
  <c r="O237" i="14"/>
  <c r="Q237" i="14" s="1"/>
  <c r="O245" i="14"/>
  <c r="Q245" i="14" s="1"/>
  <c r="O253" i="14"/>
  <c r="Q253" i="14" s="1"/>
  <c r="O261" i="14"/>
  <c r="Q261" i="14" s="1"/>
  <c r="O269" i="14"/>
  <c r="Q269" i="14" s="1"/>
  <c r="O277" i="14"/>
  <c r="Q277" i="14" s="1"/>
  <c r="O285" i="14"/>
  <c r="Q285" i="14" s="1"/>
  <c r="O293" i="14"/>
  <c r="Q293" i="14" s="1"/>
  <c r="O301" i="14"/>
  <c r="Q301" i="14" s="1"/>
  <c r="O309" i="14"/>
  <c r="Q309" i="14" s="1"/>
  <c r="O317" i="14"/>
  <c r="Q317" i="14" s="1"/>
  <c r="O325" i="14"/>
  <c r="Q325" i="14" s="1"/>
  <c r="O333" i="14"/>
  <c r="Q333" i="14" s="1"/>
  <c r="O341" i="14"/>
  <c r="Q341" i="14" s="1"/>
  <c r="O349" i="14"/>
  <c r="Q349" i="14" s="1"/>
  <c r="O246" i="14"/>
  <c r="Q246" i="14" s="1"/>
  <c r="O270" i="14"/>
  <c r="Q270" i="14" s="1"/>
  <c r="O302" i="14"/>
  <c r="Q302" i="14" s="1"/>
  <c r="O326" i="14"/>
  <c r="Q326" i="14" s="1"/>
  <c r="O350" i="14"/>
  <c r="Q350" i="14" s="1"/>
  <c r="O242" i="14"/>
  <c r="Q242" i="14" s="1"/>
  <c r="O290" i="14"/>
  <c r="Q290" i="14" s="1"/>
  <c r="O322" i="14"/>
  <c r="Q322" i="14" s="1"/>
  <c r="O346" i="14"/>
  <c r="Q346" i="14" s="1"/>
  <c r="O238" i="14"/>
  <c r="Q238" i="14" s="1"/>
  <c r="O282" i="14"/>
  <c r="O338" i="14"/>
  <c r="Q338" i="14" s="1"/>
  <c r="O239" i="14"/>
  <c r="Q239" i="14" s="1"/>
  <c r="O247" i="14"/>
  <c r="Q247" i="14" s="1"/>
  <c r="O255" i="14"/>
  <c r="Q255" i="14" s="1"/>
  <c r="O263" i="14"/>
  <c r="Q263" i="14" s="1"/>
  <c r="O271" i="14"/>
  <c r="Q271" i="14" s="1"/>
  <c r="O279" i="14"/>
  <c r="Q279" i="14" s="1"/>
  <c r="O287" i="14"/>
  <c r="Q287" i="14" s="1"/>
  <c r="O295" i="14"/>
  <c r="Q295" i="14" s="1"/>
  <c r="O303" i="14"/>
  <c r="Q303" i="14" s="1"/>
  <c r="O311" i="14"/>
  <c r="O319" i="14"/>
  <c r="Q319" i="14" s="1"/>
  <c r="O327" i="14"/>
  <c r="O335" i="14"/>
  <c r="Q335" i="14" s="1"/>
  <c r="O343" i="14"/>
  <c r="Q343" i="14" s="1"/>
  <c r="O351" i="14"/>
  <c r="Q351" i="14" s="1"/>
  <c r="O241" i="14"/>
  <c r="Q241" i="14" s="1"/>
  <c r="O257" i="14"/>
  <c r="Q257" i="14" s="1"/>
  <c r="O273" i="14"/>
  <c r="O289" i="14"/>
  <c r="Q289" i="14" s="1"/>
  <c r="O305" i="14"/>
  <c r="Q305" i="14" s="1"/>
  <c r="O329" i="14"/>
  <c r="Q329" i="14" s="1"/>
  <c r="O345" i="14"/>
  <c r="Q345" i="14" s="1"/>
  <c r="O274" i="14"/>
  <c r="Q274" i="14" s="1"/>
  <c r="O314" i="14"/>
  <c r="Q314" i="14" s="1"/>
  <c r="O240" i="14"/>
  <c r="Q240" i="14" s="1"/>
  <c r="O248" i="14"/>
  <c r="Q248" i="14" s="1"/>
  <c r="O256" i="14"/>
  <c r="Q256" i="14" s="1"/>
  <c r="O264" i="14"/>
  <c r="Q264" i="14" s="1"/>
  <c r="O272" i="14"/>
  <c r="Q272" i="14" s="1"/>
  <c r="O280" i="14"/>
  <c r="Q280" i="14" s="1"/>
  <c r="O288" i="14"/>
  <c r="Q288" i="14" s="1"/>
  <c r="O296" i="14"/>
  <c r="Q296" i="14" s="1"/>
  <c r="O304" i="14"/>
  <c r="O312" i="14"/>
  <c r="Q312" i="14" s="1"/>
  <c r="O320" i="14"/>
  <c r="Q320" i="14" s="1"/>
  <c r="O328" i="14"/>
  <c r="Q328" i="14" s="1"/>
  <c r="O336" i="14"/>
  <c r="Q336" i="14" s="1"/>
  <c r="O344" i="14"/>
  <c r="Q344" i="14" s="1"/>
  <c r="O352" i="14"/>
  <c r="O249" i="14"/>
  <c r="Q249" i="14" s="1"/>
  <c r="O265" i="14"/>
  <c r="Q265" i="14" s="1"/>
  <c r="O281" i="14"/>
  <c r="Q281" i="14" s="1"/>
  <c r="O297" i="14"/>
  <c r="Q297" i="14" s="1"/>
  <c r="O313" i="14"/>
  <c r="O321" i="14"/>
  <c r="Q321" i="14" s="1"/>
  <c r="O337" i="14"/>
  <c r="Q337" i="14" s="1"/>
  <c r="O234" i="14"/>
  <c r="Q234" i="14" s="1"/>
  <c r="O266" i="14"/>
  <c r="Q266" i="14" s="1"/>
  <c r="O306" i="14"/>
  <c r="Q306" i="14" s="1"/>
  <c r="H212" i="14"/>
  <c r="F209" i="14"/>
  <c r="R49" i="8" s="1"/>
  <c r="H209" i="14"/>
  <c r="T49" i="8" s="1"/>
  <c r="G209" i="14"/>
  <c r="S49" i="8" s="1"/>
  <c r="F208" i="14"/>
  <c r="R48" i="8" s="1"/>
  <c r="G211" i="14"/>
  <c r="H211" i="14"/>
  <c r="G210" i="14"/>
  <c r="S50" i="8" s="1"/>
  <c r="G208" i="14"/>
  <c r="S48" i="8" s="1"/>
  <c r="F210" i="14"/>
  <c r="R50" i="8" s="1"/>
  <c r="G212" i="14"/>
  <c r="F212" i="14"/>
  <c r="H208" i="14"/>
  <c r="T48" i="8" s="1"/>
  <c r="H210" i="14"/>
  <c r="T50" i="8" s="1"/>
  <c r="F211" i="14"/>
  <c r="P77" i="14"/>
  <c r="P78" i="14"/>
  <c r="K10" i="14"/>
  <c r="K16" i="14" s="1"/>
  <c r="M78" i="14" s="1"/>
  <c r="P79" i="14"/>
  <c r="H142" i="14"/>
  <c r="T7" i="8" s="1"/>
  <c r="I211" i="14"/>
  <c r="O51" i="8"/>
  <c r="E144" i="14"/>
  <c r="Q9" i="8" s="1"/>
  <c r="E141" i="14"/>
  <c r="Q6" i="8" s="1"/>
  <c r="G146" i="14"/>
  <c r="S11" i="8" s="1"/>
  <c r="G142" i="14"/>
  <c r="S7" i="8" s="1"/>
  <c r="Q347" i="14"/>
  <c r="Q250" i="14"/>
  <c r="H146" i="14"/>
  <c r="T11" i="8" s="1"/>
  <c r="Q273" i="14"/>
  <c r="Q252" i="14"/>
  <c r="D141" i="14"/>
  <c r="P6" i="8" s="1"/>
  <c r="D142" i="14"/>
  <c r="P7" i="8" s="1"/>
  <c r="H145" i="14"/>
  <c r="T10" i="8" s="1"/>
  <c r="E143" i="14"/>
  <c r="Q8" i="8" s="1"/>
  <c r="D143" i="14"/>
  <c r="P8" i="8" s="1"/>
  <c r="E146" i="14"/>
  <c r="Q11" i="8" s="1"/>
  <c r="G141" i="14"/>
  <c r="S6" i="8" s="1"/>
  <c r="G144" i="14"/>
  <c r="S9" i="8" s="1"/>
  <c r="Q313" i="14"/>
  <c r="Q268" i="14"/>
  <c r="G143" i="14"/>
  <c r="S8" i="8" s="1"/>
  <c r="Q315" i="14"/>
  <c r="Q282" i="14"/>
  <c r="I212" i="14"/>
  <c r="O52" i="8"/>
  <c r="G145" i="14"/>
  <c r="S10" i="8" s="1"/>
  <c r="H143" i="14"/>
  <c r="T8" i="8" s="1"/>
  <c r="D144" i="14"/>
  <c r="P9" i="8" s="1"/>
  <c r="D146" i="14"/>
  <c r="P11" i="8" s="1"/>
  <c r="D145" i="14"/>
  <c r="P10" i="8" s="1"/>
  <c r="E142" i="14"/>
  <c r="Q7" i="8" s="1"/>
  <c r="E145" i="14"/>
  <c r="Q10" i="8" s="1"/>
  <c r="H141" i="14"/>
  <c r="T6" i="8" s="1"/>
  <c r="H144" i="14"/>
  <c r="T9" i="8" s="1"/>
  <c r="Q284" i="14"/>
  <c r="Q304" i="14"/>
  <c r="Q311" i="14"/>
  <c r="Q75" i="14"/>
  <c r="R75" i="14" s="1"/>
  <c r="S75" i="14" s="1"/>
  <c r="N169" i="14"/>
  <c r="S52" i="8"/>
  <c r="T51" i="8"/>
  <c r="T52" i="8"/>
  <c r="S51" i="8"/>
  <c r="Q74" i="14"/>
  <c r="R74" i="14" s="1"/>
  <c r="S74" i="14" s="1"/>
  <c r="S82" i="14" s="1"/>
  <c r="Q78" i="14"/>
  <c r="R78" i="14" s="1"/>
  <c r="S78" i="14" s="1"/>
  <c r="Q79" i="14"/>
  <c r="R79" i="14" s="1"/>
  <c r="S79" i="14" s="1"/>
  <c r="L10" i="14"/>
  <c r="N72" i="14" s="1"/>
  <c r="Q327" i="14"/>
  <c r="Q76" i="14"/>
  <c r="R76" i="14" s="1"/>
  <c r="S76" i="14" s="1"/>
  <c r="Q77" i="14"/>
  <c r="R77" i="14" s="1"/>
  <c r="S77" i="14" s="1"/>
  <c r="Q352" i="14"/>
  <c r="I91" i="14"/>
  <c r="J209" i="14"/>
  <c r="J88" i="14"/>
  <c r="I90" i="14"/>
  <c r="O48" i="8"/>
  <c r="I208" i="14"/>
  <c r="J90" i="14"/>
  <c r="J89" i="14"/>
  <c r="I88" i="14"/>
  <c r="C45" i="14"/>
  <c r="J91" i="14"/>
  <c r="I89" i="14"/>
  <c r="I87" i="14"/>
  <c r="M87" i="14" s="1"/>
  <c r="J92" i="14"/>
  <c r="J87" i="14"/>
  <c r="N87" i="14" s="1"/>
  <c r="O49" i="8"/>
  <c r="I209" i="14"/>
  <c r="I210" i="14"/>
  <c r="O50" i="8"/>
  <c r="I92" i="14"/>
  <c r="J208" i="14" l="1"/>
  <c r="K13" i="14"/>
  <c r="M75" i="14" s="1"/>
  <c r="J210" i="14"/>
  <c r="K14" i="14"/>
  <c r="M76" i="14" s="1"/>
  <c r="K15" i="14"/>
  <c r="M77" i="14" s="1"/>
  <c r="K17" i="14"/>
  <c r="M79" i="14" s="1"/>
  <c r="M80" i="14" s="1"/>
  <c r="D216" i="14"/>
  <c r="C216" i="14"/>
  <c r="J215" i="14" s="1"/>
  <c r="K12" i="14"/>
  <c r="M74" i="14" s="1"/>
  <c r="M72" i="14"/>
  <c r="L13" i="14"/>
  <c r="N75" i="14" s="1"/>
  <c r="C46" i="14"/>
  <c r="L17" i="14"/>
  <c r="N79" i="14" s="1"/>
  <c r="N80" i="14" s="1"/>
  <c r="U52" i="8"/>
  <c r="W52" i="8" s="1"/>
  <c r="L14" i="14"/>
  <c r="N76" i="14" s="1"/>
  <c r="J212" i="14"/>
  <c r="R52" i="8"/>
  <c r="L15" i="14"/>
  <c r="N77" i="14" s="1"/>
  <c r="U51" i="8"/>
  <c r="W51" i="8" s="1"/>
  <c r="L16" i="14"/>
  <c r="N78" i="14" s="1"/>
  <c r="L12" i="14"/>
  <c r="N74" i="14" s="1"/>
  <c r="N70" i="14" s="1"/>
  <c r="J211" i="14"/>
  <c r="R51" i="8"/>
  <c r="J141" i="14"/>
  <c r="R6" i="8"/>
  <c r="I143" i="14"/>
  <c r="O8" i="8"/>
  <c r="J143" i="14"/>
  <c r="R8" i="8"/>
  <c r="C99" i="14"/>
  <c r="M90" i="14"/>
  <c r="C98" i="14"/>
  <c r="M89" i="14"/>
  <c r="O11" i="8"/>
  <c r="I146" i="14"/>
  <c r="D100" i="14"/>
  <c r="N91" i="14"/>
  <c r="D98" i="14"/>
  <c r="N89" i="14"/>
  <c r="N88" i="14"/>
  <c r="D97" i="14"/>
  <c r="R10" i="8"/>
  <c r="J145" i="14"/>
  <c r="M70" i="14"/>
  <c r="N90" i="14"/>
  <c r="D99" i="14"/>
  <c r="J142" i="14"/>
  <c r="R7" i="8"/>
  <c r="M92" i="14"/>
  <c r="C101" i="14"/>
  <c r="J144" i="14"/>
  <c r="R9" i="8"/>
  <c r="I144" i="14"/>
  <c r="O9" i="8"/>
  <c r="N92" i="14"/>
  <c r="D101" i="14"/>
  <c r="U49" i="8"/>
  <c r="W49" i="8" s="1"/>
  <c r="J146" i="14"/>
  <c r="R11" i="8"/>
  <c r="V49" i="8"/>
  <c r="X49" i="8" s="1"/>
  <c r="T64" i="14"/>
  <c r="C47" i="14"/>
  <c r="D45" i="14"/>
  <c r="U48" i="8"/>
  <c r="W48" i="8" s="1"/>
  <c r="I145" i="14"/>
  <c r="O10" i="8"/>
  <c r="C97" i="14"/>
  <c r="M88" i="14"/>
  <c r="U50" i="8"/>
  <c r="W50" i="8" s="1"/>
  <c r="V50" i="8"/>
  <c r="X50" i="8" s="1"/>
  <c r="T65" i="14"/>
  <c r="D46" i="14"/>
  <c r="V48" i="8"/>
  <c r="X48" i="8" s="1"/>
  <c r="I141" i="14"/>
  <c r="O6" i="8"/>
  <c r="O7" i="8"/>
  <c r="I142" i="14"/>
  <c r="M91" i="14"/>
  <c r="C100" i="14"/>
  <c r="F216" i="14" l="1"/>
  <c r="E216" i="14"/>
  <c r="L208" i="14"/>
  <c r="L207" i="14"/>
  <c r="V52" i="8"/>
  <c r="X52" i="8" s="1"/>
  <c r="V51" i="8"/>
  <c r="X51" i="8" s="1"/>
  <c r="K144" i="14"/>
  <c r="W9" i="8" s="1"/>
  <c r="U9" i="8"/>
  <c r="K141" i="14"/>
  <c r="W6" i="8" s="1"/>
  <c r="U6" i="8"/>
  <c r="U7" i="8"/>
  <c r="K142" i="14"/>
  <c r="W7" i="8" s="1"/>
  <c r="U34" i="14"/>
  <c r="S37" i="14"/>
  <c r="W31" i="14"/>
  <c r="Q40" i="14"/>
  <c r="U64" i="14"/>
  <c r="Z38" i="14"/>
  <c r="AC22" i="14"/>
  <c r="AA25" i="14"/>
  <c r="T24" i="14"/>
  <c r="Y28" i="14"/>
  <c r="AD32" i="14"/>
  <c r="AF32" i="14" s="1"/>
  <c r="Q17" i="14"/>
  <c r="P30" i="14"/>
  <c r="R27" i="14"/>
  <c r="AB35" i="14"/>
  <c r="X41" i="14"/>
  <c r="V21" i="14"/>
  <c r="E98" i="14"/>
  <c r="E100" i="14" s="1"/>
  <c r="E97" i="14"/>
  <c r="J95" i="14"/>
  <c r="L95" i="14" s="1"/>
  <c r="E99" i="14"/>
  <c r="V8" i="8"/>
  <c r="L143" i="14"/>
  <c r="X8" i="8" s="1"/>
  <c r="L144" i="14"/>
  <c r="X9" i="8" s="1"/>
  <c r="V9" i="8"/>
  <c r="V10" i="8"/>
  <c r="L145" i="14"/>
  <c r="X10" i="8" s="1"/>
  <c r="K146" i="14"/>
  <c r="W11" i="8" s="1"/>
  <c r="U11" i="8"/>
  <c r="T66" i="14"/>
  <c r="D47" i="14"/>
  <c r="K145" i="14"/>
  <c r="W10" i="8" s="1"/>
  <c r="U10" i="8"/>
  <c r="K143" i="14"/>
  <c r="W8" i="8" s="1"/>
  <c r="U8" i="8"/>
  <c r="F97" i="14"/>
  <c r="F98" i="14"/>
  <c r="F100" i="14" s="1"/>
  <c r="F99" i="14"/>
  <c r="V6" i="8"/>
  <c r="L141" i="14"/>
  <c r="X6" i="8" s="1"/>
  <c r="L146" i="14"/>
  <c r="X11" i="8" s="1"/>
  <c r="V11" i="8"/>
  <c r="R17" i="14"/>
  <c r="U24" i="14"/>
  <c r="AA38" i="14"/>
  <c r="Y41" i="14"/>
  <c r="Q30" i="14"/>
  <c r="R40" i="14"/>
  <c r="AB25" i="14"/>
  <c r="X31" i="14"/>
  <c r="V34" i="14"/>
  <c r="AD22" i="14"/>
  <c r="S27" i="14"/>
  <c r="O33" i="14"/>
  <c r="AC35" i="14"/>
  <c r="T37" i="14"/>
  <c r="W21" i="14"/>
  <c r="Z28" i="14"/>
  <c r="U65" i="14"/>
  <c r="V7" i="8"/>
  <c r="L142" i="14"/>
  <c r="X7" i="8" s="1"/>
  <c r="M208" i="14" l="1"/>
  <c r="M207" i="14"/>
  <c r="E101" i="14"/>
  <c r="F101" i="14"/>
  <c r="T27" i="14"/>
  <c r="AF27" i="14" s="1"/>
  <c r="AB38" i="14"/>
  <c r="AF38" i="14" s="1"/>
  <c r="P33" i="14"/>
  <c r="AF33" i="14" s="1"/>
  <c r="U66" i="14"/>
  <c r="U37" i="14"/>
  <c r="AF37" i="14" s="1"/>
  <c r="S40" i="14"/>
  <c r="AF40" i="14" s="1"/>
  <c r="AD35" i="14"/>
  <c r="AF35" i="14" s="1"/>
  <c r="R30" i="14"/>
  <c r="AF30" i="14" s="1"/>
  <c r="S17" i="14"/>
  <c r="X21" i="14"/>
  <c r="AF21" i="14" s="1"/>
  <c r="W34" i="14"/>
  <c r="AF34" i="14" s="1"/>
  <c r="AC25" i="14"/>
  <c r="AF25" i="14" s="1"/>
  <c r="Z41" i="14"/>
  <c r="AF41" i="14" s="1"/>
  <c r="Y31" i="14"/>
  <c r="AF31" i="14" s="1"/>
  <c r="AA28" i="14"/>
  <c r="AF28" i="14" s="1"/>
  <c r="V24" i="14"/>
  <c r="AF24" i="14" s="1"/>
  <c r="O23" i="14"/>
  <c r="AF23" i="14" s="1"/>
  <c r="AF22" i="14"/>
  <c r="P20" i="14"/>
  <c r="Y18" i="14"/>
  <c r="X18" i="14"/>
  <c r="O20" i="14"/>
  <c r="Q20" i="14" l="1"/>
  <c r="AF20" i="14" s="1"/>
  <c r="Z18" i="14"/>
  <c r="U17" i="14" l="1"/>
  <c r="AF17" i="14" s="1"/>
  <c r="AB18" i="14"/>
  <c r="AF18" i="14" s="1"/>
</calcChain>
</file>

<file path=xl/sharedStrings.xml><?xml version="1.0" encoding="utf-8"?>
<sst xmlns="http://schemas.openxmlformats.org/spreadsheetml/2006/main" count="2919" uniqueCount="811">
  <si>
    <t>Title:</t>
  </si>
  <si>
    <t>Number:</t>
  </si>
  <si>
    <t>Revision:</t>
  </si>
  <si>
    <t>NOTES</t>
  </si>
  <si>
    <t>REVISION HISTORY</t>
  </si>
  <si>
    <t>REV</t>
  </si>
  <si>
    <t>DCO#</t>
  </si>
  <si>
    <t>DESCRIPTION</t>
  </si>
  <si>
    <t>INITIATOR</t>
  </si>
  <si>
    <t>DATE</t>
  </si>
  <si>
    <t>Andrew Miller</t>
  </si>
  <si>
    <t>-</t>
  </si>
  <si>
    <t>VERASENSE FTS Support</t>
  </si>
  <si>
    <t>DWG-01000-001</t>
  </si>
  <si>
    <t>OEM</t>
  </si>
  <si>
    <t>OEM Lookup Table</t>
  </si>
  <si>
    <t>Series</t>
  </si>
  <si>
    <t>Stryker</t>
  </si>
  <si>
    <t>Prefix</t>
  </si>
  <si>
    <t>SYK</t>
  </si>
  <si>
    <t>Biomet</t>
  </si>
  <si>
    <t>BMT</t>
  </si>
  <si>
    <t>Mako</t>
  </si>
  <si>
    <t>MKO</t>
  </si>
  <si>
    <t>Zimmer</t>
  </si>
  <si>
    <t>ZMR</t>
  </si>
  <si>
    <t>Catalog Number Lookup Table</t>
  </si>
  <si>
    <t>SYK-TRCR01</t>
  </si>
  <si>
    <t>SYK-TRCR02</t>
  </si>
  <si>
    <t>SYK-TRCR03</t>
  </si>
  <si>
    <t>SYK-TRCR04</t>
  </si>
  <si>
    <t>SYK-TRCR05</t>
  </si>
  <si>
    <t>SYK-TRCR06</t>
  </si>
  <si>
    <t>SYK-TRCR07</t>
  </si>
  <si>
    <t>Undefined</t>
  </si>
  <si>
    <t>BMT-VGCR63</t>
  </si>
  <si>
    <t>BMT-VGCR71</t>
  </si>
  <si>
    <t>BMT-VGCR79</t>
  </si>
  <si>
    <t>BMT-VGPS63</t>
  </si>
  <si>
    <t>BMT-VGPS71</t>
  </si>
  <si>
    <t>BMT-VGPS79</t>
  </si>
  <si>
    <t>MKO-MCK04</t>
  </si>
  <si>
    <t>ZMR-NGCRCH-34</t>
  </si>
  <si>
    <t>ZMR-NGCRCH-56</t>
  </si>
  <si>
    <t>ZMR-NGCRCH-70</t>
  </si>
  <si>
    <t>ZMR-NGPSCD-34</t>
  </si>
  <si>
    <t>ZMR-NGPSEF-34</t>
  </si>
  <si>
    <t>ZMR-NGPSEF-56</t>
  </si>
  <si>
    <t>Code</t>
  </si>
  <si>
    <t>0x1B</t>
  </si>
  <si>
    <t>Packet Size</t>
  </si>
  <si>
    <t>0x00</t>
  </si>
  <si>
    <t>SIVMK[7:0]</t>
  </si>
  <si>
    <t>SIVMK[15:8]</t>
  </si>
  <si>
    <t>SULMK[7:0]</t>
  </si>
  <si>
    <t>SULMK[15:8]</t>
  </si>
  <si>
    <t>BATMK[7:0]</t>
  </si>
  <si>
    <t>BATMK[15:8]</t>
  </si>
  <si>
    <t>ATMSL</t>
  </si>
  <si>
    <t>0x84</t>
  </si>
  <si>
    <t>BGTR</t>
  </si>
  <si>
    <t>0x60</t>
  </si>
  <si>
    <t>TIREF</t>
  </si>
  <si>
    <t>0x0D</t>
  </si>
  <si>
    <t>REFVM</t>
  </si>
  <si>
    <t>0xEA</t>
  </si>
  <si>
    <t>REFIM</t>
  </si>
  <si>
    <t>0x01</t>
  </si>
  <si>
    <t>REFUS</t>
  </si>
  <si>
    <t>GAINV</t>
  </si>
  <si>
    <t>0x03</t>
  </si>
  <si>
    <t>GAINI</t>
  </si>
  <si>
    <t>GAINU</t>
  </si>
  <si>
    <t>GAINC</t>
  </si>
  <si>
    <t>Spare</t>
  </si>
  <si>
    <t>0x06</t>
  </si>
  <si>
    <t>PBLKCW</t>
  </si>
  <si>
    <t>PBLKPL</t>
  </si>
  <si>
    <t>PBLKPE</t>
  </si>
  <si>
    <t>0x02</t>
  </si>
  <si>
    <t>LPCNTV</t>
  </si>
  <si>
    <t>0x1F</t>
  </si>
  <si>
    <t>LPCNTCW</t>
  </si>
  <si>
    <t>0x0C</t>
  </si>
  <si>
    <t>LPCNTIC</t>
  </si>
  <si>
    <t>0x08</t>
  </si>
  <si>
    <t>LPCNTPLE</t>
  </si>
  <si>
    <t>SEN(0) X</t>
  </si>
  <si>
    <t>SEN(1) Y</t>
  </si>
  <si>
    <t>SEN(2) Z</t>
  </si>
  <si>
    <t>SEN(3) SP6B</t>
  </si>
  <si>
    <t>SEN(4) SP5B</t>
  </si>
  <si>
    <t>SEN(5) SP4B</t>
  </si>
  <si>
    <t>SEN(6) SP3B</t>
  </si>
  <si>
    <t>SEN(7) SP2B</t>
  </si>
  <si>
    <t>SEN(8) SP1B</t>
  </si>
  <si>
    <t>SEN(9) CP1B</t>
  </si>
  <si>
    <t>D1102C10HV</t>
  </si>
  <si>
    <t>0x21</t>
  </si>
  <si>
    <t>D1102SD[7:0]</t>
  </si>
  <si>
    <t>0x07</t>
  </si>
  <si>
    <t>USEL</t>
  </si>
  <si>
    <t>0x10</t>
  </si>
  <si>
    <t>SENPW</t>
  </si>
  <si>
    <t>SWAIT[7:0]</t>
  </si>
  <si>
    <t>0x20</t>
  </si>
  <si>
    <t>SWAIT[15:8]</t>
  </si>
  <si>
    <t>0x04</t>
  </si>
  <si>
    <t>MCOUNT</t>
  </si>
  <si>
    <t>0x40</t>
  </si>
  <si>
    <t>DTMSL</t>
  </si>
  <si>
    <t>PATBL</t>
  </si>
  <si>
    <t>0xA8</t>
  </si>
  <si>
    <t>ATOC</t>
  </si>
  <si>
    <t>IOCFG2</t>
  </si>
  <si>
    <t>0x2E</t>
  </si>
  <si>
    <t>IOCFG1</t>
  </si>
  <si>
    <t>0x2F</t>
  </si>
  <si>
    <t>IOCFG0</t>
  </si>
  <si>
    <t>FIFOTHR</t>
  </si>
  <si>
    <t>0xD3</t>
  </si>
  <si>
    <t>SYNC1</t>
  </si>
  <si>
    <t>0x91</t>
  </si>
  <si>
    <t>SYNC0</t>
  </si>
  <si>
    <t>PKTLEN</t>
  </si>
  <si>
    <t>PKTCTRL1</t>
  </si>
  <si>
    <t>0x44</t>
  </si>
  <si>
    <t>PKTCTRL0</t>
  </si>
  <si>
    <t>ADDR</t>
  </si>
  <si>
    <t>CHANNR</t>
  </si>
  <si>
    <t>0x0F</t>
  </si>
  <si>
    <t>FSCTRL1</t>
  </si>
  <si>
    <t>FSCTRL0</t>
  </si>
  <si>
    <t>FREQ2</t>
  </si>
  <si>
    <t>0x6C</t>
  </si>
  <si>
    <t>FREQ1</t>
  </si>
  <si>
    <t>0xCC</t>
  </si>
  <si>
    <t>FREQ0</t>
  </si>
  <si>
    <t>0x5B</t>
  </si>
  <si>
    <t>MDMCFG4</t>
  </si>
  <si>
    <t>0xF8</t>
  </si>
  <si>
    <t>MDMCFG3</t>
  </si>
  <si>
    <t>0x17</t>
  </si>
  <si>
    <t>MDMCFG2</t>
  </si>
  <si>
    <t>0x23</t>
  </si>
  <si>
    <t>MDMCFG1</t>
  </si>
  <si>
    <t>0x9A</t>
  </si>
  <si>
    <t>MDMCFG0</t>
  </si>
  <si>
    <t>0x47</t>
  </si>
  <si>
    <t>DEVIATN</t>
  </si>
  <si>
    <t>MCSM2</t>
  </si>
  <si>
    <t>0x30</t>
  </si>
  <si>
    <t>MCSM1</t>
  </si>
  <si>
    <t>0x18</t>
  </si>
  <si>
    <t>MCSM0</t>
  </si>
  <si>
    <t>0x16</t>
  </si>
  <si>
    <t>FOCCFG</t>
  </si>
  <si>
    <t>BSCFG</t>
  </si>
  <si>
    <t>AGCTRL2</t>
  </si>
  <si>
    <t>AGCTRL1</t>
  </si>
  <si>
    <t>AGCTRL0</t>
  </si>
  <si>
    <t>WOREVT1 EVENT0[15:8]</t>
  </si>
  <si>
    <t>0xC0</t>
  </si>
  <si>
    <t>WOREVT0 EVENT0[7:0]</t>
  </si>
  <si>
    <t>0x78</t>
  </si>
  <si>
    <t>WORCTRL</t>
  </si>
  <si>
    <t>0x56</t>
  </si>
  <si>
    <t>FREND1</t>
  </si>
  <si>
    <t>FREND0</t>
  </si>
  <si>
    <t>FSCAL3</t>
  </si>
  <si>
    <t>0x2A</t>
  </si>
  <si>
    <t>FSCAL2</t>
  </si>
  <si>
    <t>FSCAL1</t>
  </si>
  <si>
    <t>FSCAL0</t>
  </si>
  <si>
    <t>0x41</t>
  </si>
  <si>
    <t>RCCTRL1</t>
  </si>
  <si>
    <t>RCCTRL0</t>
  </si>
  <si>
    <t>Info byte 0</t>
  </si>
  <si>
    <t>Info byte 1</t>
  </si>
  <si>
    <t>Info byte 2</t>
  </si>
  <si>
    <t>Info byte 3</t>
  </si>
  <si>
    <t>Info byte 4</t>
  </si>
  <si>
    <t>Rev</t>
  </si>
  <si>
    <t>Month</t>
  </si>
  <si>
    <t>Day</t>
  </si>
  <si>
    <t>Year</t>
  </si>
  <si>
    <t>Device Type</t>
  </si>
  <si>
    <t>Manufacturer / Lot ID</t>
  </si>
  <si>
    <t>Voltage Cal</t>
  </si>
  <si>
    <t>Cal Factor for CondyleA</t>
  </si>
  <si>
    <t>Cal Factor for CondyleB</t>
  </si>
  <si>
    <t>Checksum</t>
  </si>
  <si>
    <t>Force [lb] Targets per Type. Controls Application of FTS loads per device type</t>
  </si>
  <si>
    <t>Value</t>
  </si>
  <si>
    <t>Units</t>
  </si>
  <si>
    <t>Default</t>
  </si>
  <si>
    <t>Unused</t>
  </si>
  <si>
    <t>DevType</t>
  </si>
  <si>
    <t>BF</t>
  </si>
  <si>
    <t>ScaleA</t>
  </si>
  <si>
    <t>ScaleB</t>
  </si>
  <si>
    <t>ESM301 Operation</t>
  </si>
  <si>
    <t>Kp</t>
  </si>
  <si>
    <t>Ki</t>
  </si>
  <si>
    <t>Kd</t>
  </si>
  <si>
    <t>lb</t>
  </si>
  <si>
    <t>Limit</t>
  </si>
  <si>
    <t>lbs</t>
  </si>
  <si>
    <t>Ambitious</t>
  </si>
  <si>
    <t xml:space="preserve">Min Scale </t>
  </si>
  <si>
    <t>Anomaly</t>
  </si>
  <si>
    <t>%</t>
  </si>
  <si>
    <t>Negative</t>
  </si>
  <si>
    <t>Dwell [s]</t>
  </si>
  <si>
    <t>UDF1</t>
  </si>
  <si>
    <t>UDF2</t>
  </si>
  <si>
    <t>UDF4</t>
  </si>
  <si>
    <t>UDF5</t>
  </si>
  <si>
    <t>UDF6</t>
  </si>
  <si>
    <t>Toggle</t>
  </si>
  <si>
    <t>Force Tol.</t>
  </si>
  <si>
    <t>A/D Output for Each Load Point. Populated Automatically during FTS Operation</t>
  </si>
  <si>
    <t>Force [lb]</t>
  </si>
  <si>
    <t>S3</t>
  </si>
  <si>
    <t>S4</t>
  </si>
  <si>
    <t>S5</t>
  </si>
  <si>
    <t>S6</t>
  </si>
  <si>
    <t>S7</t>
  </si>
  <si>
    <t>S8</t>
  </si>
  <si>
    <t>S9</t>
  </si>
  <si>
    <t>Battery</t>
  </si>
  <si>
    <t>Address</t>
  </si>
  <si>
    <t>Description</t>
  </si>
  <si>
    <t>Line</t>
  </si>
  <si>
    <t>SPARE</t>
  </si>
  <si>
    <t>COFF_LEDI</t>
  </si>
  <si>
    <t>VCVCW</t>
  </si>
  <si>
    <t>VIPCW</t>
  </si>
  <si>
    <t>GAINV_POL</t>
  </si>
  <si>
    <t>GINTIOP</t>
  </si>
  <si>
    <t>INTMOP</t>
  </si>
  <si>
    <t>SLIS</t>
  </si>
  <si>
    <t>DFSTL</t>
  </si>
  <si>
    <t>SENGL[7:0]</t>
  </si>
  <si>
    <t>SNHOP[7:0]</t>
  </si>
  <si>
    <t>GCLKV[7:0]</t>
  </si>
  <si>
    <t>GLKV[15:8]</t>
  </si>
  <si>
    <t>SWAIT[15:0]</t>
  </si>
  <si>
    <t>Device ID</t>
  </si>
  <si>
    <t>8X=ASIC 1204, 0X= ASIC 1010</t>
  </si>
  <si>
    <t>0x09</t>
  </si>
  <si>
    <t>0x0B</t>
  </si>
  <si>
    <t>Default Values</t>
  </si>
  <si>
    <t>Scale1010</t>
  </si>
  <si>
    <t>Scale1204</t>
  </si>
  <si>
    <t>Error Code Table</t>
  </si>
  <si>
    <t>FTS Application Error</t>
  </si>
  <si>
    <t>Battery Voltage Error</t>
  </si>
  <si>
    <t>Voltage too High at Initial Program</t>
  </si>
  <si>
    <t>Voltage too Low at Initial Program</t>
  </si>
  <si>
    <t>Timeout after some Communication</t>
  </si>
  <si>
    <t>Timeout without DUT response</t>
  </si>
  <si>
    <t>Mark-10 Communication Error</t>
  </si>
  <si>
    <t>Transceiver Communication Error</t>
  </si>
  <si>
    <t>Software Installation Issue</t>
  </si>
  <si>
    <t>PCB Error</t>
  </si>
  <si>
    <t>One or more Sensors significantly different from Median Value</t>
  </si>
  <si>
    <t xml:space="preserve">PCB Error </t>
  </si>
  <si>
    <t>One or more Sensors exceed maximum Allowed Value</t>
  </si>
  <si>
    <t>One or more Sensors less than minimum Allowed Value</t>
  </si>
  <si>
    <t>Communication Error</t>
  </si>
  <si>
    <t>Too many dropped Data Packets</t>
  </si>
  <si>
    <t>Device Under Test not transmitting on Expected Channel</t>
  </si>
  <si>
    <t>Can't Write to Output File</t>
  </si>
  <si>
    <t>Missing or Bad Support File</t>
  </si>
  <si>
    <t>Programming Error</t>
  </si>
  <si>
    <t>Stage</t>
  </si>
  <si>
    <t>Topic</t>
  </si>
  <si>
    <t>Startup</t>
  </si>
  <si>
    <t>Initial</t>
  </si>
  <si>
    <t>Optim</t>
  </si>
  <si>
    <t>Forces</t>
  </si>
  <si>
    <t>Accuracy Failure</t>
  </si>
  <si>
    <t>Unknown Root Cause</t>
  </si>
  <si>
    <t>Likely bad zero Root Cause</t>
  </si>
  <si>
    <t>Likely insufficient Preload Root Cause</t>
  </si>
  <si>
    <t>Poor Sensor Sensitivity</t>
  </si>
  <si>
    <t>Shutoff Error</t>
  </si>
  <si>
    <t>Shutdown Timeout</t>
  </si>
  <si>
    <t>Angles</t>
  </si>
  <si>
    <t>Accelerometer Error</t>
  </si>
  <si>
    <t>0g Min</t>
  </si>
  <si>
    <t>0g Max</t>
  </si>
  <si>
    <t>1g Min</t>
  </si>
  <si>
    <t>1g Max</t>
  </si>
  <si>
    <t>Initial Programming FTS Front Panel Contents</t>
  </si>
  <si>
    <t>Channel</t>
  </si>
  <si>
    <t>Lot #</t>
  </si>
  <si>
    <t>Serial #</t>
  </si>
  <si>
    <t>PATABL</t>
  </si>
  <si>
    <t>UNI/TKA</t>
  </si>
  <si>
    <t>Today</t>
  </si>
  <si>
    <t>TKA</t>
  </si>
  <si>
    <t>UNI</t>
  </si>
  <si>
    <t>Param.</t>
  </si>
  <si>
    <t>Sensor Channels</t>
  </si>
  <si>
    <t>Sensor</t>
  </si>
  <si>
    <t>0x05</t>
  </si>
  <si>
    <t>ASIC Identifier</t>
  </si>
  <si>
    <t>ASIC 1010 EEPROM Contents</t>
  </si>
  <si>
    <t>ASIC 1204 EEPROM Contents</t>
  </si>
  <si>
    <t>0x38</t>
  </si>
  <si>
    <t>0x50</t>
  </si>
  <si>
    <t>0xFF</t>
  </si>
  <si>
    <t>0xEF</t>
  </si>
  <si>
    <t>0xF0</t>
  </si>
  <si>
    <t>0x5D</t>
  </si>
  <si>
    <t>0xA5</t>
  </si>
  <si>
    <t>0x88</t>
  </si>
  <si>
    <t>0xA0</t>
  </si>
  <si>
    <t>0x28</t>
  </si>
  <si>
    <t>0x0E</t>
  </si>
  <si>
    <t>ASIC ID</t>
  </si>
  <si>
    <t>Voltage</t>
  </si>
  <si>
    <t>GAINC Optimization FTS Front Panel Contents</t>
  </si>
  <si>
    <t>27 Byte</t>
  </si>
  <si>
    <t>0x000</t>
  </si>
  <si>
    <t>0x001</t>
  </si>
  <si>
    <t>0x002</t>
  </si>
  <si>
    <t>0x003</t>
  </si>
  <si>
    <t>0x004</t>
  </si>
  <si>
    <t>0x005</t>
  </si>
  <si>
    <t>0x006</t>
  </si>
  <si>
    <t>0x007</t>
  </si>
  <si>
    <t>0x008</t>
  </si>
  <si>
    <t>0x009</t>
  </si>
  <si>
    <t>0x00A</t>
  </si>
  <si>
    <t>0x00B</t>
  </si>
  <si>
    <t>0x00C</t>
  </si>
  <si>
    <t>0x00D</t>
  </si>
  <si>
    <t>0x00E</t>
  </si>
  <si>
    <t>0x00F</t>
  </si>
  <si>
    <t>0x010</t>
  </si>
  <si>
    <t>0x020</t>
  </si>
  <si>
    <t>0x030</t>
  </si>
  <si>
    <t>2F</t>
  </si>
  <si>
    <t>0x040</t>
  </si>
  <si>
    <t>0x050</t>
  </si>
  <si>
    <t>0x060</t>
  </si>
  <si>
    <t>0x070</t>
  </si>
  <si>
    <t>0x080</t>
  </si>
  <si>
    <t>0x090</t>
  </si>
  <si>
    <t>0x0A0</t>
  </si>
  <si>
    <t>0x0B0</t>
  </si>
  <si>
    <t>0x0C0</t>
  </si>
  <si>
    <t>0x0D0</t>
  </si>
  <si>
    <t>0x0E0</t>
  </si>
  <si>
    <t>0x0F0</t>
  </si>
  <si>
    <t>0x100</t>
  </si>
  <si>
    <t>0x110</t>
  </si>
  <si>
    <t>0x120</t>
  </si>
  <si>
    <t>0x130</t>
  </si>
  <si>
    <t>0x140</t>
  </si>
  <si>
    <t>0x150</t>
  </si>
  <si>
    <t>0x160</t>
  </si>
  <si>
    <t>0x170</t>
  </si>
  <si>
    <t>0x180</t>
  </si>
  <si>
    <t>0x190</t>
  </si>
  <si>
    <t>0x1A0</t>
  </si>
  <si>
    <t>0x1B0</t>
  </si>
  <si>
    <t>0x1C0</t>
  </si>
  <si>
    <t>0x1D0</t>
  </si>
  <si>
    <t>0x1E0</t>
  </si>
  <si>
    <t>0x1F0</t>
  </si>
  <si>
    <t>0000000000A5AAAAAAAAAAAAAAAAAAAAAAAAAAAAAAAAAAAAAAAAAA</t>
  </si>
  <si>
    <t>0x11</t>
  </si>
  <si>
    <t>0x12</t>
  </si>
  <si>
    <t>0x0A</t>
  </si>
  <si>
    <t>Info Packet PacketID</t>
  </si>
  <si>
    <t>PacketID 1</t>
  </si>
  <si>
    <t>PacketID 2</t>
  </si>
  <si>
    <t>PacketID 3</t>
  </si>
  <si>
    <t>PacketID 4</t>
  </si>
  <si>
    <t>PacketID 5</t>
  </si>
  <si>
    <t>PacketID 6</t>
  </si>
  <si>
    <t>PacketID 7</t>
  </si>
  <si>
    <t>PacketID 8</t>
  </si>
  <si>
    <t>PacketID 9</t>
  </si>
  <si>
    <t>PacketID 10</t>
  </si>
  <si>
    <t>PacketID 11</t>
  </si>
  <si>
    <t>PacketID 12</t>
  </si>
  <si>
    <t>PacketID 13</t>
  </si>
  <si>
    <t>PacketID 14</t>
  </si>
  <si>
    <t>PacketID 15</t>
  </si>
  <si>
    <t>PacketID 16</t>
  </si>
  <si>
    <t>PacketID 17</t>
  </si>
  <si>
    <t>PacketID 18</t>
  </si>
  <si>
    <t>ASIC 1010/1204 Mapping Contents Tables to EEPROM Programming Locations</t>
  </si>
  <si>
    <t>ASIC 1010 EEPROM Default Map</t>
  </si>
  <si>
    <t>0x80</t>
  </si>
  <si>
    <t>ASIC 1204 EEPROM Default Map</t>
  </si>
  <si>
    <t>EEPROM Array Generator</t>
  </si>
  <si>
    <t>EEPROM Copy Cells</t>
  </si>
  <si>
    <t>Counter Output for Zero Load Point for Automatic GAINC Optimization.</t>
  </si>
  <si>
    <t>Battery Failure Test</t>
  </si>
  <si>
    <t>Value Maximum Failure Test</t>
  </si>
  <si>
    <t>PASS?</t>
  </si>
  <si>
    <t>Anomaly Test</t>
  </si>
  <si>
    <t>Median</t>
  </si>
  <si>
    <t>Min L</t>
  </si>
  <si>
    <t>Max L</t>
  </si>
  <si>
    <t>Max</t>
  </si>
  <si>
    <t>No Error</t>
  </si>
  <si>
    <t>Error</t>
  </si>
  <si>
    <t>Test Result Output to FTS</t>
  </si>
  <si>
    <t>ErrCodes</t>
  </si>
  <si>
    <t>EEPROM Vector</t>
  </si>
  <si>
    <t>GAINC Optimization</t>
  </si>
  <si>
    <t>Target</t>
  </si>
  <si>
    <t>GAINC Calculation Table</t>
  </si>
  <si>
    <t>Current</t>
  </si>
  <si>
    <t>3F</t>
  </si>
  <si>
    <t>4F</t>
  </si>
  <si>
    <t>5F</t>
  </si>
  <si>
    <t>6F</t>
  </si>
  <si>
    <t>7F</t>
  </si>
  <si>
    <t>8F</t>
  </si>
  <si>
    <t>9F</t>
  </si>
  <si>
    <t>AF</t>
  </si>
  <si>
    <t>CF</t>
  </si>
  <si>
    <t>DF</t>
  </si>
  <si>
    <t>EF</t>
  </si>
  <si>
    <t>FF</t>
  </si>
  <si>
    <t>Prop.</t>
  </si>
  <si>
    <t>Mult.</t>
  </si>
  <si>
    <t>New Values Check</t>
  </si>
  <si>
    <t>Compensated, Zero-Baseline Table</t>
  </si>
  <si>
    <t>Left</t>
  </si>
  <si>
    <t>Right</t>
  </si>
  <si>
    <t>BattMax</t>
  </si>
  <si>
    <t>BattMin</t>
  </si>
  <si>
    <t>Voltage too Low at Force Application</t>
  </si>
  <si>
    <t>Voltage too High at Force Application</t>
  </si>
  <si>
    <t>Value Maximum/Minimum Failure Test</t>
  </si>
  <si>
    <t>ValsMax</t>
  </si>
  <si>
    <t>ValsMin</t>
  </si>
  <si>
    <t>UnivCal</t>
  </si>
  <si>
    <t>CalA</t>
  </si>
  <si>
    <t>CalB</t>
  </si>
  <si>
    <t>Scale Calculation</t>
  </si>
  <si>
    <t>Univ</t>
  </si>
  <si>
    <t>MinScale</t>
  </si>
  <si>
    <t>All</t>
  </si>
  <si>
    <t>Forces Table</t>
  </si>
  <si>
    <t>F/Cond [lb]</t>
  </si>
  <si>
    <t>Errors Table</t>
  </si>
  <si>
    <t>Abs/L [lb]</t>
  </si>
  <si>
    <t>Abs/R [lb]</t>
  </si>
  <si>
    <t>00</t>
  </si>
  <si>
    <t>ID for Echo</t>
  </si>
  <si>
    <t>1010GAINC</t>
  </si>
  <si>
    <t>1204GAINC</t>
  </si>
  <si>
    <t>1204 EEPROM Programming Prefix</t>
  </si>
  <si>
    <t>S3 [lb]</t>
  </si>
  <si>
    <t>S4 [lb]</t>
  </si>
  <si>
    <t>S5 [lb]</t>
  </si>
  <si>
    <t>S6 [lb]</t>
  </si>
  <si>
    <t>S7 [lb]</t>
  </si>
  <si>
    <t>S8 [lb]</t>
  </si>
  <si>
    <t>&lt;---Placeholder. No GAINC optimization exists in 1204 yet.</t>
  </si>
  <si>
    <t>CondA [lb]</t>
  </si>
  <si>
    <t>ErrorA [lb]</t>
  </si>
  <si>
    <t>ErrorB [lb]</t>
  </si>
  <si>
    <t>A/D Output for Each Alignment Point. Populated by Operator by Orienting and Clicking</t>
  </si>
  <si>
    <t>VERASENSE is Oriented FLAT on Level Surface</t>
  </si>
  <si>
    <t>Orientation</t>
  </si>
  <si>
    <t>AccelX</t>
  </si>
  <si>
    <t>AccelY</t>
  </si>
  <si>
    <t>AccelZ</t>
  </si>
  <si>
    <t>VERASENSE is Oriented at 45 DEGREES, Posterior Down</t>
  </si>
  <si>
    <t>VERASENSE is Oriented VERTICALLY, Posterior Down</t>
  </si>
  <si>
    <t>Accelerometer PASS/FAIL</t>
  </si>
  <si>
    <t>Battery Voltage</t>
  </si>
  <si>
    <t>The FTS software could not write the data to the excel script</t>
  </si>
  <si>
    <t>Labview file Error</t>
  </si>
  <si>
    <t>Pass/Fail Criteria, 1010</t>
  </si>
  <si>
    <t>Pass/Fail Criteria, 1204</t>
  </si>
  <si>
    <t>CntMax</t>
  </si>
  <si>
    <t>CntMin</t>
  </si>
  <si>
    <t>Sensor values exceed maximum allowable for optimization</t>
  </si>
  <si>
    <t>No Error Reported; Test Continuing</t>
  </si>
  <si>
    <t>Cannot Optimize Sensor</t>
  </si>
  <si>
    <t>Sensor values below minimum allowable for optimization</t>
  </si>
  <si>
    <t>Accelerometer X 0g value out of range</t>
  </si>
  <si>
    <t>Accelerometer X 1g value out of range</t>
  </si>
  <si>
    <t>Accelerometer Y 0g value out of range</t>
  </si>
  <si>
    <t>Accelerometer Y 1g value out of range</t>
  </si>
  <si>
    <t>Accelerometer Z 0g value out of range</t>
  </si>
  <si>
    <t>Accelerometer Z 1g value out of range</t>
  </si>
  <si>
    <t>Accelerometer, X</t>
  </si>
  <si>
    <t>Accelerometer, Y</t>
  </si>
  <si>
    <t>Accelerometer, Z</t>
  </si>
  <si>
    <t>1g, Max</t>
  </si>
  <si>
    <t>1g, Min</t>
  </si>
  <si>
    <t>0g, Max</t>
  </si>
  <si>
    <t>0g, Min</t>
  </si>
  <si>
    <t>Accelerometer Channel</t>
  </si>
  <si>
    <t>1g</t>
  </si>
  <si>
    <t>0g</t>
  </si>
  <si>
    <t>X</t>
  </si>
  <si>
    <t>Y</t>
  </si>
  <si>
    <t>H</t>
  </si>
  <si>
    <t>L</t>
  </si>
  <si>
    <t>Dec</t>
  </si>
  <si>
    <t>Accelerometer Cal Values</t>
  </si>
  <si>
    <t>CondB [lb]</t>
  </si>
  <si>
    <t>BMT?</t>
  </si>
  <si>
    <t>Zero-Baseline Table</t>
  </si>
  <si>
    <t>A</t>
  </si>
  <si>
    <t>1010 Results</t>
  </si>
  <si>
    <t>1204 Results</t>
  </si>
  <si>
    <t>Count Min/Max Test</t>
  </si>
  <si>
    <t>Unreleased</t>
  </si>
  <si>
    <t>B</t>
  </si>
  <si>
    <t>Initial Release; Adds Min/Max Failure Modes at 1204 Scale Calculation</t>
  </si>
  <si>
    <t>C</t>
  </si>
  <si>
    <t>Changed Scale Calc to 10-40; increased dwell time; better error code report</t>
  </si>
  <si>
    <t>D</t>
  </si>
  <si>
    <t>BMT accelerometer default value fix</t>
  </si>
  <si>
    <t>ErrorMax</t>
  </si>
  <si>
    <t>ErrorMin</t>
  </si>
  <si>
    <t>E</t>
  </si>
  <si>
    <t>MaxScale</t>
  </si>
  <si>
    <t>Narrow Accuracy Failure. Unit may PASS a retest.</t>
  </si>
  <si>
    <t>User Text</t>
  </si>
  <si>
    <t>Position VERASENSE in Orientation A (Superior Side Up) and Select Capture.</t>
  </si>
  <si>
    <t>Position VERASENSE in Orientation B (Anterior Side Up) and Select Capture.</t>
  </si>
  <si>
    <t>Position VERASENSE in Orientation C (Inferior Side Up) and Select Capture.</t>
  </si>
  <si>
    <t>Position VERASENSE in Orientation D (Posterior Side Up) and Select Capture.</t>
  </si>
  <si>
    <t>Position VERASENSE in Orientation E (Left Side Up) and Select Capture.</t>
  </si>
  <si>
    <t>Position VERASENSE in Orientation F (Right Side Up) and Select Capture.</t>
  </si>
  <si>
    <t>Max Scale Factor; More error codes; Supports 51 force points; 41k Batt Minimum; Angles Defined</t>
  </si>
  <si>
    <t>Angle Targets per Type. Directs the User to Orient the VERASENSE for Accelerometer Calibration (NOT USED YET)</t>
  </si>
  <si>
    <t>Pre/L</t>
  </si>
  <si>
    <t>Pre/R</t>
  </si>
  <si>
    <t>Avg</t>
  </si>
  <si>
    <t>StDev</t>
  </si>
  <si>
    <t>Slope</t>
  </si>
  <si>
    <t>Preload?</t>
  </si>
  <si>
    <t>Nonlinearity?</t>
  </si>
  <si>
    <t>Fixed Notes on Cover Page, Rounded Accel Values Safely; 20Hz Transmission (GCLKV-&gt;BB)</t>
  </si>
  <si>
    <t>F</t>
  </si>
  <si>
    <t>G</t>
  </si>
  <si>
    <t>development rev.</t>
  </si>
  <si>
    <t>Increased 1204 Batt Max limit to 52000. Decreased 1204 Batt Min limit to 40000</t>
  </si>
  <si>
    <t>Juvencio Dieguez</t>
  </si>
  <si>
    <t>Final</t>
  </si>
  <si>
    <t>2.8V</t>
  </si>
  <si>
    <t>3.1V</t>
  </si>
  <si>
    <t>Voltage H Cal 3.1V</t>
  </si>
  <si>
    <t>Voltage L Cal 3.1V</t>
  </si>
  <si>
    <t>Values read from the device EEPROM</t>
  </si>
  <si>
    <t>Accelerometer Cal</t>
  </si>
  <si>
    <t>LB Left</t>
  </si>
  <si>
    <t>LB Right</t>
  </si>
  <si>
    <t>SUM</t>
  </si>
  <si>
    <t xml:space="preserve">        New loads converted</t>
  </si>
  <si>
    <t>Batt Diff?</t>
  </si>
  <si>
    <t>Battery Cal Value 2.8V</t>
  </si>
  <si>
    <t>Battery Cal Value 3.1V</t>
  </si>
  <si>
    <t>Z or 2.8V</t>
  </si>
  <si>
    <t>SNN-JRNYBCS34-L</t>
  </si>
  <si>
    <t>SNN-JRNYBCS34-R</t>
  </si>
  <si>
    <t>SNN-JRNYBCS56-L</t>
  </si>
  <si>
    <t>SNN-JRNYBCS56-R</t>
  </si>
  <si>
    <t>SNN-JRNYBCS78-L</t>
  </si>
  <si>
    <t>SNN-JRNYBCS78-R</t>
  </si>
  <si>
    <t>SNN-JRNYCR34-L</t>
  </si>
  <si>
    <t>SNN-JRNYCR34-R</t>
  </si>
  <si>
    <t>SNN-JRNYCR56-L</t>
  </si>
  <si>
    <t>SNN-JRNYCR56-R</t>
  </si>
  <si>
    <t>SNN-JRNYCR78-L</t>
  </si>
  <si>
    <t>SNN-JRNYCR78-R</t>
  </si>
  <si>
    <t>There are 4000 counts/0.1V. 10000 was to high, so 8000 was chosen.</t>
  </si>
  <si>
    <t>Operating Side</t>
  </si>
  <si>
    <t>Op Side</t>
  </si>
  <si>
    <t xml:space="preserve">Batt last </t>
  </si>
  <si>
    <t>V</t>
  </si>
  <si>
    <t>Tim Labuhn</t>
  </si>
  <si>
    <t>Cleared all fields of pre-existing readings, except placed default accelerometer data and default Lot and serial number on 1204-Initial.  Changed GainC to Operative Side on E-44 at the 1204Scale-Volt-acc tab and linked to 1204-Initial F-4 for SNN leg id (76=L,82=R, 255 is default) on 1204 tabs. Default Dev Type is 1013. Added Smith&amp;Nephew codes in the 7000's section. In 1204-Scale-Volt-Accel added 2.8V section at J31, revised L21 to be both Z or 2.8V, added P72 new load section battery and battery/scale areas at K169 through Q169. Changed Batt Min limit to 30000. All GAINC values look at the GAINC value on the FTS-Initialization page.</t>
  </si>
  <si>
    <t>I</t>
  </si>
  <si>
    <t>Sensor Range Error</t>
  </si>
  <si>
    <t>Min</t>
  </si>
  <si>
    <t>Batt</t>
  </si>
  <si>
    <t>Input Voltage</t>
  </si>
  <si>
    <t>A/D Difference Outside Range</t>
  </si>
  <si>
    <t>0xBF</t>
  </si>
  <si>
    <t>TEL</t>
  </si>
  <si>
    <t>PASS</t>
  </si>
  <si>
    <t>FAIL</t>
  </si>
  <si>
    <t>Error?</t>
  </si>
  <si>
    <t>Voltage Tool</t>
  </si>
  <si>
    <t xml:space="preserve"> FTS only</t>
  </si>
  <si>
    <t>Error Code</t>
  </si>
  <si>
    <t>SNN-LGNPS34</t>
  </si>
  <si>
    <t>SNN-LGNPS56</t>
  </si>
  <si>
    <t>SNN-LGNPS78</t>
  </si>
  <si>
    <t>SNN-LGNCR34</t>
  </si>
  <si>
    <t>SNN-LGNCR56</t>
  </si>
  <si>
    <t>SNN-LGNCR78</t>
  </si>
  <si>
    <t>Smith &amp; Nephew Legion</t>
  </si>
  <si>
    <t>SNN-LGN</t>
  </si>
  <si>
    <t xml:space="preserve">Revert back the changes done on 2/6/14 to EEPROM address 29 for the 20Hz Transmission (GCLKV) from BB back to BF. </t>
  </si>
  <si>
    <t>J</t>
  </si>
  <si>
    <t>Revised Error calc in C137 and P72 to S79 and added table U78 to U81 - Page 1204-Scale-Volt-Accel. Changed colors of K10 and L10. Changed error fail code in Q171. Added R167 to R171. Changed D36 to D43, added error code 43; Changed default serial number to 13466634 on 1204-Initial; Added PASS/FAIL and error code display next to 1204-Results on Presentation page and also added Cal Factor display. Replaced Depuy with SNN Legion 8000 catalog numbers. Changed SNN prefix to SNN-JRNY and SNN-LGN.</t>
  </si>
  <si>
    <t>1.  Do not modify this file without Engineering approval.
2.  Copied and renamed versions of this file may be used for engineering evaluation of unit performance.
3.  Device type information on "FTS-Initialization" must be updated for new VERASENSE products.
4.  Spreadsheet currently configured only for the following device types.  Do not use for production of other devices without engineering approval:
      · SYK 1204
      · BMT 1204 
      · ZMH 1204                                                                                                                                                                                                                                                                         · SNN JRNY 1204     · SNN LGN 1204</t>
  </si>
  <si>
    <t>K</t>
  </si>
  <si>
    <t>Increasing loads?</t>
  </si>
  <si>
    <t>Loads are not increasing S3</t>
  </si>
  <si>
    <t>Loads are not increasing S4</t>
  </si>
  <si>
    <t>Loads are not increasing S5</t>
  </si>
  <si>
    <t>Loads are not increasing S6</t>
  </si>
  <si>
    <t>Loads are not increasing S7</t>
  </si>
  <si>
    <t>Loads are not increasing S8</t>
  </si>
  <si>
    <t>Sensor S3 value does not increase with increasing load</t>
  </si>
  <si>
    <t>Sensor S4 value does not increase with increasing load</t>
  </si>
  <si>
    <t>Sensor S5value does not increase with increasing load</t>
  </si>
  <si>
    <t>Sensor S6 value does not increase with increasing load</t>
  </si>
  <si>
    <t>Sensor S7 value does not increase with increasing load</t>
  </si>
  <si>
    <t>Sensor S8 value does not increase with increasing load</t>
  </si>
  <si>
    <t>MIN counts at 80lb</t>
  </si>
  <si>
    <t>Sensor S3 Range is too low</t>
  </si>
  <si>
    <t>Sensor S3 range at 80lb is to low</t>
  </si>
  <si>
    <t>Sensor S4 Range is too low</t>
  </si>
  <si>
    <t>Sensor S5 Range is too low</t>
  </si>
  <si>
    <t>Sensor S6 Range is too low</t>
  </si>
  <si>
    <t>Sensor S7 Range is too low</t>
  </si>
  <si>
    <t>Sensor S8 Range is too low</t>
  </si>
  <si>
    <t>Sensor S4 range at 80lb is to low</t>
  </si>
  <si>
    <t>Sensor S5 range at 80lb is to low</t>
  </si>
  <si>
    <t>Sensor S6 range at 80lb is to low</t>
  </si>
  <si>
    <t>Sensor S7 range at 80lb is to low</t>
  </si>
  <si>
    <t>Sensor S8 range at 80lb is to low</t>
  </si>
  <si>
    <t>NEW Scale Calculation</t>
  </si>
  <si>
    <t>LIMIT</t>
  </si>
  <si>
    <t>Counts/LB:</t>
  </si>
  <si>
    <t>PCB sensor and Batt</t>
  </si>
  <si>
    <t>Changed error 40 to errors 72 to 77 defining which sensor caused the error, add table of increasing loads error check adding errors 66 to 71 (these codes are not included as failures). Changed cells 83B,C and D to correct math error and calibrate between 0 and 80. Add Count/LB at B62 to H62, Added scale multiplier at E84 and F84, Revised the load calculations from C74 to H79, C87 to J92 and C96 to D101, Revised failure code cell C137, Changed Accelerometer error codes from 70 - 75 to  44 - 49 to make room for sensor errors. On FTS-Initialization AE21 was 20, AE32 was 120, AE28 was 65000, AE29 was 1000 (these new values are based on past tests, not statistics). Made B28 = 5 dwell, was 10. Changed error fail code in Q171 to cover also the Count Min/Max Test.</t>
  </si>
  <si>
    <t>SNN-LGNCR12</t>
  </si>
  <si>
    <t>SNN-LGNPS12</t>
  </si>
  <si>
    <t>SNN-JRNYCR12-R</t>
  </si>
  <si>
    <t>SNN-JRNYCR12-L</t>
  </si>
  <si>
    <t>SNN-JRNYBCS12-L</t>
  </si>
  <si>
    <t>SNN-JRNYBCS12-R</t>
  </si>
  <si>
    <t>Smith &amp; Nephew Journey BCS</t>
  </si>
  <si>
    <t>SNN-JRNYBCS</t>
  </si>
  <si>
    <t>Smith &amp; Nephew Journey CR</t>
  </si>
  <si>
    <t>SNN-JRNYCR</t>
  </si>
  <si>
    <t>Added Smith &amp; Nephew size 1-2 for Journey and Legion families. Moved the Catalog Number Lookup Table around to accommodate the longer SNN-JRNY table and split the BCS from the CR. On FTS-Initialization changed RF transmit power setting PATABLE from 77 to 84 on all OEMs except BMT that was already at 84. Made B26=10 dwell, was 5.</t>
  </si>
  <si>
    <t>M</t>
  </si>
  <si>
    <t>Date</t>
  </si>
  <si>
    <t>Time</t>
  </si>
  <si>
    <t>Time Stamp</t>
  </si>
  <si>
    <t>Load Acc</t>
  </si>
  <si>
    <t>Compartment A outside spec</t>
  </si>
  <si>
    <t>Compartment B outside spec</t>
  </si>
  <si>
    <t>Compartment B at 40lb outside spec</t>
  </si>
  <si>
    <t>Compartment A at 80lb outside spec</t>
  </si>
  <si>
    <t>Compartment B at 80lb outside spec</t>
  </si>
  <si>
    <t>Compartment A at 40lb outside spec</t>
  </si>
  <si>
    <t xml:space="preserve">Load Accuracy Force [lb] Targets per Type. Controls Application of FTS loads to device </t>
  </si>
  <si>
    <t>Overall Load Accuracy Test fail</t>
  </si>
  <si>
    <t>Zero readings</t>
  </si>
  <si>
    <t>Residual or Offset Load</t>
  </si>
  <si>
    <t>Load Accuracy Test</t>
  </si>
  <si>
    <t>Correction Factor</t>
  </si>
  <si>
    <t>Load Accuracy Test Incomplete or Failure</t>
  </si>
  <si>
    <t xml:space="preserve"> </t>
  </si>
  <si>
    <t>Load Accuracy Test. Forces Table</t>
  </si>
  <si>
    <t>H to S</t>
  </si>
  <si>
    <t>in</t>
  </si>
  <si>
    <t>Prog Error</t>
  </si>
  <si>
    <t xml:space="preserve"> a)-In 1204-Scale-Volt-Accel, on E83 and F83 cells, "condition" Scale Factor to be a value different from 0 to avoid "DIV/0" erros and false Pass devices. Made M169 and N169 same as Scale Factor A and Scale Factor B. b)- created date and time stamp slot on Presentation tab: AC3=Date AD3=Time. c)-Added Error code 80 through 86 to cover Load Accuracy test fail errors.  d)-Added table on the FTS-Initialization tab for Load Accuracy Force loads and dwell time. e)-on 1204-Scale-Volt-Accel tab, added tables (no yet used) to capture Load Acc test raw data, filtered data and average data. Added table for calculated load per sensor and for errors. f)-Added logic for P/F criteria and error code. g)-Mirrowed the Load Accuracy Force table with added error columns on the Presentation tab and inserted plot chart for visualization. h)-Created place holder on 1204-Scale-Volt -Accel tab: O207=Correction Factor. i)-condition the logic of error 86 to display 0 if any other error was displayed, done to allow the test to continue. j)-increased the Batt Min counts from 30000 to 33000, apx 2.8V. k)-on 1204-Scale-Volt-Accel tab added L171 to capture error based on Batt A/D count at the end of the test. Made L171 and P171 part of sum for C137. l)-on 1204-Scale-Volt-Accel tab changed V4 (3.1V) on K27 to look at L169 instead of J169. m)-on 1204-Scale-Volt-Accel tab changed table "New Loads converted" to use scale factors on E137 and G137 instead of values from EEprom on M169 and N169. Added H to S variable on ESM Op table at Initialization tab. n)-on 1204-Scale-Volt-Accel tab changed formula on J158 to account for 0 degree and 90 degree incorrect placement at 45degree angle capture. o)-on 1204-Scale-Volt-Accel tab, cell C137 changed the logic to condition the error shown to display Accel or Load Test or Batt error related instead of overall Load Accuracy. p)-On 1204-Scale-Volt-Accel tab cell C137, took P171 off the logic for errors. q)-On 1204-Scale-Volt-Accel tab cell L101, added Program Error box. r)-Load Accuracy error table is now +/-3.5, before it was only +3.5.  H151 default changed to 48000.</t>
  </si>
  <si>
    <t>N</t>
  </si>
  <si>
    <t xml:space="preserve">a)-In 1204-Scale-Volt-Accel,  on cellsS81, U81,V81,W81,X81,Y81,Z81 conditioned the cells to display 0. The error codes displayed previously on these cells are now shifted and displayed to the cells below: S82,U82,V82,W82,X82,Y82,Z82. </t>
  </si>
  <si>
    <t>O</t>
  </si>
  <si>
    <t>Wael Hazin</t>
  </si>
  <si>
    <t>Home To Surface Speed</t>
  </si>
  <si>
    <t>Speed (in/min</t>
  </si>
  <si>
    <t>Distance from Home (%)</t>
  </si>
  <si>
    <t>within 0% to 79%</t>
  </si>
  <si>
    <t>within 80% to 84%</t>
  </si>
  <si>
    <t>within 85% to 89%</t>
  </si>
  <si>
    <t>within 90% to 94%</t>
  </si>
  <si>
    <t>within 95 to 100%</t>
  </si>
  <si>
    <t>Mark-10 Home Speed</t>
  </si>
  <si>
    <t>Mark-10 Load Speed</t>
  </si>
  <si>
    <t>DefaultCalTable0</t>
  </si>
  <si>
    <t>DefaultCalTable1</t>
  </si>
  <si>
    <t>DefaultCalTable2</t>
  </si>
  <si>
    <t>DefaultCalTable3</t>
  </si>
  <si>
    <t>DefaultCalTable4</t>
  </si>
  <si>
    <t>DefaultCalTable5</t>
  </si>
  <si>
    <t>DefaultCalTable6</t>
  </si>
  <si>
    <t>DefaultCalTable7</t>
  </si>
  <si>
    <t>Default Calibration Table</t>
  </si>
  <si>
    <t xml:space="preserve">Updated load accuracy lbs calculation so that the caluculation is done in the support file and not in the FTS code. The load calcaulation that was done in the FTS code was inaccurate and old. This new method is the same as whats being used in the VSA SW. </t>
  </si>
  <si>
    <t>Note: If load speed &lt; 0 the FTS will utilize the PID Controller</t>
  </si>
  <si>
    <t>Initial Time (surf)</t>
  </si>
  <si>
    <t>to load</t>
  </si>
  <si>
    <t>dwell</t>
  </si>
  <si>
    <t>after dwell</t>
  </si>
  <si>
    <t>Note: Test time per Load Schedule if enabled in Eng-Panel</t>
  </si>
  <si>
    <t>5-40 Condyle Linear Fit (Counts/lb) (Force Intercept of Zero)</t>
  </si>
  <si>
    <t>Slope:</t>
  </si>
  <si>
    <t>Y-intercept:</t>
  </si>
  <si>
    <t>Calculation of Slope</t>
  </si>
  <si>
    <t>Side:</t>
  </si>
  <si>
    <t>Calculations</t>
  </si>
  <si>
    <t>X*Y</t>
  </si>
  <si>
    <t>X^2</t>
  </si>
  <si>
    <t>Total:</t>
  </si>
  <si>
    <t>EEPROM Vector Storing New Calibration Methods</t>
  </si>
  <si>
    <t>Force Zero Slope Right</t>
  </si>
  <si>
    <t>Y-Intercept Method Slope Left (1)</t>
  </si>
  <si>
    <t>Y-Intercept Method Slope Left (2)</t>
  </si>
  <si>
    <t>Y-Intercept Method Slope Left (3)</t>
  </si>
  <si>
    <t>Y-Intercept Method Slope Left (4)</t>
  </si>
  <si>
    <t>Y-Intercept Method Intercept Left (1)</t>
  </si>
  <si>
    <t>Y-Intercept Method Intercept Left (2)</t>
  </si>
  <si>
    <t>Y-Intercept Method Intercept Left (3)</t>
  </si>
  <si>
    <t>Y-Intercept Method Intercept Left (4)</t>
  </si>
  <si>
    <t>Y-Intercept Method Slope Right (1)</t>
  </si>
  <si>
    <t>Y-Intercept Method Slope Right (2)</t>
  </si>
  <si>
    <t>Y-Intercept Method Slope Right (3)</t>
  </si>
  <si>
    <t>Y-Intercept Method Slope Right (4)</t>
  </si>
  <si>
    <t>Y-Intercept Method Intercept Right (1)</t>
  </si>
  <si>
    <t>Y-Intercept Method Intercept Right (2)</t>
  </si>
  <si>
    <t>Y-Intercept Method Intercept Right (3)</t>
  </si>
  <si>
    <t>Y-Intercept Method Intercept Right (4)</t>
  </si>
  <si>
    <t>Current Method CalA</t>
  </si>
  <si>
    <t>Current Method CalB</t>
  </si>
  <si>
    <t>Decimal</t>
  </si>
  <si>
    <t>Hex</t>
  </si>
  <si>
    <t>Method</t>
  </si>
  <si>
    <t>Force Zero Slope Left</t>
  </si>
  <si>
    <t>Intercept Method Slope Left</t>
  </si>
  <si>
    <t>Intercept Method Slope Right</t>
  </si>
  <si>
    <t>Intercept Method Y-Intercept Left</t>
  </si>
  <si>
    <t>Intercept Method Y-Intercept Right</t>
  </si>
  <si>
    <t>P</t>
  </si>
  <si>
    <t>Added 2 new mothods of calculating scale factors. One being the Forced Zero Method and the other being the y-intercept method.  The y-intercept method is being saved in the device EEPROM at location other than the current scale factors and it will not be used in the VSA SW. The Forced Zero Method is now saved where the previous scale factors were and the VSA will use this method to calculate load just like the load accuracy test in this support file. EEPROM Page 1 at location U17 and page 2 at location AB18 have been loaded with new calibration method values from table "EEPROM Vector Storing New Calibration Methods" at S44 . on the initialization tab, cell AF60, changed the speed to 0.24. Note that it has to be &lt;0 for the PID to work. Changed E137 ScaleFactorA and G137 ScaleFactorB to the Forced Zero method. These will be the values that will be programmed as the scale factors in the device EEPROM</t>
  </si>
  <si>
    <t>Compartment A outside spec - NFHU</t>
  </si>
  <si>
    <t>Compartment B outside spec - NFHU</t>
  </si>
  <si>
    <t>Compartment A at 40lb outside spec -NFHU</t>
  </si>
  <si>
    <t>Compartment B at 40lb outside spec -NFHU</t>
  </si>
  <si>
    <t>Compartment A at 80lb outside spec -NFHU</t>
  </si>
  <si>
    <t>Compartment B at 80lb outside spec -NFHU</t>
  </si>
  <si>
    <r>
      <rPr>
        <b/>
        <sz val="11"/>
        <color theme="0"/>
        <rFont val="Calibri"/>
        <family val="2"/>
      </rPr>
      <t>∆</t>
    </r>
    <r>
      <rPr>
        <b/>
        <sz val="11"/>
        <color theme="0"/>
        <rFont val="Calibri"/>
        <family val="2"/>
        <scheme val="minor"/>
      </rPr>
      <t>F/Cond [lb]</t>
    </r>
  </si>
  <si>
    <t>Calibration Test. Average A/D  Output for Each Load Stable Point</t>
  </si>
  <si>
    <t xml:space="preserve"> Average Zero-Baseline Table (Delta A/D Counts)</t>
  </si>
  <si>
    <t xml:space="preserve">Total A/D during Load Accuracy </t>
  </si>
  <si>
    <t>Total Forces during Load Accuracy Per Condyle</t>
  </si>
  <si>
    <t>Total Errors</t>
  </si>
  <si>
    <t>F/Cond</t>
  </si>
  <si>
    <t>Mean</t>
  </si>
  <si>
    <t>Std</t>
  </si>
  <si>
    <t>Left Mean Error and Std</t>
  </si>
  <si>
    <t>Right Mean Error and Std</t>
  </si>
  <si>
    <t>Compartment A at 20lb outside spec</t>
  </si>
  <si>
    <t>Compartment B at 20lb outside spec</t>
  </si>
  <si>
    <t>Compartment A at 60lb outside spec</t>
  </si>
  <si>
    <t>Compartment B at 60lb outside spec</t>
  </si>
  <si>
    <t>Compartment A at 20lb outside spec -NFHU</t>
  </si>
  <si>
    <t>Compartment B at 20lb outside spec -NFHU</t>
  </si>
  <si>
    <t>Compartment A at 60lb outside spec -NFHU</t>
  </si>
  <si>
    <t>Compartment B at 60lb outside spec -NFHU</t>
  </si>
  <si>
    <t>Ref1</t>
  </si>
  <si>
    <t>Ref2</t>
  </si>
  <si>
    <t>S2</t>
  </si>
  <si>
    <t>S2 [lb]</t>
  </si>
  <si>
    <t>Load Accuracy Test. Zero-Baseline Table</t>
  </si>
  <si>
    <t>Load Accuracy Test. A/D Output after Averaging (n=50) at 0lb</t>
  </si>
  <si>
    <t>Load Accuracy Test. A/D Output for Each Load Point</t>
  </si>
  <si>
    <t>Zimmer-Persona</t>
  </si>
  <si>
    <t>ZBH-PSN</t>
  </si>
  <si>
    <t>ZBH-PSN-CD</t>
  </si>
  <si>
    <t>ZBH-PSN-EF</t>
  </si>
  <si>
    <t>ZBH-PSN-GH</t>
  </si>
  <si>
    <t>Ref 1</t>
  </si>
  <si>
    <t>Ref 2</t>
  </si>
  <si>
    <t xml:space="preserve">16mm Shim Left </t>
  </si>
  <si>
    <t>16mm Shim Right</t>
  </si>
  <si>
    <t>UTL/L [lb]</t>
  </si>
  <si>
    <t>LTL/L [lb]</t>
  </si>
  <si>
    <t>All Loads</t>
  </si>
  <si>
    <t>Load Accuracy Test. Statistical Error Table</t>
  </si>
  <si>
    <t>Compartment A outside spec -NFHU</t>
  </si>
  <si>
    <t>Compartment B outside spec -NFHU</t>
  </si>
  <si>
    <t xml:space="preserve">Compartment A outside spec </t>
  </si>
  <si>
    <t xml:space="preserve">Compartment B outside spec </t>
  </si>
  <si>
    <t>K Factor</t>
  </si>
  <si>
    <t>N/A</t>
  </si>
  <si>
    <t>N/A or 2.8V</t>
  </si>
  <si>
    <t>Z</t>
  </si>
  <si>
    <t>Cal Factor for CondyleA 10mm</t>
  </si>
  <si>
    <t>Cal Factor for CondyleB 10mm</t>
  </si>
  <si>
    <t>Cal Factor for CondyleA 16mm</t>
  </si>
  <si>
    <t>Cal Factor for CondyleB 16mm</t>
  </si>
  <si>
    <t>LTL/R [lb]</t>
  </si>
  <si>
    <t>UTL/R [lb]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</si>
</sst>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0"/>
    <numFmt numFmtId="166" formatCode="0.000"/>
    <numFmt numFmtId="167" formatCode="h:mm:ss;@"/>
  </numFmts>
  <fonts count="23" x14ac:knownFonts="1">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0"/>
      <name val="Arial"/>
      <family val="2"/>
    </font>
    <font>
      <sz val="11"/>
      <color theme="0"/>
      <name val="Calibri"/>
      <family val="2"/>
      <scheme val="minor"/>
    </font>
    <font>
      <b/>
      <sz val="11"/>
      <color theme="0"/>
      <name val="Calibri"/>
      <family val="2"/>
      <scheme val="minor"/>
    </font>
    <font>
      <sz val="11"/>
      <color theme="0"/>
      <name val="Calibri"/>
      <family val="2"/>
    </font>
    <font>
      <sz val="10"/>
      <name val="Courier New"/>
      <family val="3"/>
    </font>
    <font>
      <sz val="10"/>
      <color rgb="FF222222"/>
      <name val="Arial"/>
      <family val="2"/>
    </font>
    <font>
      <sz val="24"/>
      <color theme="1"/>
      <name val="Calibri"/>
      <family val="2"/>
      <scheme val="minor"/>
    </font>
    <font>
      <u/>
      <sz val="11"/>
      <color theme="10"/>
      <name val="Calibri"/>
      <family val="2"/>
      <scheme val="minor"/>
    </font>
    <font>
      <u/>
      <sz val="11"/>
      <color theme="11"/>
      <name val="Calibri"/>
      <family val="2"/>
      <scheme val="minor"/>
    </font>
    <font>
      <sz val="10"/>
      <color theme="1"/>
      <name val="Calibri"/>
      <family val="2"/>
    </font>
    <font>
      <b/>
      <sz val="12"/>
      <color theme="0"/>
      <name val="Calibri"/>
      <family val="2"/>
      <scheme val="minor"/>
    </font>
    <font>
      <sz val="24"/>
      <color theme="1"/>
      <name val="Calibri"/>
      <family val="2"/>
    </font>
    <font>
      <sz val="11"/>
      <color rgb="FF000000"/>
      <name val="Calibri"/>
      <family val="2"/>
      <scheme val="minor"/>
    </font>
    <font>
      <sz val="10"/>
      <color theme="1"/>
      <name val="Calibri"/>
      <family val="2"/>
      <scheme val="minor"/>
    </font>
    <font>
      <b/>
      <sz val="10"/>
      <color theme="0"/>
      <name val="Calibri"/>
      <family val="2"/>
      <scheme val="minor"/>
    </font>
    <font>
      <sz val="11"/>
      <color rgb="FF222222"/>
      <name val="Calibri"/>
      <family val="2"/>
      <scheme val="minor"/>
    </font>
    <font>
      <sz val="11"/>
      <color rgb="FF9C6500"/>
      <name val="Calibri"/>
      <family val="2"/>
      <scheme val="minor"/>
    </font>
    <font>
      <sz val="11"/>
      <color rgb="FF006100"/>
      <name val="Calibri"/>
      <family val="2"/>
      <scheme val="minor"/>
    </font>
    <font>
      <b/>
      <sz val="11"/>
      <color theme="0"/>
      <name val="Calibri"/>
      <family val="2"/>
    </font>
  </fonts>
  <fills count="33">
    <fill>
      <patternFill patternType="none"/>
    </fill>
    <fill>
      <patternFill patternType="gray125"/>
    </fill>
    <fill>
      <patternFill patternType="solid">
        <fgColor theme="0" tint="-0.14999847407452621"/>
        <bgColor indexed="64"/>
      </patternFill>
    </fill>
    <fill>
      <patternFill patternType="solid">
        <fgColor rgb="FFD9D9D9"/>
        <bgColor indexed="64"/>
      </patternFill>
    </fill>
    <fill>
      <patternFill patternType="solid">
        <fgColor theme="5"/>
      </patternFill>
    </fill>
    <fill>
      <patternFill patternType="solid">
        <fgColor theme="5" tint="0.79998168889431442"/>
        <bgColor indexed="65"/>
      </patternFill>
    </fill>
    <fill>
      <patternFill patternType="solid">
        <fgColor theme="6"/>
      </patternFill>
    </fill>
    <fill>
      <patternFill patternType="solid">
        <fgColor theme="6" tint="0.79998168889431442"/>
        <bgColor indexed="65"/>
      </patternFill>
    </fill>
    <fill>
      <patternFill patternType="solid">
        <fgColor theme="7"/>
      </patternFill>
    </fill>
    <fill>
      <patternFill patternType="solid">
        <fgColor theme="7" tint="0.79998168889431442"/>
        <bgColor indexed="65"/>
      </patternFill>
    </fill>
    <fill>
      <patternFill patternType="solid">
        <fgColor theme="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8"/>
      </patternFill>
    </fill>
    <fill>
      <patternFill patternType="solid">
        <fgColor theme="8" tint="0.79998168889431442"/>
        <bgColor indexed="65"/>
      </patternFill>
    </fill>
    <fill>
      <patternFill patternType="solid">
        <fgColor theme="9"/>
      </patternFill>
    </fill>
    <fill>
      <patternFill patternType="solid">
        <fgColor theme="9" tint="0.79998168889431442"/>
        <bgColor indexed="65"/>
      </patternFill>
    </fill>
    <fill>
      <patternFill patternType="solid">
        <fgColor theme="5" tint="0.79998168889431442"/>
        <bgColor indexed="64"/>
      </patternFill>
    </fill>
    <fill>
      <patternFill patternType="solid">
        <fgColor theme="5"/>
        <bgColor indexed="64"/>
      </patternFill>
    </fill>
    <fill>
      <patternFill patternType="solid">
        <fgColor theme="7"/>
        <bgColor indexed="64"/>
      </patternFill>
    </fill>
    <fill>
      <patternFill patternType="solid">
        <fgColor theme="0"/>
        <bgColor indexed="64"/>
      </patternFill>
    </fill>
    <fill>
      <patternFill patternType="solid">
        <fgColor theme="7" tint="0.59999389629810485"/>
        <bgColor indexed="65"/>
      </patternFill>
    </fill>
    <fill>
      <patternFill patternType="solid">
        <fgColor theme="5" tint="0.59999389629810485"/>
        <bgColor indexed="64"/>
      </patternFill>
    </fill>
    <fill>
      <patternFill patternType="solid">
        <fgColor theme="5" tint="0.3999450666829432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6"/>
        <bgColor indexed="64"/>
      </patternFill>
    </fill>
    <fill>
      <patternFill patternType="solid">
        <fgColor rgb="FFFFEB9C"/>
      </patternFill>
    </fill>
    <fill>
      <patternFill patternType="solid">
        <fgColor rgb="FFC6EFCE"/>
      </patternFill>
    </fill>
    <fill>
      <patternFill patternType="solid">
        <fgColor theme="4" tint="0.59999389629810485"/>
        <bgColor indexed="65"/>
      </patternFill>
    </fill>
    <fill>
      <patternFill patternType="solid">
        <fgColor theme="4" tint="0.79998168889431442"/>
        <bgColor indexed="64"/>
      </patternFill>
    </fill>
    <fill>
      <patternFill patternType="solid">
        <fgColor theme="5" tint="0.59999389629810485"/>
        <bgColor indexed="65"/>
      </patternFill>
    </fill>
  </fills>
  <borders count="4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thin">
        <color auto="1"/>
      </bottom>
      <diagonal/>
    </border>
    <border>
      <left style="medium">
        <color auto="1"/>
      </left>
      <right style="medium">
        <color auto="1"/>
      </right>
      <top style="medium">
        <color auto="1"/>
      </top>
      <bottom style="medium">
        <color auto="1"/>
      </bottom>
      <diagonal/>
    </border>
    <border>
      <left style="thin">
        <color auto="1"/>
      </left>
      <right/>
      <top/>
      <bottom/>
      <diagonal/>
    </border>
    <border>
      <left/>
      <right style="thin">
        <color rgb="FF000000"/>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bottom style="medium">
        <color auto="1"/>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thin">
        <color auto="1"/>
      </left>
      <right style="thin">
        <color auto="1"/>
      </right>
      <top style="thin">
        <color auto="1"/>
      </top>
      <bottom style="double">
        <color indexed="64"/>
      </bottom>
      <diagonal/>
    </border>
    <border>
      <left style="thin">
        <color auto="1"/>
      </left>
      <right style="medium">
        <color indexed="64"/>
      </right>
      <top style="thin">
        <color auto="1"/>
      </top>
      <bottom style="double">
        <color indexed="64"/>
      </bottom>
      <diagonal/>
    </border>
    <border>
      <left style="thin">
        <color auto="1"/>
      </left>
      <right style="thin">
        <color auto="1"/>
      </right>
      <top style="double">
        <color indexed="64"/>
      </top>
      <bottom style="thin">
        <color auto="1"/>
      </bottom>
      <diagonal/>
    </border>
    <border>
      <left style="thin">
        <color auto="1"/>
      </left>
      <right style="medium">
        <color indexed="64"/>
      </right>
      <top style="double">
        <color indexed="64"/>
      </top>
      <bottom style="thin">
        <color auto="1"/>
      </bottom>
      <diagonal/>
    </border>
    <border>
      <left style="thin">
        <color auto="1"/>
      </left>
      <right style="thin">
        <color auto="1"/>
      </right>
      <top style="double">
        <color indexed="64"/>
      </top>
      <bottom/>
      <diagonal/>
    </border>
    <border>
      <left style="thin">
        <color auto="1"/>
      </left>
      <right style="thin">
        <color auto="1"/>
      </right>
      <top/>
      <bottom style="medium">
        <color indexed="64"/>
      </bottom>
      <diagonal/>
    </border>
    <border>
      <left style="thin">
        <color auto="1"/>
      </left>
      <right style="thin">
        <color auto="1"/>
      </right>
      <top style="medium">
        <color indexed="64"/>
      </top>
      <bottom/>
      <diagonal/>
    </border>
    <border>
      <left style="thin">
        <color auto="1"/>
      </left>
      <right style="thin">
        <color auto="1"/>
      </right>
      <top/>
      <bottom style="double">
        <color indexed="64"/>
      </bottom>
      <diagonal/>
    </border>
  </borders>
  <cellStyleXfs count="131">
    <xf numFmtId="0" fontId="0" fillId="0" borderId="0"/>
    <xf numFmtId="0" fontId="2" fillId="0" borderId="0"/>
    <xf numFmtId="0" fontId="4" fillId="0" borderId="0"/>
    <xf numFmtId="0" fontId="5" fillId="4" borderId="0" applyNumberFormat="0" applyBorder="0" applyAlignment="0" applyProtection="0"/>
    <xf numFmtId="0" fontId="2" fillId="5" borderId="0" applyNumberFormat="0" applyBorder="0" applyAlignment="0" applyProtection="0"/>
    <xf numFmtId="0" fontId="5" fillId="6" borderId="0" applyNumberFormat="0" applyBorder="0" applyAlignment="0" applyProtection="0"/>
    <xf numFmtId="0" fontId="2" fillId="7" borderId="0" applyNumberFormat="0" applyBorder="0" applyAlignment="0" applyProtection="0"/>
    <xf numFmtId="0" fontId="5" fillId="8" borderId="0" applyNumberFormat="0" applyBorder="0" applyAlignment="0" applyProtection="0"/>
    <xf numFmtId="0" fontId="2" fillId="9" borderId="0" applyNumberFormat="0" applyBorder="0" applyAlignment="0" applyProtection="0"/>
    <xf numFmtId="9" fontId="2" fillId="0" borderId="0" applyFont="0" applyFill="0" applyBorder="0" applyAlignment="0" applyProtection="0"/>
    <xf numFmtId="0" fontId="5" fillId="10" borderId="0" applyNumberFormat="0" applyBorder="0" applyAlignment="0" applyProtection="0"/>
    <xf numFmtId="0" fontId="2"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2" fillId="14" borderId="0" applyNumberFormat="0" applyBorder="0" applyAlignment="0" applyProtection="0"/>
    <xf numFmtId="0" fontId="5" fillId="15" borderId="0" applyNumberFormat="0" applyBorder="0" applyAlignment="0" applyProtection="0"/>
    <xf numFmtId="0" fontId="2" fillId="16"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 fillId="21"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20" fillId="28" borderId="0" applyNumberFormat="0" applyBorder="0" applyAlignment="0" applyProtection="0"/>
    <xf numFmtId="0" fontId="21" fillId="29" borderId="0" applyNumberFormat="0" applyBorder="0" applyAlignment="0" applyProtection="0"/>
    <xf numFmtId="0" fontId="1" fillId="0" borderId="0"/>
    <xf numFmtId="0" fontId="2" fillId="30" borderId="0" applyNumberFormat="0" applyBorder="0" applyAlignment="0" applyProtection="0"/>
    <xf numFmtId="0" fontId="2" fillId="32" borderId="0" applyNumberFormat="0" applyBorder="0" applyAlignment="0" applyProtection="0"/>
  </cellStyleXfs>
  <cellXfs count="498">
    <xf numFmtId="0" fontId="0" fillId="0" borderId="0" xfId="0"/>
    <xf numFmtId="0" fontId="2" fillId="0" borderId="1" xfId="1" applyBorder="1" applyAlignment="1">
      <alignment vertical="top" wrapText="1"/>
    </xf>
    <xf numFmtId="0" fontId="2" fillId="0" borderId="0" xfId="1"/>
    <xf numFmtId="0" fontId="3" fillId="2" borderId="2" xfId="1" applyFont="1" applyFill="1" applyBorder="1" applyAlignment="1">
      <alignment vertical="center"/>
    </xf>
    <xf numFmtId="0" fontId="2" fillId="2" borderId="3" xfId="1" applyFont="1" applyFill="1" applyBorder="1" applyAlignment="1">
      <alignment vertical="center" wrapText="1"/>
    </xf>
    <xf numFmtId="0" fontId="2" fillId="2" borderId="4" xfId="1" applyFont="1" applyFill="1" applyBorder="1" applyAlignment="1">
      <alignment vertical="center" wrapText="1"/>
    </xf>
    <xf numFmtId="0" fontId="2" fillId="0" borderId="0" xfId="1" applyFont="1" applyAlignment="1">
      <alignment vertical="center" wrapText="1"/>
    </xf>
    <xf numFmtId="0" fontId="2" fillId="0" borderId="0" xfId="1" applyAlignment="1">
      <alignment vertical="center"/>
    </xf>
    <xf numFmtId="0" fontId="2" fillId="2" borderId="3" xfId="1" applyFill="1" applyBorder="1" applyAlignment="1">
      <alignment vertical="center"/>
    </xf>
    <xf numFmtId="0" fontId="2" fillId="2" borderId="4" xfId="1" applyFill="1" applyBorder="1" applyAlignment="1">
      <alignment vertical="center"/>
    </xf>
    <xf numFmtId="0" fontId="3" fillId="3" borderId="1" xfId="1" applyFont="1" applyFill="1" applyBorder="1" applyAlignment="1">
      <alignment horizontal="center" vertical="center" wrapText="1"/>
    </xf>
    <xf numFmtId="49" fontId="4" fillId="0" borderId="0" xfId="2" applyNumberFormat="1"/>
    <xf numFmtId="0" fontId="4" fillId="0" borderId="0" xfId="2"/>
    <xf numFmtId="0" fontId="2" fillId="0" borderId="1" xfId="1" applyFont="1" applyBorder="1" applyAlignment="1">
      <alignment horizontal="center" vertical="center" wrapText="1"/>
    </xf>
    <xf numFmtId="14" fontId="2" fillId="0" borderId="1" xfId="1" applyNumberFormat="1" applyBorder="1" applyAlignment="1">
      <alignment horizontal="center" vertical="center" wrapText="1"/>
    </xf>
    <xf numFmtId="14" fontId="2" fillId="0" borderId="5" xfId="1" applyNumberFormat="1" applyBorder="1" applyAlignment="1">
      <alignment horizontal="center" vertical="center" wrapText="1"/>
    </xf>
    <xf numFmtId="0" fontId="2" fillId="0" borderId="1" xfId="1" quotePrefix="1" applyFont="1" applyBorder="1" applyAlignment="1">
      <alignment horizontal="center" vertical="center" wrapText="1"/>
    </xf>
    <xf numFmtId="14" fontId="2" fillId="0" borderId="1" xfId="1" applyNumberFormat="1" applyFont="1" applyBorder="1" applyAlignment="1">
      <alignment horizontal="center" vertical="center" wrapText="1"/>
    </xf>
    <xf numFmtId="0" fontId="2" fillId="0" borderId="0" xfId="1" applyAlignment="1">
      <alignment wrapText="1"/>
    </xf>
    <xf numFmtId="0" fontId="0" fillId="0" borderId="1" xfId="1" applyFont="1" applyBorder="1" applyAlignment="1">
      <alignment horizontal="center" vertical="center" wrapText="1"/>
    </xf>
    <xf numFmtId="0" fontId="5" fillId="8" borderId="1" xfId="7" applyBorder="1"/>
    <xf numFmtId="0" fontId="2" fillId="9" borderId="1" xfId="8" applyBorder="1"/>
    <xf numFmtId="0" fontId="2" fillId="5" borderId="3" xfId="4" applyBorder="1"/>
    <xf numFmtId="0" fontId="2" fillId="5" borderId="1" xfId="4" applyBorder="1"/>
    <xf numFmtId="0" fontId="5" fillId="4" borderId="3" xfId="3" applyBorder="1"/>
    <xf numFmtId="0" fontId="5" fillId="4" borderId="1" xfId="3" applyBorder="1"/>
    <xf numFmtId="0" fontId="6" fillId="10" borderId="1" xfId="10" applyFont="1" applyBorder="1" applyAlignment="1">
      <alignment horizontal="center"/>
    </xf>
    <xf numFmtId="0" fontId="0" fillId="0" borderId="0" xfId="0" applyAlignment="1">
      <alignment horizontal="center"/>
    </xf>
    <xf numFmtId="0" fontId="6" fillId="15" borderId="1" xfId="15" applyFont="1" applyBorder="1" applyAlignment="1">
      <alignment horizontal="center"/>
    </xf>
    <xf numFmtId="0" fontId="5" fillId="10" borderId="1" xfId="10" applyBorder="1"/>
    <xf numFmtId="0" fontId="5" fillId="15" borderId="1" xfId="15" applyBorder="1"/>
    <xf numFmtId="0" fontId="2" fillId="16" borderId="1" xfId="16" applyBorder="1"/>
    <xf numFmtId="0" fontId="6" fillId="8" borderId="1" xfId="7" applyFont="1" applyBorder="1" applyAlignment="1">
      <alignment horizontal="center"/>
    </xf>
    <xf numFmtId="0" fontId="5" fillId="13" borderId="1" xfId="13" applyBorder="1"/>
    <xf numFmtId="0" fontId="2" fillId="14" borderId="1" xfId="14" applyBorder="1"/>
    <xf numFmtId="0" fontId="6" fillId="4" borderId="1" xfId="3" applyFont="1" applyBorder="1" applyAlignment="1">
      <alignment horizontal="center"/>
    </xf>
    <xf numFmtId="0" fontId="7" fillId="4" borderId="1" xfId="3" applyFont="1" applyBorder="1"/>
    <xf numFmtId="0" fontId="5" fillId="10" borderId="2" xfId="10" applyBorder="1"/>
    <xf numFmtId="0" fontId="5" fillId="10" borderId="3" xfId="10" applyBorder="1"/>
    <xf numFmtId="0" fontId="5" fillId="10" borderId="4" xfId="10" applyBorder="1"/>
    <xf numFmtId="0" fontId="5" fillId="12" borderId="1" xfId="12" applyBorder="1"/>
    <xf numFmtId="0" fontId="5" fillId="4" borderId="2" xfId="3" applyBorder="1"/>
    <xf numFmtId="0" fontId="5" fillId="4" borderId="4" xfId="3" applyBorder="1"/>
    <xf numFmtId="0" fontId="5" fillId="12" borderId="2" xfId="12" applyBorder="1"/>
    <xf numFmtId="0" fontId="5" fillId="12" borderId="3" xfId="12" applyBorder="1"/>
    <xf numFmtId="0" fontId="5" fillId="12" borderId="4" xfId="12" applyBorder="1"/>
    <xf numFmtId="0" fontId="6" fillId="13" borderId="8" xfId="13" applyFont="1" applyBorder="1" applyAlignment="1">
      <alignment horizontal="center"/>
    </xf>
    <xf numFmtId="0" fontId="6" fillId="13" borderId="7" xfId="13" applyFont="1" applyBorder="1" applyAlignment="1">
      <alignment horizontal="center"/>
    </xf>
    <xf numFmtId="0" fontId="2" fillId="5" borderId="9" xfId="4" applyBorder="1"/>
    <xf numFmtId="0" fontId="5" fillId="4" borderId="10" xfId="3" applyBorder="1"/>
    <xf numFmtId="0" fontId="5" fillId="4" borderId="11" xfId="3" applyBorder="1"/>
    <xf numFmtId="0" fontId="2" fillId="5" borderId="4" xfId="4" applyBorder="1"/>
    <xf numFmtId="0" fontId="0" fillId="5" borderId="2" xfId="4" applyFont="1" applyBorder="1"/>
    <xf numFmtId="0" fontId="0" fillId="5" borderId="3" xfId="4" applyFont="1" applyBorder="1"/>
    <xf numFmtId="0" fontId="0" fillId="5" borderId="9" xfId="4" applyFont="1" applyBorder="1"/>
    <xf numFmtId="0" fontId="0" fillId="5" borderId="1" xfId="4" applyFont="1" applyBorder="1"/>
    <xf numFmtId="0" fontId="6" fillId="8" borderId="0" xfId="7" applyFont="1" applyBorder="1" applyAlignment="1">
      <alignment horizontal="center"/>
    </xf>
    <xf numFmtId="0" fontId="6" fillId="8" borderId="9" xfId="7" applyFont="1" applyBorder="1" applyAlignment="1">
      <alignment horizontal="center"/>
    </xf>
    <xf numFmtId="0" fontId="6" fillId="8" borderId="6" xfId="7" applyFont="1" applyBorder="1" applyAlignment="1">
      <alignment horizontal="center"/>
    </xf>
    <xf numFmtId="0" fontId="6" fillId="8" borderId="8" xfId="7" applyFont="1" applyBorder="1" applyAlignment="1">
      <alignment horizontal="center"/>
    </xf>
    <xf numFmtId="14" fontId="5" fillId="4" borderId="1" xfId="3" applyNumberFormat="1" applyBorder="1"/>
    <xf numFmtId="0" fontId="5" fillId="4" borderId="8" xfId="3" applyBorder="1"/>
    <xf numFmtId="0" fontId="6" fillId="4" borderId="1" xfId="3" applyFont="1" applyBorder="1" applyAlignment="1">
      <alignment horizontal="center"/>
    </xf>
    <xf numFmtId="0" fontId="5" fillId="15" borderId="1" xfId="15" applyBorder="1" applyAlignment="1">
      <alignment horizontal="center"/>
    </xf>
    <xf numFmtId="49" fontId="5" fillId="12" borderId="1" xfId="12" applyNumberFormat="1" applyBorder="1"/>
    <xf numFmtId="49" fontId="2" fillId="11" borderId="1" xfId="11" applyNumberFormat="1" applyBorder="1"/>
    <xf numFmtId="0" fontId="5" fillId="6" borderId="13" xfId="5" applyBorder="1"/>
    <xf numFmtId="0" fontId="5" fillId="6" borderId="14" xfId="5" applyBorder="1"/>
    <xf numFmtId="0" fontId="5" fillId="6" borderId="15" xfId="5" applyBorder="1"/>
    <xf numFmtId="0" fontId="5" fillId="8" borderId="13" xfId="7" applyBorder="1"/>
    <xf numFmtId="0" fontId="5" fillId="8" borderId="14" xfId="7" applyBorder="1"/>
    <xf numFmtId="0" fontId="5" fillId="4" borderId="12" xfId="3" applyBorder="1"/>
    <xf numFmtId="0" fontId="5" fillId="4" borderId="12" xfId="3" applyNumberFormat="1" applyBorder="1"/>
    <xf numFmtId="0" fontId="5" fillId="8" borderId="15" xfId="7" applyBorder="1"/>
    <xf numFmtId="49" fontId="5" fillId="8" borderId="12" xfId="7" applyNumberFormat="1" applyBorder="1" applyAlignment="1">
      <alignment horizontal="center"/>
    </xf>
    <xf numFmtId="0" fontId="5" fillId="6" borderId="12" xfId="5" applyNumberFormat="1" applyBorder="1" applyAlignment="1">
      <alignment horizontal="center"/>
    </xf>
    <xf numFmtId="0" fontId="5" fillId="6" borderId="12" xfId="5" quotePrefix="1" applyNumberFormat="1" applyBorder="1" applyAlignment="1">
      <alignment horizontal="center"/>
    </xf>
    <xf numFmtId="0" fontId="5" fillId="8" borderId="12" xfId="7" applyNumberFormat="1" applyBorder="1" applyAlignment="1">
      <alignment horizontal="center"/>
    </xf>
    <xf numFmtId="0" fontId="5" fillId="13" borderId="12" xfId="13" applyBorder="1"/>
    <xf numFmtId="0" fontId="5" fillId="13" borderId="12" xfId="13" applyBorder="1" applyAlignment="1">
      <alignment horizontal="center"/>
    </xf>
    <xf numFmtId="0" fontId="8" fillId="17" borderId="16" xfId="0" applyNumberFormat="1" applyFont="1" applyFill="1" applyBorder="1" applyAlignment="1">
      <alignment horizontal="left"/>
    </xf>
    <xf numFmtId="0" fontId="8" fillId="17" borderId="17" xfId="0" applyNumberFormat="1" applyFont="1" applyFill="1" applyBorder="1" applyAlignment="1">
      <alignment horizontal="left"/>
    </xf>
    <xf numFmtId="0" fontId="8" fillId="17" borderId="18" xfId="0" applyNumberFormat="1" applyFont="1" applyFill="1" applyBorder="1" applyAlignment="1">
      <alignment horizontal="left"/>
    </xf>
    <xf numFmtId="0" fontId="5" fillId="12" borderId="12" xfId="12" applyBorder="1"/>
    <xf numFmtId="0" fontId="5" fillId="15" borderId="12" xfId="15" applyBorder="1" applyAlignment="1">
      <alignment horizontal="center"/>
    </xf>
    <xf numFmtId="0" fontId="5" fillId="10" borderId="12" xfId="10" applyBorder="1"/>
    <xf numFmtId="0" fontId="5" fillId="4" borderId="1" xfId="3" applyFont="1" applyBorder="1" applyAlignment="1">
      <alignment horizontal="center"/>
    </xf>
    <xf numFmtId="9" fontId="5" fillId="4" borderId="1" xfId="9" applyFont="1" applyFill="1" applyBorder="1" applyAlignment="1">
      <alignment horizontal="center"/>
    </xf>
    <xf numFmtId="0" fontId="6" fillId="4" borderId="12" xfId="3" applyFont="1" applyBorder="1" applyAlignment="1">
      <alignment horizontal="center"/>
    </xf>
    <xf numFmtId="9" fontId="6" fillId="4" borderId="12" xfId="9" applyFont="1" applyFill="1" applyBorder="1" applyAlignment="1">
      <alignment horizontal="center"/>
    </xf>
    <xf numFmtId="0" fontId="5" fillId="8" borderId="12" xfId="7" applyBorder="1" applyAlignment="1">
      <alignment horizontal="center"/>
    </xf>
    <xf numFmtId="0" fontId="6" fillId="13" borderId="12" xfId="13" applyFont="1" applyBorder="1"/>
    <xf numFmtId="0" fontId="6" fillId="13" borderId="12" xfId="13" applyFont="1" applyBorder="1" applyAlignment="1">
      <alignment horizontal="center"/>
    </xf>
    <xf numFmtId="0" fontId="6" fillId="4" borderId="12" xfId="9" applyNumberFormat="1" applyFont="1" applyFill="1" applyBorder="1" applyAlignment="1">
      <alignment horizontal="center"/>
    </xf>
    <xf numFmtId="0" fontId="6" fillId="10" borderId="12" xfId="10" applyFont="1" applyBorder="1" applyAlignment="1">
      <alignment horizontal="center"/>
    </xf>
    <xf numFmtId="2" fontId="5" fillId="10" borderId="12" xfId="10" applyNumberFormat="1" applyBorder="1"/>
    <xf numFmtId="2" fontId="5" fillId="12" borderId="12" xfId="12" applyNumberFormat="1" applyBorder="1"/>
    <xf numFmtId="9" fontId="6" fillId="4" borderId="1" xfId="9" applyFont="1" applyFill="1" applyBorder="1" applyAlignment="1">
      <alignment horizontal="center"/>
    </xf>
    <xf numFmtId="0" fontId="6" fillId="4" borderId="1" xfId="9" applyNumberFormat="1" applyFont="1" applyFill="1" applyBorder="1" applyAlignment="1">
      <alignment horizontal="center"/>
    </xf>
    <xf numFmtId="0" fontId="5" fillId="4" borderId="1" xfId="9" applyNumberFormat="1" applyFont="1" applyFill="1" applyBorder="1" applyAlignment="1">
      <alignment horizontal="center"/>
    </xf>
    <xf numFmtId="0" fontId="0" fillId="0" borderId="5" xfId="1" applyFont="1" applyBorder="1" applyAlignment="1">
      <alignment horizontal="center" vertical="center" wrapText="1"/>
    </xf>
    <xf numFmtId="0" fontId="6" fillId="10" borderId="12" xfId="10" applyFont="1" applyBorder="1" applyAlignment="1">
      <alignment horizontal="center" vertical="center"/>
    </xf>
    <xf numFmtId="0" fontId="6" fillId="4" borderId="12" xfId="3" applyFont="1" applyBorder="1" applyAlignment="1">
      <alignment horizontal="center" vertical="center"/>
    </xf>
    <xf numFmtId="1" fontId="6" fillId="10" borderId="12" xfId="10" applyNumberFormat="1" applyFont="1" applyBorder="1" applyAlignment="1">
      <alignment horizontal="center" vertical="center"/>
    </xf>
    <xf numFmtId="0" fontId="6" fillId="13" borderId="8" xfId="13" applyFont="1" applyBorder="1"/>
    <xf numFmtId="165" fontId="5" fillId="6" borderId="12" xfId="5" applyNumberFormat="1" applyBorder="1" applyAlignment="1">
      <alignment horizontal="center" vertical="center"/>
    </xf>
    <xf numFmtId="0" fontId="9" fillId="0" borderId="0" xfId="0" applyFont="1"/>
    <xf numFmtId="164" fontId="6" fillId="4" borderId="1" xfId="3" applyNumberFormat="1" applyFont="1" applyBorder="1" applyAlignment="1">
      <alignment horizontal="center"/>
    </xf>
    <xf numFmtId="164" fontId="6" fillId="4" borderId="12" xfId="3" applyNumberFormat="1" applyFont="1" applyBorder="1" applyAlignment="1">
      <alignment horizontal="center" vertical="center"/>
    </xf>
    <xf numFmtId="0" fontId="6" fillId="4" borderId="12" xfId="3" applyFont="1" applyBorder="1" applyAlignment="1"/>
    <xf numFmtId="0" fontId="6" fillId="4" borderId="1" xfId="3" applyFont="1" applyBorder="1" applyAlignment="1">
      <alignment horizontal="center"/>
    </xf>
    <xf numFmtId="0" fontId="6" fillId="13" borderId="12" xfId="13" applyFont="1" applyBorder="1" applyAlignment="1">
      <alignment horizontal="center"/>
    </xf>
    <xf numFmtId="0" fontId="6" fillId="4" borderId="12" xfId="3" applyFont="1" applyBorder="1" applyAlignment="1">
      <alignment horizontal="center"/>
    </xf>
    <xf numFmtId="0" fontId="6" fillId="4" borderId="1" xfId="3" applyFont="1" applyBorder="1" applyAlignment="1">
      <alignment horizontal="center"/>
    </xf>
    <xf numFmtId="0" fontId="6" fillId="13" borderId="12" xfId="13" applyFont="1" applyBorder="1" applyAlignment="1">
      <alignment horizontal="center"/>
    </xf>
    <xf numFmtId="0" fontId="6" fillId="4" borderId="12" xfId="3" applyFont="1" applyBorder="1" applyAlignment="1">
      <alignment horizontal="center" vertical="center"/>
    </xf>
    <xf numFmtId="0" fontId="6" fillId="4" borderId="12" xfId="3" applyFont="1" applyBorder="1" applyAlignment="1">
      <alignment horizontal="center"/>
    </xf>
    <xf numFmtId="2" fontId="5" fillId="13" borderId="12" xfId="13" applyNumberFormat="1" applyBorder="1"/>
    <xf numFmtId="14" fontId="0" fillId="0" borderId="1" xfId="1" applyNumberFormat="1" applyFont="1" applyBorder="1" applyAlignment="1">
      <alignment horizontal="center" vertical="center" wrapText="1"/>
    </xf>
    <xf numFmtId="0" fontId="5" fillId="0" borderId="0" xfId="10" applyFill="1" applyBorder="1"/>
    <xf numFmtId="0" fontId="5" fillId="4" borderId="13" xfId="3" applyBorder="1"/>
    <xf numFmtId="0" fontId="5" fillId="4" borderId="14" xfId="3" applyBorder="1"/>
    <xf numFmtId="0" fontId="5" fillId="4" borderId="15" xfId="3" applyBorder="1"/>
    <xf numFmtId="0" fontId="5" fillId="13" borderId="12" xfId="13" quotePrefix="1" applyBorder="1" applyAlignment="1">
      <alignment horizontal="center"/>
    </xf>
    <xf numFmtId="0" fontId="6" fillId="4" borderId="1" xfId="3" applyFont="1" applyBorder="1" applyAlignment="1">
      <alignment horizontal="center"/>
    </xf>
    <xf numFmtId="0" fontId="6" fillId="4" borderId="12" xfId="3" applyFont="1" applyBorder="1" applyAlignment="1">
      <alignment horizontal="center"/>
    </xf>
    <xf numFmtId="164" fontId="5" fillId="13" borderId="12" xfId="13" applyNumberFormat="1" applyBorder="1"/>
    <xf numFmtId="0" fontId="6" fillId="4" borderId="12" xfId="3" applyFont="1" applyBorder="1"/>
    <xf numFmtId="0" fontId="6" fillId="4" borderId="0" xfId="3" applyFont="1"/>
    <xf numFmtId="0" fontId="6" fillId="4" borderId="13" xfId="3" applyFont="1" applyBorder="1"/>
    <xf numFmtId="0" fontId="6" fillId="4" borderId="14" xfId="3" applyFont="1" applyBorder="1"/>
    <xf numFmtId="0" fontId="3" fillId="0" borderId="0" xfId="0" applyFont="1"/>
    <xf numFmtId="0" fontId="6" fillId="13" borderId="12" xfId="13" applyFont="1" applyBorder="1" applyAlignment="1">
      <alignment horizontal="center"/>
    </xf>
    <xf numFmtId="0" fontId="6" fillId="4" borderId="12" xfId="3" applyFont="1" applyBorder="1" applyAlignment="1">
      <alignment horizontal="right"/>
    </xf>
    <xf numFmtId="0" fontId="6" fillId="13" borderId="12" xfId="13" applyFont="1" applyBorder="1" applyAlignment="1">
      <alignment horizontal="center"/>
    </xf>
    <xf numFmtId="0" fontId="10" fillId="0" borderId="0" xfId="0" applyFont="1"/>
    <xf numFmtId="0" fontId="5" fillId="8" borderId="12" xfId="7" applyBorder="1"/>
    <xf numFmtId="0" fontId="6" fillId="8" borderId="12" xfId="7" applyFont="1" applyBorder="1"/>
    <xf numFmtId="164" fontId="5" fillId="8" borderId="12" xfId="7" applyNumberFormat="1" applyBorder="1"/>
    <xf numFmtId="0" fontId="6" fillId="4" borderId="1" xfId="3" applyFont="1" applyBorder="1" applyAlignment="1">
      <alignment horizontal="center"/>
    </xf>
    <xf numFmtId="0" fontId="6" fillId="4" borderId="12" xfId="3" applyFont="1" applyBorder="1" applyAlignment="1">
      <alignment horizontal="center"/>
    </xf>
    <xf numFmtId="0" fontId="6" fillId="4" borderId="12" xfId="3" applyFont="1" applyBorder="1" applyAlignment="1">
      <alignment vertical="center"/>
    </xf>
    <xf numFmtId="0" fontId="0" fillId="16" borderId="1" xfId="16" applyFont="1" applyBorder="1"/>
    <xf numFmtId="0" fontId="0" fillId="16" borderId="13" xfId="16" applyFont="1" applyBorder="1"/>
    <xf numFmtId="0" fontId="2" fillId="16" borderId="13" xfId="16" applyBorder="1"/>
    <xf numFmtId="0" fontId="2" fillId="16" borderId="14" xfId="16" applyBorder="1"/>
    <xf numFmtId="0" fontId="2" fillId="16" borderId="15" xfId="16" applyBorder="1"/>
    <xf numFmtId="0" fontId="6" fillId="15" borderId="13" xfId="15" applyFont="1" applyBorder="1" applyAlignment="1">
      <alignment horizontal="center"/>
    </xf>
    <xf numFmtId="0" fontId="2" fillId="16" borderId="19" xfId="16" applyBorder="1"/>
    <xf numFmtId="0" fontId="2" fillId="16" borderId="6" xfId="16" applyBorder="1"/>
    <xf numFmtId="0" fontId="6" fillId="15" borderId="14" xfId="15" applyFont="1" applyBorder="1" applyAlignment="1">
      <alignment horizontal="center"/>
    </xf>
    <xf numFmtId="0" fontId="6" fillId="15" borderId="15" xfId="15" applyFont="1" applyBorder="1" applyAlignment="1">
      <alignment horizontal="center"/>
    </xf>
    <xf numFmtId="0" fontId="0" fillId="16" borderId="9" xfId="16" applyFont="1" applyBorder="1"/>
    <xf numFmtId="166" fontId="5" fillId="4" borderId="12" xfId="3" applyNumberFormat="1" applyBorder="1"/>
    <xf numFmtId="0" fontId="5" fillId="6" borderId="12" xfId="5" applyBorder="1"/>
    <xf numFmtId="0" fontId="3" fillId="2" borderId="14" xfId="1" applyFont="1" applyFill="1" applyBorder="1" applyAlignment="1">
      <alignment vertical="center"/>
    </xf>
    <xf numFmtId="0" fontId="3" fillId="3" borderId="12" xfId="1" applyFont="1" applyFill="1" applyBorder="1" applyAlignment="1">
      <alignment horizontal="center" vertical="center" wrapText="1"/>
    </xf>
    <xf numFmtId="0" fontId="0" fillId="0" borderId="12" xfId="1" applyFont="1" applyBorder="1" applyAlignment="1">
      <alignment horizontal="center" vertical="center" wrapText="1"/>
    </xf>
    <xf numFmtId="0" fontId="6" fillId="18" borderId="12" xfId="0" applyFont="1" applyFill="1" applyBorder="1" applyAlignment="1">
      <alignment horizontal="center"/>
    </xf>
    <xf numFmtId="0" fontId="5" fillId="12" borderId="13" xfId="12" applyBorder="1"/>
    <xf numFmtId="0" fontId="6" fillId="18" borderId="12" xfId="0" applyFont="1" applyFill="1" applyBorder="1"/>
    <xf numFmtId="0" fontId="6" fillId="18" borderId="13" xfId="0" applyFont="1" applyFill="1" applyBorder="1"/>
    <xf numFmtId="0" fontId="6" fillId="18" borderId="14" xfId="0" applyFont="1" applyFill="1" applyBorder="1"/>
    <xf numFmtId="0" fontId="6" fillId="0" borderId="10" xfId="0" applyFont="1" applyFill="1" applyBorder="1"/>
    <xf numFmtId="164" fontId="6" fillId="18" borderId="12" xfId="0" applyNumberFormat="1" applyFont="1" applyFill="1" applyBorder="1"/>
    <xf numFmtId="0" fontId="0" fillId="18" borderId="15" xfId="0" applyFill="1" applyBorder="1"/>
    <xf numFmtId="0" fontId="5" fillId="19" borderId="12" xfId="3" applyFont="1" applyFill="1" applyBorder="1" applyAlignment="1">
      <alignment horizontal="center"/>
    </xf>
    <xf numFmtId="0" fontId="5" fillId="8" borderId="12" xfId="7" applyBorder="1" applyAlignment="1">
      <alignment horizontal="center"/>
    </xf>
    <xf numFmtId="0" fontId="2" fillId="5" borderId="13" xfId="4" applyBorder="1" applyProtection="1"/>
    <xf numFmtId="0" fontId="2" fillId="5" borderId="14" xfId="4" applyBorder="1"/>
    <xf numFmtId="0" fontId="2" fillId="5" borderId="15" xfId="4" applyBorder="1"/>
    <xf numFmtId="0" fontId="2" fillId="7" borderId="13" xfId="6" applyBorder="1" applyProtection="1"/>
    <xf numFmtId="0" fontId="2" fillId="7" borderId="14" xfId="6" applyBorder="1"/>
    <xf numFmtId="0" fontId="2" fillId="7" borderId="15" xfId="6" applyBorder="1"/>
    <xf numFmtId="0" fontId="0" fillId="7" borderId="13" xfId="6" applyFont="1" applyBorder="1" applyProtection="1"/>
    <xf numFmtId="0" fontId="5" fillId="4" borderId="1" xfId="3" applyBorder="1" applyAlignment="1">
      <alignment horizontal="center"/>
    </xf>
    <xf numFmtId="0" fontId="5" fillId="4" borderId="1" xfId="3" applyBorder="1" applyAlignment="1">
      <alignment horizontal="center"/>
    </xf>
    <xf numFmtId="1" fontId="5" fillId="4" borderId="1" xfId="3" applyNumberFormat="1" applyBorder="1" applyAlignment="1">
      <alignment horizontal="center"/>
    </xf>
    <xf numFmtId="14" fontId="5" fillId="4" borderId="1" xfId="3" applyNumberFormat="1" applyBorder="1" applyAlignment="1">
      <alignment horizontal="center"/>
    </xf>
    <xf numFmtId="0" fontId="5" fillId="4" borderId="12" xfId="3" applyBorder="1" applyAlignment="1">
      <alignment horizontal="center"/>
    </xf>
    <xf numFmtId="0" fontId="5" fillId="4" borderId="12" xfId="3" applyNumberFormat="1" applyBorder="1" applyAlignment="1">
      <alignment horizontal="center"/>
    </xf>
    <xf numFmtId="0" fontId="5" fillId="4" borderId="1" xfId="3" applyBorder="1" applyAlignment="1">
      <alignment horizontal="center"/>
    </xf>
    <xf numFmtId="0" fontId="5" fillId="4" borderId="8" xfId="3" applyBorder="1" applyAlignment="1">
      <alignment horizontal="center"/>
    </xf>
    <xf numFmtId="0" fontId="3" fillId="0" borderId="0" xfId="0" applyFont="1" applyAlignment="1">
      <alignment horizontal="center"/>
    </xf>
    <xf numFmtId="0" fontId="6" fillId="10" borderId="14" xfId="10" applyFont="1" applyBorder="1" applyAlignment="1">
      <alignment horizontal="center"/>
    </xf>
    <xf numFmtId="0" fontId="6" fillId="10" borderId="15" xfId="10" applyFont="1" applyBorder="1" applyAlignment="1">
      <alignment horizontal="center"/>
    </xf>
    <xf numFmtId="0" fontId="5" fillId="10" borderId="12" xfId="10" applyBorder="1" applyAlignment="1">
      <alignment horizontal="center"/>
    </xf>
    <xf numFmtId="0" fontId="6" fillId="10" borderId="13" xfId="10" applyFont="1" applyBorder="1" applyAlignment="1">
      <alignment horizontal="left"/>
    </xf>
    <xf numFmtId="0" fontId="6" fillId="18" borderId="7" xfId="0" applyFont="1" applyFill="1" applyBorder="1" applyAlignment="1">
      <alignment horizontal="center"/>
    </xf>
    <xf numFmtId="164" fontId="6" fillId="18" borderId="0" xfId="0" applyNumberFormat="1" applyFont="1" applyFill="1" applyAlignment="1">
      <alignment horizontal="center"/>
    </xf>
    <xf numFmtId="1" fontId="5" fillId="4" borderId="1" xfId="3" quotePrefix="1" applyNumberFormat="1" applyBorder="1" applyAlignment="1">
      <alignment horizontal="center"/>
    </xf>
    <xf numFmtId="1" fontId="13" fillId="5" borderId="12" xfId="4" applyNumberFormat="1" applyFont="1" applyBorder="1" applyAlignment="1">
      <alignment horizontal="center"/>
    </xf>
    <xf numFmtId="0" fontId="5" fillId="18" borderId="1" xfId="4" applyFont="1" applyFill="1" applyBorder="1" applyAlignment="1">
      <alignment horizontal="center"/>
    </xf>
    <xf numFmtId="1" fontId="5" fillId="18" borderId="1" xfId="4" applyNumberFormat="1" applyFont="1" applyFill="1" applyBorder="1" applyAlignment="1">
      <alignment horizontal="center"/>
    </xf>
    <xf numFmtId="0" fontId="14" fillId="21" borderId="12" xfId="23" applyFont="1" applyBorder="1" applyAlignment="1">
      <alignment horizontal="center"/>
    </xf>
    <xf numFmtId="0" fontId="10" fillId="0" borderId="20" xfId="0" applyFont="1" applyBorder="1" applyAlignment="1">
      <alignment horizontal="center"/>
    </xf>
    <xf numFmtId="0" fontId="6" fillId="0" borderId="21" xfId="12" applyFont="1" applyFill="1" applyBorder="1" applyAlignment="1">
      <alignment horizontal="center"/>
    </xf>
    <xf numFmtId="0" fontId="10" fillId="0" borderId="20" xfId="0" applyFont="1" applyBorder="1"/>
    <xf numFmtId="0" fontId="10" fillId="20" borderId="20" xfId="0" applyFont="1" applyFill="1" applyBorder="1" applyAlignment="1">
      <alignment vertical="center"/>
    </xf>
    <xf numFmtId="0" fontId="0" fillId="0" borderId="0" xfId="0" applyBorder="1"/>
    <xf numFmtId="1" fontId="15" fillId="5" borderId="12" xfId="4" applyNumberFormat="1" applyFont="1" applyBorder="1" applyAlignment="1">
      <alignment horizontal="center"/>
    </xf>
    <xf numFmtId="0" fontId="16" fillId="0" borderId="12" xfId="0" applyFont="1" applyBorder="1" applyAlignment="1">
      <alignment horizontal="center" vertical="center" wrapText="1"/>
    </xf>
    <xf numFmtId="0" fontId="16" fillId="0" borderId="15" xfId="0" applyFont="1" applyBorder="1" applyAlignment="1">
      <alignment horizontal="center" vertical="center" wrapText="1"/>
    </xf>
    <xf numFmtId="14" fontId="16" fillId="0" borderId="15" xfId="0" applyNumberFormat="1" applyFont="1" applyBorder="1" applyAlignment="1">
      <alignment horizontal="center" vertical="center" wrapText="1"/>
    </xf>
    <xf numFmtId="0" fontId="6" fillId="18" borderId="13" xfId="0" applyFont="1" applyFill="1" applyBorder="1" applyAlignment="1">
      <alignment horizontal="center"/>
    </xf>
    <xf numFmtId="0" fontId="6" fillId="18" borderId="14" xfId="0" applyFont="1" applyFill="1" applyBorder="1" applyAlignment="1">
      <alignment horizontal="center"/>
    </xf>
    <xf numFmtId="0" fontId="0" fillId="5" borderId="12" xfId="4" applyFont="1" applyBorder="1"/>
    <xf numFmtId="0" fontId="0" fillId="5" borderId="13" xfId="4" applyFont="1" applyBorder="1"/>
    <xf numFmtId="0" fontId="0" fillId="5" borderId="14" xfId="4" applyFont="1" applyBorder="1"/>
    <xf numFmtId="0" fontId="6" fillId="18" borderId="13" xfId="0" quotePrefix="1" applyFont="1" applyFill="1" applyBorder="1" applyAlignment="1">
      <alignment horizontal="center"/>
    </xf>
    <xf numFmtId="0" fontId="0" fillId="18" borderId="14" xfId="0" applyFill="1" applyBorder="1"/>
    <xf numFmtId="0" fontId="0" fillId="18" borderId="0" xfId="0" applyFill="1"/>
    <xf numFmtId="0" fontId="6" fillId="18" borderId="12" xfId="0" applyFont="1" applyFill="1" applyBorder="1" applyAlignment="1">
      <alignment horizontal="center"/>
    </xf>
    <xf numFmtId="0" fontId="0" fillId="18" borderId="15" xfId="0" applyFill="1" applyBorder="1"/>
    <xf numFmtId="0" fontId="6" fillId="4" borderId="12" xfId="3" applyFont="1" applyBorder="1" applyAlignment="1">
      <alignment horizontal="center" vertical="center"/>
    </xf>
    <xf numFmtId="0" fontId="6" fillId="4" borderId="12" xfId="3" applyFont="1" applyBorder="1" applyAlignment="1">
      <alignment horizontal="center"/>
    </xf>
    <xf numFmtId="165" fontId="0" fillId="22" borderId="12" xfId="0" applyNumberFormat="1" applyFill="1" applyBorder="1" applyAlignment="1">
      <alignment horizontal="center"/>
    </xf>
    <xf numFmtId="164" fontId="6" fillId="4" borderId="12" xfId="3" applyNumberFormat="1" applyFont="1" applyBorder="1" applyAlignment="1">
      <alignment horizontal="center"/>
    </xf>
    <xf numFmtId="0" fontId="2" fillId="5" borderId="13" xfId="4" applyBorder="1"/>
    <xf numFmtId="0" fontId="17" fillId="0" borderId="0" xfId="0" applyFont="1"/>
    <xf numFmtId="0" fontId="18" fillId="4" borderId="12" xfId="3" applyFont="1" applyBorder="1" applyAlignment="1">
      <alignment horizontal="center"/>
    </xf>
    <xf numFmtId="1" fontId="13" fillId="5" borderId="25" xfId="4" applyNumberFormat="1" applyFont="1" applyBorder="1" applyAlignment="1">
      <alignment horizontal="center"/>
    </xf>
    <xf numFmtId="0" fontId="0" fillId="23" borderId="25" xfId="0" applyFill="1" applyBorder="1" applyAlignment="1">
      <alignment horizontal="right"/>
    </xf>
    <xf numFmtId="166" fontId="0" fillId="23" borderId="25" xfId="0" applyNumberFormat="1" applyFill="1" applyBorder="1"/>
    <xf numFmtId="0" fontId="13" fillId="17" borderId="25" xfId="4" applyFont="1" applyFill="1" applyBorder="1" applyAlignment="1">
      <alignment horizontal="center" vertical="center"/>
    </xf>
    <xf numFmtId="0" fontId="0" fillId="17" borderId="25" xfId="0" applyFill="1" applyBorder="1" applyAlignment="1">
      <alignment horizontal="center"/>
    </xf>
    <xf numFmtId="0" fontId="5" fillId="4" borderId="25" xfId="3" applyBorder="1" applyAlignment="1">
      <alignment horizontal="center"/>
    </xf>
    <xf numFmtId="14" fontId="5" fillId="4" borderId="25" xfId="3" applyNumberFormat="1" applyBorder="1" applyAlignment="1">
      <alignment horizontal="center"/>
    </xf>
    <xf numFmtId="0" fontId="5" fillId="6" borderId="25" xfId="5" applyNumberFormat="1" applyBorder="1" applyAlignment="1">
      <alignment horizontal="center"/>
    </xf>
    <xf numFmtId="0" fontId="5" fillId="6" borderId="25" xfId="5" quotePrefix="1" applyNumberFormat="1" applyBorder="1" applyAlignment="1">
      <alignment horizontal="center"/>
    </xf>
    <xf numFmtId="0" fontId="5" fillId="10" borderId="25" xfId="10" applyBorder="1" applyAlignment="1">
      <alignment horizontal="center"/>
    </xf>
    <xf numFmtId="0" fontId="2" fillId="5" borderId="25" xfId="4" applyBorder="1"/>
    <xf numFmtId="0" fontId="2" fillId="7" borderId="13" xfId="6" applyBorder="1"/>
    <xf numFmtId="0" fontId="0" fillId="9" borderId="13" xfId="8" applyFont="1" applyBorder="1"/>
    <xf numFmtId="0" fontId="2" fillId="9" borderId="15" xfId="8" applyBorder="1"/>
    <xf numFmtId="0" fontId="0" fillId="9" borderId="15" xfId="8" applyFont="1" applyBorder="1"/>
    <xf numFmtId="0" fontId="2" fillId="9" borderId="25" xfId="8" applyBorder="1"/>
    <xf numFmtId="49" fontId="0" fillId="9" borderId="15" xfId="8" applyNumberFormat="1" applyFont="1" applyBorder="1"/>
    <xf numFmtId="0" fontId="0" fillId="9" borderId="25" xfId="8" applyFont="1" applyBorder="1"/>
    <xf numFmtId="0" fontId="2" fillId="9" borderId="13" xfId="8" applyBorder="1"/>
    <xf numFmtId="0" fontId="6" fillId="0" borderId="0" xfId="5" applyFont="1" applyFill="1" applyBorder="1" applyAlignment="1"/>
    <xf numFmtId="0" fontId="6" fillId="6" borderId="13" xfId="5" applyFont="1" applyBorder="1" applyProtection="1"/>
    <xf numFmtId="0" fontId="6" fillId="6" borderId="14" xfId="5" applyFont="1" applyBorder="1"/>
    <xf numFmtId="0" fontId="6" fillId="6" borderId="25" xfId="5" applyFont="1" applyBorder="1"/>
    <xf numFmtId="0" fontId="6" fillId="4" borderId="13" xfId="3" applyFont="1" applyBorder="1" applyProtection="1"/>
    <xf numFmtId="0" fontId="6" fillId="4" borderId="25" xfId="3" applyFont="1" applyBorder="1"/>
    <xf numFmtId="0" fontId="2" fillId="7" borderId="25" xfId="6" applyBorder="1"/>
    <xf numFmtId="0" fontId="19" fillId="24" borderId="25" xfId="0" applyFont="1" applyFill="1" applyBorder="1" applyAlignment="1">
      <alignment vertical="center"/>
    </xf>
    <xf numFmtId="0" fontId="0" fillId="24" borderId="13" xfId="6" applyFont="1" applyFill="1" applyBorder="1"/>
    <xf numFmtId="0" fontId="19" fillId="24" borderId="15" xfId="0" applyFont="1" applyFill="1" applyBorder="1" applyAlignment="1">
      <alignment horizontal="right" vertical="center" wrapText="1"/>
    </xf>
    <xf numFmtId="0" fontId="2" fillId="5" borderId="25" xfId="4" applyBorder="1" applyAlignment="1">
      <alignment vertical="center"/>
    </xf>
    <xf numFmtId="0" fontId="19" fillId="24" borderId="5" xfId="0" applyFont="1" applyFill="1" applyBorder="1" applyAlignment="1">
      <alignment vertical="center"/>
    </xf>
    <xf numFmtId="0" fontId="0" fillId="24" borderId="26" xfId="6" applyFont="1" applyFill="1" applyBorder="1"/>
    <xf numFmtId="0" fontId="19" fillId="24" borderId="11" xfId="0" applyFont="1" applyFill="1" applyBorder="1" applyAlignment="1">
      <alignment horizontal="right" vertical="center" wrapText="1"/>
    </xf>
    <xf numFmtId="0" fontId="0" fillId="24" borderId="14" xfId="6" applyFont="1" applyFill="1" applyBorder="1"/>
    <xf numFmtId="0" fontId="2" fillId="5" borderId="14" xfId="4" applyBorder="1" applyProtection="1"/>
    <xf numFmtId="0" fontId="0" fillId="7" borderId="9" xfId="6" applyFont="1" applyBorder="1" applyProtection="1"/>
    <xf numFmtId="0" fontId="0" fillId="7" borderId="19" xfId="6" applyFont="1" applyBorder="1"/>
    <xf numFmtId="0" fontId="19" fillId="24" borderId="6" xfId="0" applyFont="1" applyFill="1" applyBorder="1" applyAlignment="1">
      <alignment horizontal="right" vertical="center" wrapText="1"/>
    </xf>
    <xf numFmtId="0" fontId="2" fillId="0" borderId="25" xfId="1" applyFont="1" applyBorder="1" applyAlignment="1">
      <alignment horizontal="center" vertical="center" wrapText="1"/>
    </xf>
    <xf numFmtId="0" fontId="0" fillId="0" borderId="25" xfId="1" applyFont="1" applyBorder="1" applyAlignment="1">
      <alignment horizontal="center" vertical="center" wrapText="1"/>
    </xf>
    <xf numFmtId="14" fontId="2" fillId="0" borderId="25" xfId="1" applyNumberFormat="1" applyBorder="1" applyAlignment="1">
      <alignment horizontal="center" vertical="center" wrapText="1"/>
    </xf>
    <xf numFmtId="0" fontId="6" fillId="4" borderId="1" xfId="3" applyFont="1" applyBorder="1" applyAlignment="1">
      <alignment horizontal="center"/>
    </xf>
    <xf numFmtId="0" fontId="6" fillId="4" borderId="12" xfId="3" applyFont="1" applyBorder="1" applyAlignment="1">
      <alignment horizontal="center"/>
    </xf>
    <xf numFmtId="0" fontId="5" fillId="25" borderId="27" xfId="0" applyFont="1" applyFill="1" applyBorder="1" applyAlignment="1">
      <alignment horizontal="center"/>
    </xf>
    <xf numFmtId="0" fontId="5" fillId="25" borderId="28" xfId="0" applyFont="1" applyFill="1" applyBorder="1" applyAlignment="1">
      <alignment horizontal="center"/>
    </xf>
    <xf numFmtId="14" fontId="10" fillId="26" borderId="29" xfId="0" applyNumberFormat="1" applyFont="1" applyFill="1" applyBorder="1" applyAlignment="1">
      <alignment horizontal="center"/>
    </xf>
    <xf numFmtId="167" fontId="10" fillId="26" borderId="30" xfId="0" applyNumberFormat="1" applyFont="1" applyFill="1" applyBorder="1" applyAlignment="1">
      <alignment horizontal="center"/>
    </xf>
    <xf numFmtId="0" fontId="0" fillId="17" borderId="25" xfId="0" applyFill="1" applyBorder="1"/>
    <xf numFmtId="0" fontId="0" fillId="17" borderId="25" xfId="0" applyFill="1" applyBorder="1" applyAlignment="1">
      <alignment horizontal="left"/>
    </xf>
    <xf numFmtId="0" fontId="2" fillId="0" borderId="0" xfId="4" applyFill="1" applyBorder="1"/>
    <xf numFmtId="0" fontId="6" fillId="4" borderId="25" xfId="3" applyFont="1" applyBorder="1" applyAlignment="1">
      <alignment horizontal="center"/>
    </xf>
    <xf numFmtId="0" fontId="0" fillId="27" borderId="25" xfId="0" applyFill="1" applyBorder="1"/>
    <xf numFmtId="0" fontId="3" fillId="27" borderId="25" xfId="0" applyFont="1" applyFill="1" applyBorder="1"/>
    <xf numFmtId="0" fontId="6" fillId="4" borderId="25" xfId="3" applyFont="1" applyBorder="1" applyAlignment="1">
      <alignment horizontal="right"/>
    </xf>
    <xf numFmtId="0" fontId="5" fillId="19" borderId="25" xfId="0" applyFont="1" applyFill="1" applyBorder="1" applyAlignment="1">
      <alignment horizontal="center"/>
    </xf>
    <xf numFmtId="2" fontId="5" fillId="19" borderId="25" xfId="0" applyNumberFormat="1" applyFont="1" applyFill="1" applyBorder="1"/>
    <xf numFmtId="2" fontId="5" fillId="8" borderId="12" xfId="7" applyNumberFormat="1" applyBorder="1" applyAlignment="1">
      <alignment horizontal="center"/>
    </xf>
    <xf numFmtId="0" fontId="5" fillId="19" borderId="25" xfId="0" applyNumberFormat="1" applyFont="1" applyFill="1" applyBorder="1"/>
    <xf numFmtId="0" fontId="5" fillId="19" borderId="25" xfId="0" applyFont="1" applyFill="1" applyBorder="1"/>
    <xf numFmtId="0" fontId="0" fillId="19" borderId="25" xfId="0" applyFont="1" applyFill="1" applyBorder="1"/>
    <xf numFmtId="0" fontId="5" fillId="0" borderId="0" xfId="0" applyFont="1" applyFill="1" applyAlignment="1">
      <alignment horizontal="center"/>
    </xf>
    <xf numFmtId="0" fontId="0" fillId="0" borderId="0" xfId="1" applyFont="1"/>
    <xf numFmtId="0" fontId="6" fillId="4" borderId="12" xfId="3" applyFont="1" applyBorder="1" applyAlignment="1">
      <alignment horizontal="center"/>
    </xf>
    <xf numFmtId="0" fontId="5" fillId="19" borderId="0" xfId="0" applyFont="1" applyFill="1" applyAlignment="1">
      <alignment horizontal="center"/>
    </xf>
    <xf numFmtId="0" fontId="0" fillId="0" borderId="12" xfId="1" quotePrefix="1" applyFont="1" applyBorder="1" applyAlignment="1">
      <alignment horizontal="center" vertical="center" wrapText="1"/>
    </xf>
    <xf numFmtId="0" fontId="0" fillId="0" borderId="25" xfId="0" applyBorder="1"/>
    <xf numFmtId="0" fontId="20" fillId="28" borderId="25" xfId="126" applyBorder="1"/>
    <xf numFmtId="0" fontId="0" fillId="0" borderId="0" xfId="0" applyAlignment="1">
      <alignment horizontal="left"/>
    </xf>
    <xf numFmtId="0" fontId="21" fillId="29" borderId="25" xfId="127" applyBorder="1"/>
    <xf numFmtId="0" fontId="21" fillId="29" borderId="25" xfId="127" applyBorder="1" applyProtection="1"/>
    <xf numFmtId="0" fontId="0" fillId="0" borderId="0" xfId="0" applyBorder="1" applyAlignment="1">
      <alignment horizontal="center" vertical="center"/>
    </xf>
    <xf numFmtId="0" fontId="13" fillId="0" borderId="25" xfId="0" applyFont="1" applyBorder="1"/>
    <xf numFmtId="0" fontId="6" fillId="4" borderId="21" xfId="3" applyFont="1" applyBorder="1" applyAlignment="1">
      <alignment horizontal="center"/>
    </xf>
    <xf numFmtId="0" fontId="0" fillId="0" borderId="25" xfId="0" applyBorder="1" applyAlignment="1">
      <alignment horizontal="center"/>
    </xf>
    <xf numFmtId="164" fontId="2" fillId="30" borderId="12" xfId="129" applyNumberFormat="1" applyBorder="1" applyAlignment="1">
      <alignment horizontal="center"/>
    </xf>
    <xf numFmtId="164" fontId="2" fillId="30" borderId="1" xfId="129" applyNumberFormat="1" applyBorder="1" applyAlignment="1">
      <alignment horizontal="center"/>
    </xf>
    <xf numFmtId="0" fontId="0" fillId="0" borderId="0" xfId="0"/>
    <xf numFmtId="164" fontId="3" fillId="30" borderId="25" xfId="129" applyNumberFormat="1" applyFont="1" applyBorder="1"/>
    <xf numFmtId="2" fontId="3" fillId="30" borderId="25" xfId="129" applyNumberFormat="1" applyFont="1" applyBorder="1"/>
    <xf numFmtId="1" fontId="3" fillId="30" borderId="25" xfId="129" applyNumberFormat="1" applyFont="1" applyBorder="1"/>
    <xf numFmtId="165" fontId="3" fillId="30" borderId="25" xfId="129" applyNumberFormat="1" applyFont="1" applyBorder="1"/>
    <xf numFmtId="0" fontId="2" fillId="30" borderId="25" xfId="129" applyBorder="1"/>
    <xf numFmtId="0" fontId="0" fillId="0" borderId="0" xfId="0"/>
    <xf numFmtId="164" fontId="6" fillId="18" borderId="25" xfId="0" applyNumberFormat="1" applyFont="1" applyFill="1" applyBorder="1"/>
    <xf numFmtId="0" fontId="0" fillId="0" borderId="0" xfId="0"/>
    <xf numFmtId="0" fontId="5" fillId="6" borderId="25" xfId="5" applyNumberFormat="1" applyBorder="1" applyAlignment="1">
      <alignment horizontal="center"/>
    </xf>
    <xf numFmtId="0" fontId="5" fillId="10" borderId="27" xfId="10" applyBorder="1"/>
    <xf numFmtId="0" fontId="5" fillId="6" borderId="32" xfId="5" applyNumberFormat="1" applyBorder="1" applyAlignment="1">
      <alignment horizontal="center"/>
    </xf>
    <xf numFmtId="0" fontId="5" fillId="6" borderId="33" xfId="5" applyNumberFormat="1" applyBorder="1" applyAlignment="1">
      <alignment horizontal="center"/>
    </xf>
    <xf numFmtId="0" fontId="5" fillId="6" borderId="8" xfId="5" applyNumberFormat="1" applyBorder="1" applyAlignment="1">
      <alignment horizontal="center"/>
    </xf>
    <xf numFmtId="0" fontId="5" fillId="6" borderId="36" xfId="5" applyNumberFormat="1" applyBorder="1" applyAlignment="1">
      <alignment horizontal="center"/>
    </xf>
    <xf numFmtId="0" fontId="5" fillId="6" borderId="38" xfId="5" applyNumberFormat="1" applyBorder="1" applyAlignment="1">
      <alignment horizontal="center"/>
    </xf>
    <xf numFmtId="0" fontId="3" fillId="31" borderId="25" xfId="0" applyFont="1" applyFill="1" applyBorder="1"/>
    <xf numFmtId="1" fontId="3" fillId="31" borderId="25" xfId="0" applyNumberFormat="1" applyFont="1" applyFill="1" applyBorder="1"/>
    <xf numFmtId="0" fontId="0" fillId="31" borderId="25" xfId="0" applyFill="1" applyBorder="1"/>
    <xf numFmtId="0" fontId="3" fillId="31" borderId="25" xfId="0" applyFont="1" applyFill="1" applyBorder="1" applyAlignment="1">
      <alignment horizontal="left"/>
    </xf>
    <xf numFmtId="0" fontId="3" fillId="31" borderId="25" xfId="0" applyFont="1" applyFill="1" applyBorder="1"/>
    <xf numFmtId="2" fontId="3" fillId="31" borderId="25" xfId="0" applyNumberFormat="1" applyFont="1" applyFill="1" applyBorder="1"/>
    <xf numFmtId="0" fontId="5" fillId="6" borderId="25" xfId="5" applyNumberFormat="1" applyBorder="1" applyAlignment="1">
      <alignment horizontal="center"/>
    </xf>
    <xf numFmtId="1" fontId="13" fillId="5" borderId="25" xfId="4" applyNumberFormat="1" applyFont="1" applyBorder="1" applyAlignment="1">
      <alignment horizontal="center"/>
    </xf>
    <xf numFmtId="0" fontId="5" fillId="6" borderId="32" xfId="5" applyNumberFormat="1" applyBorder="1" applyAlignment="1">
      <alignment horizontal="center"/>
    </xf>
    <xf numFmtId="0" fontId="5" fillId="6" borderId="36" xfId="5" applyNumberFormat="1" applyBorder="1" applyAlignment="1">
      <alignment horizontal="center"/>
    </xf>
    <xf numFmtId="0" fontId="13" fillId="5" borderId="25" xfId="4" applyFont="1" applyBorder="1"/>
    <xf numFmtId="0" fontId="17" fillId="5" borderId="25" xfId="4" applyFont="1" applyBorder="1"/>
    <xf numFmtId="0" fontId="13" fillId="5" borderId="25" xfId="4" applyFont="1" applyBorder="1"/>
    <xf numFmtId="1" fontId="6" fillId="13" borderId="8" xfId="13" applyNumberFormat="1" applyFont="1" applyBorder="1" applyAlignment="1">
      <alignment horizontal="center"/>
    </xf>
    <xf numFmtId="1" fontId="6" fillId="13" borderId="9" xfId="13" applyNumberFormat="1" applyFont="1" applyBorder="1" applyAlignment="1">
      <alignment horizontal="center"/>
    </xf>
    <xf numFmtId="0" fontId="6" fillId="4" borderId="1" xfId="3" applyFont="1" applyBorder="1" applyAlignment="1">
      <alignment horizontal="center"/>
    </xf>
    <xf numFmtId="0" fontId="6" fillId="4" borderId="1" xfId="3" applyFont="1" applyBorder="1" applyAlignment="1">
      <alignment horizontal="center"/>
    </xf>
    <xf numFmtId="0" fontId="6" fillId="4" borderId="1" xfId="3" applyFont="1" applyBorder="1" applyAlignment="1">
      <alignment horizontal="center"/>
    </xf>
    <xf numFmtId="0" fontId="6" fillId="4" borderId="12" xfId="3" applyFont="1" applyBorder="1" applyAlignment="1">
      <alignment horizontal="center"/>
    </xf>
    <xf numFmtId="0" fontId="0" fillId="0" borderId="0" xfId="0"/>
    <xf numFmtId="0" fontId="2" fillId="11" borderId="25" xfId="11" applyBorder="1"/>
    <xf numFmtId="0" fontId="2" fillId="32" borderId="25" xfId="130" applyBorder="1"/>
    <xf numFmtId="0" fontId="6" fillId="4" borderId="1" xfId="3" applyFont="1" applyBorder="1" applyAlignment="1">
      <alignment horizontal="center"/>
    </xf>
    <xf numFmtId="0" fontId="0" fillId="17" borderId="25" xfId="0" applyFill="1" applyBorder="1" applyAlignment="1">
      <alignment horizontal="left"/>
    </xf>
    <xf numFmtId="0" fontId="6" fillId="13" borderId="13" xfId="13" applyFont="1" applyBorder="1" applyAlignment="1">
      <alignment horizontal="center"/>
    </xf>
    <xf numFmtId="0" fontId="6" fillId="13" borderId="14" xfId="13" applyFont="1" applyBorder="1" applyAlignment="1">
      <alignment horizontal="center"/>
    </xf>
    <xf numFmtId="0" fontId="6" fillId="4" borderId="1" xfId="3" applyFont="1" applyBorder="1" applyAlignment="1">
      <alignment horizontal="center"/>
    </xf>
    <xf numFmtId="0" fontId="6" fillId="13" borderId="12" xfId="13" applyFont="1" applyBorder="1" applyAlignment="1">
      <alignment horizontal="center"/>
    </xf>
    <xf numFmtId="0" fontId="0" fillId="5" borderId="13" xfId="4" applyFont="1" applyBorder="1" applyProtection="1"/>
    <xf numFmtId="0" fontId="6" fillId="4" borderId="12" xfId="3" applyFont="1" applyBorder="1" applyAlignment="1">
      <alignment horizontal="center"/>
    </xf>
    <xf numFmtId="1" fontId="5" fillId="6" borderId="32" xfId="5" applyNumberFormat="1" applyBorder="1" applyAlignment="1">
      <alignment horizontal="center"/>
    </xf>
    <xf numFmtId="0" fontId="3" fillId="0" borderId="0" xfId="0" applyFont="1" applyAlignment="1">
      <alignment horizontal="center"/>
    </xf>
    <xf numFmtId="0" fontId="0" fillId="17" borderId="25" xfId="0" applyFill="1" applyBorder="1" applyAlignment="1">
      <alignment horizontal="center"/>
    </xf>
    <xf numFmtId="0" fontId="6" fillId="4" borderId="1" xfId="3" applyFont="1" applyBorder="1" applyAlignment="1">
      <alignment horizontal="center"/>
    </xf>
    <xf numFmtId="0" fontId="6" fillId="13" borderId="12" xfId="13" applyFont="1" applyBorder="1" applyAlignment="1">
      <alignment horizontal="center"/>
    </xf>
    <xf numFmtId="0" fontId="6" fillId="4" borderId="12" xfId="3" applyFont="1" applyBorder="1" applyAlignment="1">
      <alignment horizontal="center" vertical="center"/>
    </xf>
    <xf numFmtId="0" fontId="6" fillId="13" borderId="13" xfId="13" applyFont="1" applyBorder="1" applyAlignment="1">
      <alignment horizontal="center"/>
    </xf>
    <xf numFmtId="0" fontId="6" fillId="13" borderId="14" xfId="13" applyFont="1" applyBorder="1" applyAlignment="1">
      <alignment horizontal="center"/>
    </xf>
    <xf numFmtId="0" fontId="6" fillId="4" borderId="12" xfId="3" applyFont="1" applyBorder="1" applyAlignment="1">
      <alignment horizontal="center"/>
    </xf>
    <xf numFmtId="0" fontId="6" fillId="4" borderId="25" xfId="3" applyFont="1" applyBorder="1" applyAlignment="1">
      <alignment horizontal="center"/>
    </xf>
    <xf numFmtId="0" fontId="6" fillId="18" borderId="13" xfId="0" applyFont="1" applyFill="1" applyBorder="1" applyAlignment="1">
      <alignment horizontal="center"/>
    </xf>
    <xf numFmtId="0" fontId="6" fillId="18" borderId="14" xfId="0" applyFont="1" applyFill="1" applyBorder="1" applyAlignment="1">
      <alignment horizontal="center"/>
    </xf>
    <xf numFmtId="0" fontId="3" fillId="31" borderId="25" xfId="0" applyFont="1" applyFill="1" applyBorder="1" applyAlignment="1">
      <alignment horizontal="left"/>
    </xf>
    <xf numFmtId="0" fontId="0" fillId="0" borderId="0" xfId="0"/>
    <xf numFmtId="0" fontId="17" fillId="5" borderId="25" xfId="4" applyNumberFormat="1" applyFont="1" applyBorder="1"/>
    <xf numFmtId="0" fontId="0" fillId="11" borderId="25" xfId="11" applyFont="1" applyBorder="1"/>
    <xf numFmtId="0" fontId="0" fillId="0" borderId="0" xfId="0"/>
    <xf numFmtId="0" fontId="0" fillId="0" borderId="0" xfId="0"/>
    <xf numFmtId="0" fontId="0" fillId="0" borderId="0" xfId="0"/>
    <xf numFmtId="1" fontId="5" fillId="6" borderId="25" xfId="5" quotePrefix="1" applyNumberFormat="1" applyBorder="1" applyAlignment="1">
      <alignment horizontal="center"/>
    </xf>
    <xf numFmtId="0" fontId="0" fillId="0" borderId="2" xfId="1" applyFont="1" applyBorder="1" applyAlignment="1">
      <alignment vertical="center" wrapText="1"/>
    </xf>
    <xf numFmtId="0" fontId="2" fillId="0" borderId="3" xfId="1" applyBorder="1" applyAlignment="1">
      <alignment vertical="center" wrapText="1"/>
    </xf>
    <xf numFmtId="0" fontId="2" fillId="0" borderId="4" xfId="1" applyBorder="1" applyAlignment="1">
      <alignment vertical="center" wrapText="1"/>
    </xf>
    <xf numFmtId="0" fontId="0" fillId="0" borderId="13" xfId="1" applyFont="1" applyBorder="1" applyAlignment="1">
      <alignment vertical="center" wrapText="1"/>
    </xf>
    <xf numFmtId="0" fontId="2" fillId="0" borderId="14" xfId="1" applyBorder="1" applyAlignment="1">
      <alignment vertical="center" wrapText="1"/>
    </xf>
    <xf numFmtId="0" fontId="2" fillId="0" borderId="15" xfId="1" applyBorder="1" applyAlignment="1">
      <alignment vertical="center" wrapText="1"/>
    </xf>
    <xf numFmtId="0" fontId="16" fillId="0" borderId="13" xfId="0" applyFont="1" applyBorder="1" applyAlignment="1">
      <alignment vertical="center" wrapText="1"/>
    </xf>
    <xf numFmtId="0" fontId="16" fillId="0" borderId="14" xfId="0" applyFont="1" applyBorder="1" applyAlignment="1">
      <alignment vertical="center" wrapText="1"/>
    </xf>
    <xf numFmtId="0" fontId="16" fillId="0" borderId="22" xfId="0" applyFont="1" applyBorder="1" applyAlignment="1">
      <alignment vertical="center" wrapText="1"/>
    </xf>
    <xf numFmtId="0" fontId="2" fillId="0" borderId="1" xfId="1" applyBorder="1" applyAlignment="1">
      <alignment horizontal="center"/>
    </xf>
    <xf numFmtId="0" fontId="2" fillId="0" borderId="12" xfId="1" applyBorder="1" applyAlignment="1">
      <alignment horizontal="center"/>
    </xf>
    <xf numFmtId="0" fontId="3" fillId="0" borderId="1" xfId="1" applyFont="1" applyBorder="1" applyAlignment="1">
      <alignment horizontal="left" vertical="top" wrapText="1"/>
    </xf>
    <xf numFmtId="0" fontId="0" fillId="0" borderId="2" xfId="1" applyFont="1" applyBorder="1" applyAlignment="1">
      <alignment horizontal="left" vertical="top" wrapText="1"/>
    </xf>
    <xf numFmtId="0" fontId="0" fillId="0" borderId="14" xfId="1" applyFont="1" applyBorder="1" applyAlignment="1">
      <alignment horizontal="left" vertical="top" wrapText="1"/>
    </xf>
    <xf numFmtId="0" fontId="2" fillId="0" borderId="3" xfId="1" applyBorder="1" applyAlignment="1">
      <alignment horizontal="left" vertical="top" wrapText="1"/>
    </xf>
    <xf numFmtId="0" fontId="2" fillId="0" borderId="4" xfId="1" applyBorder="1" applyAlignment="1">
      <alignment horizontal="left" vertical="top" wrapText="1"/>
    </xf>
    <xf numFmtId="0" fontId="3" fillId="3" borderId="2" xfId="1" applyFont="1" applyFill="1" applyBorder="1" applyAlignment="1">
      <alignment horizontal="center" vertical="center" wrapText="1"/>
    </xf>
    <xf numFmtId="0" fontId="3" fillId="3" borderId="3"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0" borderId="31" xfId="0" applyFont="1" applyBorder="1" applyAlignment="1">
      <alignment horizontal="center"/>
    </xf>
    <xf numFmtId="0" fontId="0" fillId="0" borderId="31" xfId="0" applyBorder="1" applyAlignment="1">
      <alignment horizontal="center"/>
    </xf>
    <xf numFmtId="0" fontId="5" fillId="25" borderId="25" xfId="0" applyFont="1" applyFill="1" applyBorder="1" applyAlignment="1">
      <alignment horizontal="center"/>
    </xf>
    <xf numFmtId="0" fontId="3" fillId="0" borderId="0" xfId="0" applyFont="1" applyAlignment="1">
      <alignment horizontal="center"/>
    </xf>
    <xf numFmtId="0" fontId="14" fillId="21" borderId="12" xfId="23" applyFont="1" applyBorder="1" applyAlignment="1">
      <alignment horizontal="center"/>
    </xf>
    <xf numFmtId="0" fontId="3" fillId="0" borderId="23" xfId="0" applyFont="1" applyBorder="1" applyAlignment="1">
      <alignment horizontal="center"/>
    </xf>
    <xf numFmtId="0" fontId="3" fillId="0" borderId="24" xfId="0" applyFont="1" applyBorder="1" applyAlignment="1">
      <alignment horizont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17" borderId="25" xfId="0" applyFill="1" applyBorder="1" applyAlignment="1">
      <alignment horizontal="center"/>
    </xf>
    <xf numFmtId="0" fontId="0" fillId="17" borderId="25" xfId="0" applyFill="1" applyBorder="1" applyAlignment="1">
      <alignment horizontal="left"/>
    </xf>
    <xf numFmtId="0" fontId="0" fillId="17" borderId="13" xfId="0" applyFill="1" applyBorder="1" applyAlignment="1">
      <alignment horizontal="left"/>
    </xf>
    <xf numFmtId="0" fontId="0" fillId="17" borderId="14" xfId="0" applyFill="1" applyBorder="1" applyAlignment="1">
      <alignment horizontal="left"/>
    </xf>
    <xf numFmtId="0" fontId="0" fillId="17" borderId="15" xfId="0" applyFill="1" applyBorder="1" applyAlignment="1">
      <alignment horizontal="left"/>
    </xf>
    <xf numFmtId="0" fontId="6" fillId="15" borderId="2" xfId="15" applyFont="1" applyBorder="1" applyAlignment="1">
      <alignment horizontal="center"/>
    </xf>
    <xf numFmtId="0" fontId="6" fillId="15" borderId="3" xfId="15" applyFont="1" applyBorder="1" applyAlignment="1">
      <alignment horizontal="center"/>
    </xf>
    <xf numFmtId="0" fontId="6" fillId="15" borderId="4" xfId="15" applyFont="1" applyBorder="1" applyAlignment="1">
      <alignment horizontal="center"/>
    </xf>
    <xf numFmtId="0" fontId="6" fillId="15" borderId="10" xfId="15" applyFont="1" applyBorder="1" applyAlignment="1">
      <alignment horizontal="center"/>
    </xf>
    <xf numFmtId="0" fontId="6" fillId="15" borderId="11" xfId="15" applyFont="1" applyBorder="1" applyAlignment="1">
      <alignment horizontal="center"/>
    </xf>
    <xf numFmtId="0" fontId="6" fillId="8" borderId="13" xfId="7" applyFont="1" applyBorder="1" applyAlignment="1">
      <alignment horizontal="center"/>
    </xf>
    <xf numFmtId="0" fontId="6" fillId="8" borderId="14" xfId="7" applyFont="1" applyBorder="1" applyAlignment="1">
      <alignment horizontal="center"/>
    </xf>
    <xf numFmtId="0" fontId="6" fillId="8" borderId="15" xfId="7" applyFont="1" applyBorder="1" applyAlignment="1">
      <alignment horizontal="center"/>
    </xf>
    <xf numFmtId="0" fontId="5" fillId="15" borderId="2" xfId="15" applyBorder="1" applyAlignment="1">
      <alignment horizontal="center"/>
    </xf>
    <xf numFmtId="0" fontId="5" fillId="15" borderId="3" xfId="15" applyBorder="1" applyAlignment="1">
      <alignment horizontal="center"/>
    </xf>
    <xf numFmtId="0" fontId="5" fillId="15" borderId="4" xfId="15" applyBorder="1" applyAlignment="1">
      <alignment horizontal="center"/>
    </xf>
    <xf numFmtId="0" fontId="5" fillId="4" borderId="13" xfId="3" applyBorder="1" applyAlignment="1">
      <alignment horizontal="center"/>
    </xf>
    <xf numFmtId="0" fontId="5" fillId="4" borderId="14" xfId="3" applyBorder="1" applyAlignment="1">
      <alignment horizontal="center"/>
    </xf>
    <xf numFmtId="0" fontId="5" fillId="4" borderId="15" xfId="3" applyBorder="1" applyAlignment="1">
      <alignment horizontal="center"/>
    </xf>
    <xf numFmtId="0" fontId="6" fillId="13" borderId="2" xfId="13" applyFont="1" applyBorder="1" applyAlignment="1">
      <alignment horizontal="center"/>
    </xf>
    <xf numFmtId="0" fontId="6" fillId="13" borderId="3" xfId="13" applyFont="1" applyBorder="1" applyAlignment="1">
      <alignment horizontal="center"/>
    </xf>
    <xf numFmtId="0" fontId="6" fillId="13" borderId="4" xfId="13" applyFont="1" applyBorder="1" applyAlignment="1">
      <alignment horizontal="center"/>
    </xf>
    <xf numFmtId="0" fontId="6" fillId="10" borderId="1" xfId="10" applyFont="1" applyBorder="1" applyAlignment="1">
      <alignment horizontal="center"/>
    </xf>
    <xf numFmtId="0" fontId="6" fillId="8" borderId="1" xfId="7" applyFont="1" applyBorder="1" applyAlignment="1">
      <alignment horizontal="center"/>
    </xf>
    <xf numFmtId="0" fontId="20" fillId="28" borderId="26" xfId="126" applyBorder="1" applyAlignment="1">
      <alignment horizontal="center" vertical="center"/>
    </xf>
    <xf numFmtId="0" fontId="20" fillId="28" borderId="10" xfId="126" applyBorder="1" applyAlignment="1">
      <alignment horizontal="center" vertical="center"/>
    </xf>
    <xf numFmtId="0" fontId="20" fillId="28" borderId="11" xfId="126" applyBorder="1" applyAlignment="1">
      <alignment horizontal="center" vertical="center"/>
    </xf>
    <xf numFmtId="0" fontId="20" fillId="28" borderId="9" xfId="126" applyBorder="1" applyAlignment="1">
      <alignment horizontal="center" vertical="center"/>
    </xf>
    <xf numFmtId="0" fontId="20" fillId="28" borderId="19" xfId="126" applyBorder="1" applyAlignment="1">
      <alignment horizontal="center" vertical="center"/>
    </xf>
    <xf numFmtId="0" fontId="20" fillId="28" borderId="6" xfId="126" applyBorder="1" applyAlignment="1">
      <alignment horizontal="center" vertical="center"/>
    </xf>
    <xf numFmtId="0" fontId="20" fillId="28" borderId="26" xfId="126" applyBorder="1" applyAlignment="1">
      <alignment horizontal="center" vertical="center" wrapText="1"/>
    </xf>
    <xf numFmtId="0" fontId="20" fillId="28" borderId="11" xfId="126" applyBorder="1" applyAlignment="1">
      <alignment horizontal="center" vertical="center" wrapText="1"/>
    </xf>
    <xf numFmtId="0" fontId="20" fillId="28" borderId="9" xfId="126" applyBorder="1" applyAlignment="1">
      <alignment horizontal="center" vertical="center" wrapText="1"/>
    </xf>
    <xf numFmtId="0" fontId="20" fillId="28" borderId="6" xfId="126" applyBorder="1" applyAlignment="1">
      <alignment horizontal="center" vertical="center" wrapText="1"/>
    </xf>
    <xf numFmtId="0" fontId="20" fillId="28" borderId="5" xfId="126" applyBorder="1" applyAlignment="1">
      <alignment horizontal="center" vertical="center" wrapText="1"/>
    </xf>
    <xf numFmtId="0" fontId="20" fillId="28" borderId="8" xfId="126" applyBorder="1" applyAlignment="1">
      <alignment horizontal="center" vertical="center" wrapText="1"/>
    </xf>
    <xf numFmtId="0" fontId="20" fillId="28" borderId="25" xfId="126" applyBorder="1" applyAlignment="1">
      <alignment horizontal="left"/>
    </xf>
    <xf numFmtId="0" fontId="20" fillId="28" borderId="13" xfId="126" applyBorder="1" applyAlignment="1">
      <alignment horizontal="left" vertical="top"/>
    </xf>
    <xf numFmtId="0" fontId="20" fillId="28" borderId="15" xfId="126" applyBorder="1" applyAlignment="1">
      <alignment horizontal="left" vertical="top"/>
    </xf>
    <xf numFmtId="0" fontId="0" fillId="0" borderId="13" xfId="0" applyBorder="1" applyAlignment="1"/>
    <xf numFmtId="0" fontId="0" fillId="0" borderId="15" xfId="0" applyBorder="1" applyAlignment="1"/>
    <xf numFmtId="0" fontId="6" fillId="6" borderId="13" xfId="5" applyFont="1" applyBorder="1" applyAlignment="1">
      <alignment horizontal="center"/>
    </xf>
    <xf numFmtId="0" fontId="6" fillId="6" borderId="14" xfId="5" applyFont="1" applyBorder="1" applyAlignment="1">
      <alignment horizontal="center"/>
    </xf>
    <xf numFmtId="0" fontId="6" fillId="6" borderId="15" xfId="5" applyFont="1" applyBorder="1" applyAlignment="1">
      <alignment horizontal="center"/>
    </xf>
    <xf numFmtId="0" fontId="0" fillId="0" borderId="13" xfId="0" applyBorder="1" applyAlignment="1">
      <alignment horizontal="left" wrapText="1"/>
    </xf>
    <xf numFmtId="0" fontId="0" fillId="0" borderId="14" xfId="0" applyBorder="1" applyAlignment="1">
      <alignment horizontal="left" wrapText="1"/>
    </xf>
    <xf numFmtId="0" fontId="6" fillId="4" borderId="1" xfId="3" applyFont="1" applyBorder="1" applyAlignment="1">
      <alignment horizontal="center"/>
    </xf>
    <xf numFmtId="0" fontId="6" fillId="13" borderId="12" xfId="13" applyFont="1" applyBorder="1" applyAlignment="1">
      <alignment horizontal="center"/>
    </xf>
    <xf numFmtId="0" fontId="6" fillId="4" borderId="13" xfId="3" applyFont="1" applyBorder="1" applyAlignment="1">
      <alignment horizontal="center"/>
    </xf>
    <xf numFmtId="0" fontId="6" fillId="4" borderId="14" xfId="3" applyFont="1" applyBorder="1" applyAlignment="1">
      <alignment horizontal="center"/>
    </xf>
    <xf numFmtId="0" fontId="6" fillId="4" borderId="15" xfId="3" applyFont="1" applyBorder="1" applyAlignment="1">
      <alignment horizontal="center"/>
    </xf>
    <xf numFmtId="0" fontId="6" fillId="4" borderId="2" xfId="3" applyFont="1" applyBorder="1" applyAlignment="1">
      <alignment horizontal="center"/>
    </xf>
    <xf numFmtId="0" fontId="6" fillId="4" borderId="3" xfId="3" applyFont="1" applyBorder="1" applyAlignment="1">
      <alignment horizontal="center"/>
    </xf>
    <xf numFmtId="0" fontId="6" fillId="4" borderId="4" xfId="3" applyFont="1" applyBorder="1" applyAlignment="1">
      <alignment horizontal="center"/>
    </xf>
    <xf numFmtId="0" fontId="6" fillId="4" borderId="12" xfId="3" applyFont="1" applyBorder="1" applyAlignment="1">
      <alignment horizontal="center" vertical="center"/>
    </xf>
    <xf numFmtId="0" fontId="6" fillId="13" borderId="13" xfId="13" applyFont="1" applyBorder="1" applyAlignment="1">
      <alignment horizontal="center"/>
    </xf>
    <xf numFmtId="0" fontId="6" fillId="13" borderId="14" xfId="13" applyFont="1" applyBorder="1" applyAlignment="1">
      <alignment horizontal="center"/>
    </xf>
    <xf numFmtId="0" fontId="6" fillId="13" borderId="15" xfId="13" applyFont="1" applyBorder="1" applyAlignment="1">
      <alignment horizontal="center"/>
    </xf>
    <xf numFmtId="0" fontId="6" fillId="4" borderId="12" xfId="3" applyFont="1" applyBorder="1" applyAlignment="1">
      <alignment horizontal="center"/>
    </xf>
    <xf numFmtId="0" fontId="0" fillId="0" borderId="0" xfId="0"/>
    <xf numFmtId="0" fontId="5" fillId="10" borderId="13" xfId="10" applyBorder="1" applyAlignment="1">
      <alignment horizontal="center"/>
    </xf>
    <xf numFmtId="0" fontId="5" fillId="10" borderId="14" xfId="10" applyBorder="1" applyAlignment="1">
      <alignment horizontal="center"/>
    </xf>
    <xf numFmtId="164" fontId="6" fillId="18" borderId="5" xfId="0" applyNumberFormat="1" applyFont="1" applyFill="1" applyBorder="1" applyAlignment="1">
      <alignment horizontal="center" vertical="center" wrapText="1"/>
    </xf>
    <xf numFmtId="164" fontId="6" fillId="18" borderId="7" xfId="0" applyNumberFormat="1" applyFont="1" applyFill="1" applyBorder="1" applyAlignment="1">
      <alignment horizontal="center" vertical="center" wrapText="1"/>
    </xf>
    <xf numFmtId="164" fontId="6" fillId="18" borderId="8" xfId="0" applyNumberFormat="1" applyFont="1" applyFill="1" applyBorder="1" applyAlignment="1">
      <alignment horizontal="center" vertical="center" wrapText="1"/>
    </xf>
    <xf numFmtId="0" fontId="18" fillId="4" borderId="4" xfId="3" applyFont="1" applyBorder="1" applyAlignment="1">
      <alignment horizontal="center"/>
    </xf>
    <xf numFmtId="0" fontId="6" fillId="18" borderId="7" xfId="0" applyFont="1" applyFill="1" applyBorder="1" applyAlignment="1">
      <alignment horizontal="center" wrapText="1"/>
    </xf>
    <xf numFmtId="0" fontId="6" fillId="4" borderId="25" xfId="3" applyFont="1" applyBorder="1" applyAlignment="1">
      <alignment horizontal="center"/>
    </xf>
    <xf numFmtId="0" fontId="21" fillId="29" borderId="25" xfId="127" applyBorder="1" applyAlignment="1">
      <alignment horizontal="center" vertical="center"/>
    </xf>
    <xf numFmtId="2" fontId="5" fillId="6" borderId="38" xfId="5" applyNumberFormat="1" applyBorder="1" applyAlignment="1">
      <alignment horizontal="center" vertical="center"/>
    </xf>
    <xf numFmtId="0" fontId="5" fillId="6" borderId="25" xfId="5" applyNumberFormat="1" applyBorder="1" applyAlignment="1">
      <alignment horizontal="center" vertical="center"/>
    </xf>
    <xf numFmtId="0" fontId="5" fillId="6" borderId="36" xfId="5" applyNumberFormat="1" applyBorder="1" applyAlignment="1">
      <alignment horizontal="center" vertical="center"/>
    </xf>
    <xf numFmtId="0" fontId="5" fillId="6" borderId="25" xfId="5" applyBorder="1" applyAlignment="1">
      <alignment horizontal="center"/>
    </xf>
    <xf numFmtId="0" fontId="5" fillId="6" borderId="34" xfId="5" applyBorder="1" applyAlignment="1">
      <alignment horizontal="center"/>
    </xf>
    <xf numFmtId="0" fontId="5" fillId="6" borderId="36" xfId="5" applyBorder="1" applyAlignment="1">
      <alignment horizontal="center"/>
    </xf>
    <xf numFmtId="0" fontId="5" fillId="6" borderId="37" xfId="5" applyBorder="1" applyAlignment="1">
      <alignment horizontal="center"/>
    </xf>
    <xf numFmtId="0" fontId="5" fillId="6" borderId="38" xfId="5" applyBorder="1" applyAlignment="1">
      <alignment horizontal="center"/>
    </xf>
    <xf numFmtId="0" fontId="5" fillId="6" borderId="39" xfId="5" applyBorder="1" applyAlignment="1">
      <alignment horizontal="center"/>
    </xf>
    <xf numFmtId="0" fontId="5" fillId="6" borderId="32" xfId="5" applyBorder="1" applyAlignment="1">
      <alignment horizontal="center"/>
    </xf>
    <xf numFmtId="0" fontId="5" fillId="6" borderId="28" xfId="5" applyBorder="1" applyAlignment="1">
      <alignment horizontal="center"/>
    </xf>
    <xf numFmtId="2" fontId="5" fillId="6" borderId="40" xfId="5" applyNumberFormat="1" applyBorder="1" applyAlignment="1">
      <alignment horizontal="center" vertical="center"/>
    </xf>
    <xf numFmtId="2" fontId="5" fillId="6" borderId="7" xfId="5" applyNumberFormat="1" applyBorder="1" applyAlignment="1">
      <alignment horizontal="center" vertical="center"/>
    </xf>
    <xf numFmtId="2" fontId="5" fillId="6" borderId="41" xfId="5" applyNumberFormat="1" applyBorder="1" applyAlignment="1">
      <alignment horizontal="center" vertical="center"/>
    </xf>
    <xf numFmtId="0" fontId="6" fillId="18" borderId="13" xfId="0" applyFont="1" applyFill="1" applyBorder="1" applyAlignment="1">
      <alignment horizontal="center"/>
    </xf>
    <xf numFmtId="0" fontId="6" fillId="18" borderId="14" xfId="0" applyFont="1" applyFill="1" applyBorder="1" applyAlignment="1">
      <alignment horizontal="center"/>
    </xf>
    <xf numFmtId="0" fontId="6" fillId="18" borderId="15" xfId="0" applyFont="1" applyFill="1" applyBorder="1" applyAlignment="1">
      <alignment horizontal="center"/>
    </xf>
    <xf numFmtId="0" fontId="5" fillId="6" borderId="25" xfId="5" applyBorder="1" applyAlignment="1">
      <alignment horizontal="center" vertical="center"/>
    </xf>
    <xf numFmtId="0" fontId="5" fillId="6" borderId="34" xfId="5" applyBorder="1" applyAlignment="1">
      <alignment horizontal="center" vertical="center"/>
    </xf>
    <xf numFmtId="0" fontId="5" fillId="6" borderId="33" xfId="5" applyBorder="1" applyAlignment="1">
      <alignment horizontal="center"/>
    </xf>
    <xf numFmtId="0" fontId="5" fillId="6" borderId="30" xfId="5" applyBorder="1" applyAlignment="1">
      <alignment horizontal="center"/>
    </xf>
    <xf numFmtId="0" fontId="3" fillId="30" borderId="13" xfId="129" applyFont="1" applyBorder="1" applyAlignment="1">
      <alignment horizontal="center"/>
    </xf>
    <xf numFmtId="0" fontId="3" fillId="30" borderId="14" xfId="129" applyFont="1" applyBorder="1" applyAlignment="1">
      <alignment horizontal="center"/>
    </xf>
    <xf numFmtId="0" fontId="3" fillId="30" borderId="15" xfId="129" applyFont="1" applyBorder="1" applyAlignment="1">
      <alignment horizontal="center"/>
    </xf>
    <xf numFmtId="0" fontId="3" fillId="31" borderId="13" xfId="0" applyFont="1" applyFill="1" applyBorder="1" applyAlignment="1">
      <alignment horizontal="center"/>
    </xf>
    <xf numFmtId="0" fontId="3" fillId="31" borderId="14" xfId="0" applyFont="1" applyFill="1" applyBorder="1" applyAlignment="1">
      <alignment horizontal="center"/>
    </xf>
    <xf numFmtId="0" fontId="3" fillId="31" borderId="15" xfId="0" applyFont="1" applyFill="1" applyBorder="1" applyAlignment="1">
      <alignment horizontal="center"/>
    </xf>
    <xf numFmtId="0" fontId="3" fillId="31" borderId="25" xfId="0" applyFont="1" applyFill="1" applyBorder="1" applyAlignment="1">
      <alignment horizontal="left"/>
    </xf>
    <xf numFmtId="0" fontId="3" fillId="31" borderId="25" xfId="0" applyFont="1" applyFill="1" applyBorder="1" applyAlignment="1">
      <alignment horizontal="center"/>
    </xf>
    <xf numFmtId="0" fontId="5" fillId="6" borderId="8" xfId="5" applyBorder="1" applyAlignment="1">
      <alignment horizontal="center"/>
    </xf>
    <xf numFmtId="0" fontId="5" fillId="6" borderId="35" xfId="5" applyBorder="1" applyAlignment="1">
      <alignment horizontal="center"/>
    </xf>
    <xf numFmtId="2" fontId="5" fillId="6" borderId="42" xfId="5" applyNumberFormat="1" applyBorder="1" applyAlignment="1">
      <alignment horizontal="center" vertical="center"/>
    </xf>
    <xf numFmtId="2" fontId="5" fillId="6" borderId="43" xfId="5" applyNumberFormat="1" applyBorder="1" applyAlignment="1">
      <alignment horizontal="center" vertical="center"/>
    </xf>
    <xf numFmtId="0" fontId="6" fillId="4" borderId="13" xfId="3" applyFont="1" applyBorder="1" applyAlignment="1">
      <alignment horizontal="center" vertical="center"/>
    </xf>
    <xf numFmtId="0" fontId="6" fillId="4" borderId="14" xfId="3" applyFont="1" applyBorder="1" applyAlignment="1">
      <alignment horizontal="center" vertical="center"/>
    </xf>
    <xf numFmtId="0" fontId="6" fillId="4" borderId="13" xfId="3" applyFont="1" applyBorder="1" applyAlignment="1">
      <alignment horizontal="right"/>
    </xf>
    <xf numFmtId="0" fontId="6" fillId="4" borderId="14" xfId="3" applyFont="1" applyBorder="1" applyAlignment="1">
      <alignment horizontal="right"/>
    </xf>
    <xf numFmtId="0" fontId="6" fillId="4" borderId="15" xfId="3" applyFont="1" applyBorder="1" applyAlignment="1">
      <alignment horizontal="right"/>
    </xf>
  </cellXfs>
  <cellStyles count="131">
    <cellStyle name="20% - Accent1" xfId="11" builtinId="30"/>
    <cellStyle name="20% - Accent2" xfId="4" builtinId="34"/>
    <cellStyle name="20% - Accent3" xfId="6" builtinId="38"/>
    <cellStyle name="20% - Accent4" xfId="8" builtinId="42"/>
    <cellStyle name="20% - Accent5" xfId="14" builtinId="46"/>
    <cellStyle name="20% - Accent6" xfId="16" builtinId="50"/>
    <cellStyle name="40% - Accent1" xfId="129" builtinId="31"/>
    <cellStyle name="40% - Accent2" xfId="130" builtinId="35"/>
    <cellStyle name="40% - Accent4" xfId="23" builtinId="43"/>
    <cellStyle name="60% - Accent1" xfId="12" builtinId="32"/>
    <cellStyle name="Accent1" xfId="10" builtinId="29"/>
    <cellStyle name="Accent2" xfId="3" builtinId="33"/>
    <cellStyle name="Accent3" xfId="5" builtinId="37"/>
    <cellStyle name="Accent4" xfId="7" builtinId="41"/>
    <cellStyle name="Accent5" xfId="13" builtinId="45"/>
    <cellStyle name="Accent6" xfId="15" builtinId="49"/>
    <cellStyle name="Followed Hyperlink" xfId="18" builtinId="9" hidden="1"/>
    <cellStyle name="Followed Hyperlink" xfId="20" builtinId="9" hidden="1"/>
    <cellStyle name="Followed Hyperlink" xfId="22"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Good" xfId="127" builtinId="26"/>
    <cellStyle name="Hyperlink" xfId="17" builtinId="8" hidden="1"/>
    <cellStyle name="Hyperlink" xfId="19" builtinId="8" hidden="1"/>
    <cellStyle name="Hyperlink" xfId="21"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Neutral" xfId="126" builtinId="28"/>
    <cellStyle name="Normal" xfId="0" builtinId="0"/>
    <cellStyle name="Normal 2" xfId="1"/>
    <cellStyle name="Normal 3" xfId="2"/>
    <cellStyle name="Normal 4" xfId="128"/>
    <cellStyle name="Percent" xfId="9" builtinId="5"/>
  </cellStyles>
  <dxfs count="6">
    <dxf>
      <font>
        <b/>
        <i val="0"/>
      </font>
      <fill>
        <patternFill>
          <bgColor rgb="FF00B050"/>
        </patternFill>
      </fill>
    </dxf>
    <dxf>
      <font>
        <b/>
        <i val="0"/>
      </font>
      <fill>
        <patternFill>
          <bgColor rgb="FFFF0000"/>
        </patternFill>
      </fill>
    </dxf>
    <dxf>
      <font>
        <b/>
        <i val="0"/>
        <color theme="0"/>
      </font>
      <fill>
        <patternFill patternType="solid">
          <fgColor indexed="64"/>
          <bgColor rgb="FF008000"/>
        </patternFill>
      </fill>
    </dxf>
    <dxf>
      <font>
        <b/>
        <i val="0"/>
        <color theme="0"/>
      </font>
      <fill>
        <patternFill patternType="solid">
          <fgColor indexed="64"/>
          <bgColor rgb="FFFF0000"/>
        </patternFill>
      </fill>
    </dxf>
    <dxf>
      <font>
        <b/>
        <i val="0"/>
        <color auto="1"/>
      </font>
      <fill>
        <patternFill patternType="solid">
          <fgColor indexed="64"/>
          <bgColor rgb="FFFF0000"/>
        </patternFill>
      </fill>
    </dxf>
    <dxf>
      <font>
        <b/>
        <i val="0"/>
        <color auto="1"/>
      </font>
      <fill>
        <patternFill patternType="solid">
          <fgColor indexed="64"/>
          <bgColor theme="6" tint="-0.24997711111789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Force Detected by Each Sensor for each Load Point of FTS</a:t>
            </a:r>
          </a:p>
        </c:rich>
      </c:tx>
      <c:overlay val="0"/>
    </c:title>
    <c:autoTitleDeleted val="0"/>
    <c:plotArea>
      <c:layout/>
      <c:scatterChart>
        <c:scatterStyle val="lineMarker"/>
        <c:varyColors val="0"/>
        <c:ser>
          <c:idx val="0"/>
          <c:order val="0"/>
          <c:tx>
            <c:strRef>
              <c:f>Presentation!$C$5</c:f>
              <c:strCache>
                <c:ptCount val="1"/>
                <c:pt idx="0">
                  <c:v>S3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Presentation!$C$6:$C$11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8A0C-4E1E-AECD-18F0576D5345}"/>
            </c:ext>
          </c:extLst>
        </c:ser>
        <c:ser>
          <c:idx val="1"/>
          <c:order val="1"/>
          <c:tx>
            <c:strRef>
              <c:f>Presentation!$D$5</c:f>
              <c:strCache>
                <c:ptCount val="1"/>
                <c:pt idx="0">
                  <c:v>S4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Presentation!$D$6:$D$11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8A0C-4E1E-AECD-18F0576D5345}"/>
            </c:ext>
          </c:extLst>
        </c:ser>
        <c:ser>
          <c:idx val="2"/>
          <c:order val="2"/>
          <c:tx>
            <c:strRef>
              <c:f>Presentation!$E$5</c:f>
              <c:strCache>
                <c:ptCount val="1"/>
                <c:pt idx="0">
                  <c:v>S5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Presentation!$E$6:$E$11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2-8A0C-4E1E-AECD-18F0576D5345}"/>
            </c:ext>
          </c:extLst>
        </c:ser>
        <c:ser>
          <c:idx val="3"/>
          <c:order val="3"/>
          <c:tx>
            <c:strRef>
              <c:f>Presentation!$F$5</c:f>
              <c:strCache>
                <c:ptCount val="1"/>
                <c:pt idx="0">
                  <c:v>S6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Presentation!$F$6:$F$11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3-8A0C-4E1E-AECD-18F0576D5345}"/>
            </c:ext>
          </c:extLst>
        </c:ser>
        <c:ser>
          <c:idx val="4"/>
          <c:order val="4"/>
          <c:tx>
            <c:strRef>
              <c:f>Presentation!$G$5</c:f>
              <c:strCache>
                <c:ptCount val="1"/>
                <c:pt idx="0">
                  <c:v>S7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Presentation!$G$6:$G$11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4-8A0C-4E1E-AECD-18F0576D5345}"/>
            </c:ext>
          </c:extLst>
        </c:ser>
        <c:ser>
          <c:idx val="5"/>
          <c:order val="5"/>
          <c:tx>
            <c:strRef>
              <c:f>Presentation!$H$5</c:f>
              <c:strCache>
                <c:ptCount val="1"/>
                <c:pt idx="0">
                  <c:v>S8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Presentation!$H$6:$H$11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5-8A0C-4E1E-AECD-18F0576D5345}"/>
            </c:ext>
          </c:extLst>
        </c:ser>
        <c:dLbls>
          <c:showLegendKey val="0"/>
          <c:showVal val="0"/>
          <c:showCatName val="0"/>
          <c:showSerName val="0"/>
          <c:showPercent val="0"/>
          <c:showBubbleSize val="0"/>
        </c:dLbls>
        <c:axId val="123752960"/>
        <c:axId val="123753536"/>
      </c:scatterChart>
      <c:valAx>
        <c:axId val="123752960"/>
        <c:scaling>
          <c:orientation val="minMax"/>
        </c:scaling>
        <c:delete val="0"/>
        <c:axPos val="b"/>
        <c:numFmt formatCode="General" sourceLinked="1"/>
        <c:majorTickMark val="out"/>
        <c:minorTickMark val="none"/>
        <c:tickLblPos val="nextTo"/>
        <c:crossAx val="123753536"/>
        <c:crosses val="autoZero"/>
        <c:crossBetween val="midCat"/>
      </c:valAx>
      <c:valAx>
        <c:axId val="123753536"/>
        <c:scaling>
          <c:orientation val="minMax"/>
        </c:scaling>
        <c:delete val="0"/>
        <c:axPos val="l"/>
        <c:majorGridlines/>
        <c:numFmt formatCode="0.0" sourceLinked="1"/>
        <c:majorTickMark val="out"/>
        <c:minorTickMark val="none"/>
        <c:tickLblPos val="nextTo"/>
        <c:crossAx val="123752960"/>
        <c:crosses val="autoZero"/>
        <c:crossBetween val="midCat"/>
      </c:valAx>
    </c:plotArea>
    <c:legend>
      <c:legendPos val="r"/>
      <c:overlay val="0"/>
    </c:legend>
    <c:plotVisOnly val="1"/>
    <c:dispBlanksAs val="gap"/>
    <c:showDLblsOverMax val="0"/>
  </c:chart>
  <c:printSettings>
    <c:headerFooter/>
    <c:pageMargins b="0.750000000000002" l="0.70000000000000095" r="0.70000000000000095" t="0.750000000000002"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Force Detected by Each Sensor for each Load Point of FTS</a:t>
            </a:r>
          </a:p>
        </c:rich>
      </c:tx>
      <c:overlay val="0"/>
    </c:title>
    <c:autoTitleDeleted val="0"/>
    <c:plotArea>
      <c:layout/>
      <c:scatterChart>
        <c:scatterStyle val="lineMarker"/>
        <c:varyColors val="0"/>
        <c:ser>
          <c:idx val="0"/>
          <c:order val="0"/>
          <c:tx>
            <c:strRef>
              <c:f>Presentation!$O$5</c:f>
              <c:strCache>
                <c:ptCount val="1"/>
                <c:pt idx="0">
                  <c:v>S2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Presentation!$O$6:$O$11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E22A-43CC-B7A7-817517A8D432}"/>
            </c:ext>
          </c:extLst>
        </c:ser>
        <c:ser>
          <c:idx val="1"/>
          <c:order val="1"/>
          <c:tx>
            <c:strRef>
              <c:f>Presentation!$P$5</c:f>
              <c:strCache>
                <c:ptCount val="1"/>
                <c:pt idx="0">
                  <c:v>S3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Presentation!$P$6:$P$11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E22A-43CC-B7A7-817517A8D432}"/>
            </c:ext>
          </c:extLst>
        </c:ser>
        <c:ser>
          <c:idx val="2"/>
          <c:order val="2"/>
          <c:tx>
            <c:strRef>
              <c:f>Presentation!$Q$5</c:f>
              <c:strCache>
                <c:ptCount val="1"/>
                <c:pt idx="0">
                  <c:v>S4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Presentation!$Q$6:$Q$11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2-E22A-43CC-B7A7-817517A8D432}"/>
            </c:ext>
          </c:extLst>
        </c:ser>
        <c:ser>
          <c:idx val="3"/>
          <c:order val="3"/>
          <c:tx>
            <c:strRef>
              <c:f>Presentation!$R$5</c:f>
              <c:strCache>
                <c:ptCount val="1"/>
                <c:pt idx="0">
                  <c:v>S5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Presentation!$R$6:$R$11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3-E22A-43CC-B7A7-817517A8D432}"/>
            </c:ext>
          </c:extLst>
        </c:ser>
        <c:ser>
          <c:idx val="4"/>
          <c:order val="4"/>
          <c:tx>
            <c:strRef>
              <c:f>Presentation!$S$5</c:f>
              <c:strCache>
                <c:ptCount val="1"/>
                <c:pt idx="0">
                  <c:v>S6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Presentation!$S$6:$S$11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4-E22A-43CC-B7A7-817517A8D432}"/>
            </c:ext>
          </c:extLst>
        </c:ser>
        <c:ser>
          <c:idx val="5"/>
          <c:order val="5"/>
          <c:tx>
            <c:strRef>
              <c:f>Presentation!$T$5</c:f>
              <c:strCache>
                <c:ptCount val="1"/>
                <c:pt idx="0">
                  <c:v>S7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Presentation!$T$6:$T$11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5-E22A-43CC-B7A7-817517A8D432}"/>
            </c:ext>
          </c:extLst>
        </c:ser>
        <c:dLbls>
          <c:showLegendKey val="0"/>
          <c:showVal val="0"/>
          <c:showCatName val="0"/>
          <c:showSerName val="0"/>
          <c:showPercent val="0"/>
          <c:showBubbleSize val="0"/>
        </c:dLbls>
        <c:axId val="123755840"/>
        <c:axId val="123518976"/>
      </c:scatterChart>
      <c:valAx>
        <c:axId val="123755840"/>
        <c:scaling>
          <c:orientation val="minMax"/>
        </c:scaling>
        <c:delete val="0"/>
        <c:axPos val="b"/>
        <c:numFmt formatCode="General" sourceLinked="1"/>
        <c:majorTickMark val="out"/>
        <c:minorTickMark val="none"/>
        <c:tickLblPos val="nextTo"/>
        <c:crossAx val="123518976"/>
        <c:crosses val="autoZero"/>
        <c:crossBetween val="midCat"/>
      </c:valAx>
      <c:valAx>
        <c:axId val="123518976"/>
        <c:scaling>
          <c:orientation val="minMax"/>
        </c:scaling>
        <c:delete val="0"/>
        <c:axPos val="l"/>
        <c:majorGridlines/>
        <c:numFmt formatCode="0.0" sourceLinked="1"/>
        <c:majorTickMark val="out"/>
        <c:minorTickMark val="none"/>
        <c:tickLblPos val="nextTo"/>
        <c:crossAx val="123755840"/>
        <c:crosses val="autoZero"/>
        <c:crossBetween val="midCat"/>
      </c:valAx>
    </c:plotArea>
    <c:legend>
      <c:legendPos val="r"/>
      <c:overlay val="0"/>
    </c:legend>
    <c:plotVisOnly val="1"/>
    <c:dispBlanksAs val="gap"/>
    <c:showDLblsOverMax val="0"/>
  </c:chart>
  <c:printSettings>
    <c:headerFooter/>
    <c:pageMargins b="0.750000000000002" l="0.70000000000000095" r="0.70000000000000095" t="0.750000000000002"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Force Detected by Each Sensor for each Load Point of FTS</a:t>
            </a:r>
          </a:p>
        </c:rich>
      </c:tx>
      <c:overlay val="0"/>
    </c:title>
    <c:autoTitleDeleted val="0"/>
    <c:plotArea>
      <c:layout/>
      <c:scatterChart>
        <c:scatterStyle val="lineMarker"/>
        <c:varyColors val="0"/>
        <c:ser>
          <c:idx val="0"/>
          <c:order val="0"/>
          <c:tx>
            <c:strRef>
              <c:f>Presentation!$I$5</c:f>
              <c:strCache>
                <c:ptCount val="1"/>
                <c:pt idx="0">
                  <c:v>CondA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Presentation!$I$6:$I$11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921-4C43-8B7F-A9214F003B59}"/>
            </c:ext>
          </c:extLst>
        </c:ser>
        <c:ser>
          <c:idx val="1"/>
          <c:order val="1"/>
          <c:tx>
            <c:strRef>
              <c:f>Presentation!$J$5</c:f>
              <c:strCache>
                <c:ptCount val="1"/>
                <c:pt idx="0">
                  <c:v>CondB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Presentation!$J$6:$J$11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A921-4C43-8B7F-A9214F003B59}"/>
            </c:ext>
          </c:extLst>
        </c:ser>
        <c:dLbls>
          <c:showLegendKey val="0"/>
          <c:showVal val="0"/>
          <c:showCatName val="0"/>
          <c:showSerName val="0"/>
          <c:showPercent val="0"/>
          <c:showBubbleSize val="0"/>
        </c:dLbls>
        <c:axId val="123521280"/>
        <c:axId val="123521856"/>
      </c:scatterChart>
      <c:scatterChart>
        <c:scatterStyle val="lineMarker"/>
        <c:varyColors val="0"/>
        <c:ser>
          <c:idx val="2"/>
          <c:order val="2"/>
          <c:tx>
            <c:strRef>
              <c:f>Presentation!$K$5</c:f>
              <c:strCache>
                <c:ptCount val="1"/>
                <c:pt idx="0">
                  <c:v>ErrorA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Presentation!$K$6:$K$11</c:f>
              <c:numCache>
                <c:formatCode>0.0</c:formatCode>
                <c:ptCount val="6"/>
                <c:pt idx="0">
                  <c:v>0</c:v>
                </c:pt>
                <c:pt idx="1">
                  <c:v>-5</c:v>
                </c:pt>
                <c:pt idx="2">
                  <c:v>-10</c:v>
                </c:pt>
                <c:pt idx="3">
                  <c:v>-20</c:v>
                </c:pt>
                <c:pt idx="4">
                  <c:v>-30</c:v>
                </c:pt>
                <c:pt idx="5">
                  <c:v>-40</c:v>
                </c:pt>
              </c:numCache>
            </c:numRef>
          </c:yVal>
          <c:smooth val="0"/>
          <c:extLst>
            <c:ext xmlns:c16="http://schemas.microsoft.com/office/drawing/2014/chart" uri="{C3380CC4-5D6E-409C-BE32-E72D297353CC}">
              <c16:uniqueId val="{00000002-A921-4C43-8B7F-A9214F003B59}"/>
            </c:ext>
          </c:extLst>
        </c:ser>
        <c:ser>
          <c:idx val="3"/>
          <c:order val="3"/>
          <c:tx>
            <c:strRef>
              <c:f>Presentation!$L$5</c:f>
              <c:strCache>
                <c:ptCount val="1"/>
                <c:pt idx="0">
                  <c:v>ErrorB [lb]</c:v>
                </c:pt>
              </c:strCache>
            </c:strRef>
          </c:tx>
          <c:xVal>
            <c:numRef>
              <c:f>Presentation!$B$6:$B$11</c:f>
              <c:numCache>
                <c:formatCode>General</c:formatCode>
                <c:ptCount val="6"/>
                <c:pt idx="0">
                  <c:v>0</c:v>
                </c:pt>
                <c:pt idx="1">
                  <c:v>5</c:v>
                </c:pt>
                <c:pt idx="2">
                  <c:v>10</c:v>
                </c:pt>
                <c:pt idx="3">
                  <c:v>20</c:v>
                </c:pt>
                <c:pt idx="4">
                  <c:v>30</c:v>
                </c:pt>
                <c:pt idx="5">
                  <c:v>40</c:v>
                </c:pt>
              </c:numCache>
            </c:numRef>
          </c:xVal>
          <c:yVal>
            <c:numRef>
              <c:f>Presentation!$L$6:$L$11</c:f>
              <c:numCache>
                <c:formatCode>0.0</c:formatCode>
                <c:ptCount val="6"/>
                <c:pt idx="0">
                  <c:v>0</c:v>
                </c:pt>
                <c:pt idx="1">
                  <c:v>-5</c:v>
                </c:pt>
                <c:pt idx="2">
                  <c:v>-10</c:v>
                </c:pt>
                <c:pt idx="3">
                  <c:v>-20</c:v>
                </c:pt>
                <c:pt idx="4">
                  <c:v>-30</c:v>
                </c:pt>
                <c:pt idx="5">
                  <c:v>-40</c:v>
                </c:pt>
              </c:numCache>
            </c:numRef>
          </c:yVal>
          <c:smooth val="0"/>
          <c:extLst>
            <c:ext xmlns:c16="http://schemas.microsoft.com/office/drawing/2014/chart" uri="{C3380CC4-5D6E-409C-BE32-E72D297353CC}">
              <c16:uniqueId val="{00000003-A921-4C43-8B7F-A9214F003B59}"/>
            </c:ext>
          </c:extLst>
        </c:ser>
        <c:ser>
          <c:idx val="4"/>
          <c:order val="4"/>
          <c:tx>
            <c:strRef>
              <c:f>Presentation!$Z$5</c:f>
              <c:strCache>
                <c:ptCount val="1"/>
                <c:pt idx="0">
                  <c:v>ErrorMax</c:v>
                </c:pt>
              </c:strCache>
            </c:strRef>
          </c:tx>
          <c:spPr>
            <a:ln>
              <a:solidFill>
                <a:srgbClr val="FF0000"/>
              </a:solidFill>
              <a:prstDash val="dash"/>
            </a:ln>
          </c:spPr>
          <c:marker>
            <c:symbol val="none"/>
          </c:marker>
          <c:xVal>
            <c:numRef>
              <c:f>Presentation!$B$6:$B$11</c:f>
              <c:numCache>
                <c:formatCode>General</c:formatCode>
                <c:ptCount val="6"/>
                <c:pt idx="0">
                  <c:v>0</c:v>
                </c:pt>
                <c:pt idx="1">
                  <c:v>5</c:v>
                </c:pt>
                <c:pt idx="2">
                  <c:v>10</c:v>
                </c:pt>
                <c:pt idx="3">
                  <c:v>20</c:v>
                </c:pt>
                <c:pt idx="4">
                  <c:v>30</c:v>
                </c:pt>
                <c:pt idx="5">
                  <c:v>40</c:v>
                </c:pt>
              </c:numCache>
            </c:numRef>
          </c:xVal>
          <c:yVal>
            <c:numRef>
              <c:f>Presentation!$Z$6:$Z$11</c:f>
              <c:numCache>
                <c:formatCode>0.0</c:formatCode>
                <c:ptCount val="6"/>
                <c:pt idx="0">
                  <c:v>3.5</c:v>
                </c:pt>
                <c:pt idx="1">
                  <c:v>3.5</c:v>
                </c:pt>
                <c:pt idx="2">
                  <c:v>3.5</c:v>
                </c:pt>
                <c:pt idx="3">
                  <c:v>3.5</c:v>
                </c:pt>
                <c:pt idx="4">
                  <c:v>3.5</c:v>
                </c:pt>
                <c:pt idx="5">
                  <c:v>3.5</c:v>
                </c:pt>
              </c:numCache>
            </c:numRef>
          </c:yVal>
          <c:smooth val="0"/>
          <c:extLst>
            <c:ext xmlns:c16="http://schemas.microsoft.com/office/drawing/2014/chart" uri="{C3380CC4-5D6E-409C-BE32-E72D297353CC}">
              <c16:uniqueId val="{00000004-A921-4C43-8B7F-A9214F003B59}"/>
            </c:ext>
          </c:extLst>
        </c:ser>
        <c:ser>
          <c:idx val="5"/>
          <c:order val="5"/>
          <c:tx>
            <c:strRef>
              <c:f>Presentation!$AA$5</c:f>
              <c:strCache>
                <c:ptCount val="1"/>
                <c:pt idx="0">
                  <c:v>ErrorMin</c:v>
                </c:pt>
              </c:strCache>
            </c:strRef>
          </c:tx>
          <c:spPr>
            <a:ln>
              <a:solidFill>
                <a:srgbClr val="FF0000"/>
              </a:solidFill>
              <a:prstDash val="dash"/>
            </a:ln>
          </c:spPr>
          <c:marker>
            <c:symbol val="none"/>
          </c:marker>
          <c:xVal>
            <c:numRef>
              <c:f>Presentation!$B$6:$B$11</c:f>
              <c:numCache>
                <c:formatCode>General</c:formatCode>
                <c:ptCount val="6"/>
                <c:pt idx="0">
                  <c:v>0</c:v>
                </c:pt>
                <c:pt idx="1">
                  <c:v>5</c:v>
                </c:pt>
                <c:pt idx="2">
                  <c:v>10</c:v>
                </c:pt>
                <c:pt idx="3">
                  <c:v>20</c:v>
                </c:pt>
                <c:pt idx="4">
                  <c:v>30</c:v>
                </c:pt>
                <c:pt idx="5">
                  <c:v>40</c:v>
                </c:pt>
              </c:numCache>
            </c:numRef>
          </c:xVal>
          <c:yVal>
            <c:numRef>
              <c:f>Presentation!$AA$6:$AA$11</c:f>
              <c:numCache>
                <c:formatCode>0.0</c:formatCode>
                <c:ptCount val="6"/>
                <c:pt idx="0">
                  <c:v>-3.5</c:v>
                </c:pt>
                <c:pt idx="1">
                  <c:v>-3.5</c:v>
                </c:pt>
                <c:pt idx="2">
                  <c:v>-3.5</c:v>
                </c:pt>
                <c:pt idx="3">
                  <c:v>-3.5</c:v>
                </c:pt>
                <c:pt idx="4">
                  <c:v>-3.5</c:v>
                </c:pt>
                <c:pt idx="5">
                  <c:v>-3.5</c:v>
                </c:pt>
              </c:numCache>
            </c:numRef>
          </c:yVal>
          <c:smooth val="0"/>
          <c:extLst>
            <c:ext xmlns:c16="http://schemas.microsoft.com/office/drawing/2014/chart" uri="{C3380CC4-5D6E-409C-BE32-E72D297353CC}">
              <c16:uniqueId val="{00000005-A921-4C43-8B7F-A9214F003B59}"/>
            </c:ext>
          </c:extLst>
        </c:ser>
        <c:dLbls>
          <c:showLegendKey val="0"/>
          <c:showVal val="0"/>
          <c:showCatName val="0"/>
          <c:showSerName val="0"/>
          <c:showPercent val="0"/>
          <c:showBubbleSize val="0"/>
        </c:dLbls>
        <c:axId val="123523008"/>
        <c:axId val="123522432"/>
      </c:scatterChart>
      <c:valAx>
        <c:axId val="123521280"/>
        <c:scaling>
          <c:orientation val="minMax"/>
        </c:scaling>
        <c:delete val="0"/>
        <c:axPos val="b"/>
        <c:numFmt formatCode="General" sourceLinked="1"/>
        <c:majorTickMark val="out"/>
        <c:minorTickMark val="none"/>
        <c:tickLblPos val="nextTo"/>
        <c:crossAx val="123521856"/>
        <c:crosses val="autoZero"/>
        <c:crossBetween val="midCat"/>
      </c:valAx>
      <c:valAx>
        <c:axId val="123521856"/>
        <c:scaling>
          <c:orientation val="minMax"/>
        </c:scaling>
        <c:delete val="0"/>
        <c:axPos val="l"/>
        <c:majorGridlines/>
        <c:numFmt formatCode="0.0" sourceLinked="1"/>
        <c:majorTickMark val="out"/>
        <c:minorTickMark val="none"/>
        <c:tickLblPos val="nextTo"/>
        <c:crossAx val="123521280"/>
        <c:crosses val="autoZero"/>
        <c:crossBetween val="midCat"/>
      </c:valAx>
      <c:valAx>
        <c:axId val="123522432"/>
        <c:scaling>
          <c:orientation val="minMax"/>
          <c:max val="5"/>
          <c:min val="-5"/>
        </c:scaling>
        <c:delete val="0"/>
        <c:axPos val="r"/>
        <c:numFmt formatCode="0.0" sourceLinked="1"/>
        <c:majorTickMark val="out"/>
        <c:minorTickMark val="none"/>
        <c:tickLblPos val="nextTo"/>
        <c:crossAx val="123523008"/>
        <c:crosses val="max"/>
        <c:crossBetween val="midCat"/>
      </c:valAx>
      <c:valAx>
        <c:axId val="123523008"/>
        <c:scaling>
          <c:orientation val="minMax"/>
        </c:scaling>
        <c:delete val="1"/>
        <c:axPos val="b"/>
        <c:numFmt formatCode="General" sourceLinked="1"/>
        <c:majorTickMark val="out"/>
        <c:minorTickMark val="none"/>
        <c:tickLblPos val="none"/>
        <c:crossAx val="123522432"/>
        <c:crosses val="autoZero"/>
        <c:crossBetween val="midCat"/>
      </c:valAx>
    </c:plotArea>
    <c:legend>
      <c:legendPos val="r"/>
      <c:overlay val="0"/>
    </c:legend>
    <c:plotVisOnly val="1"/>
    <c:dispBlanksAs val="gap"/>
    <c:showDLblsOverMax val="0"/>
  </c:chart>
  <c:printSettings>
    <c:headerFooter/>
    <c:pageMargins b="0.750000000000003" l="0.70000000000000095" r="0.70000000000000095" t="0.750000000000003"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Condyle Response (left) and Error Detected (right) for each Load Point</a:t>
            </a:r>
          </a:p>
        </c:rich>
      </c:tx>
      <c:overlay val="0"/>
    </c:title>
    <c:autoTitleDeleted val="0"/>
    <c:plotArea>
      <c:layout/>
      <c:scatterChart>
        <c:scatterStyle val="lineMarker"/>
        <c:varyColors val="0"/>
        <c:ser>
          <c:idx val="0"/>
          <c:order val="0"/>
          <c:tx>
            <c:strRef>
              <c:f>Presentation!$U$5</c:f>
              <c:strCache>
                <c:ptCount val="1"/>
                <c:pt idx="0">
                  <c:v>CondA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Presentation!$U$6:$U$11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45EA-4ED3-8DDF-84FDFCB8215B}"/>
            </c:ext>
          </c:extLst>
        </c:ser>
        <c:ser>
          <c:idx val="1"/>
          <c:order val="1"/>
          <c:tx>
            <c:strRef>
              <c:f>Presentation!$V$5</c:f>
              <c:strCache>
                <c:ptCount val="1"/>
                <c:pt idx="0">
                  <c:v>CondB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Presentation!$V$6:$V$11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45EA-4ED3-8DDF-84FDFCB8215B}"/>
            </c:ext>
          </c:extLst>
        </c:ser>
        <c:dLbls>
          <c:showLegendKey val="0"/>
          <c:showVal val="0"/>
          <c:showCatName val="0"/>
          <c:showSerName val="0"/>
          <c:showPercent val="0"/>
          <c:showBubbleSize val="0"/>
        </c:dLbls>
        <c:axId val="123525312"/>
        <c:axId val="123525888"/>
      </c:scatterChart>
      <c:scatterChart>
        <c:scatterStyle val="lineMarker"/>
        <c:varyColors val="0"/>
        <c:ser>
          <c:idx val="2"/>
          <c:order val="2"/>
          <c:tx>
            <c:strRef>
              <c:f>Presentation!$W$5</c:f>
              <c:strCache>
                <c:ptCount val="1"/>
                <c:pt idx="0">
                  <c:v>ErrorA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Presentation!$W$6:$W$11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2-45EA-4ED3-8DDF-84FDFCB8215B}"/>
            </c:ext>
          </c:extLst>
        </c:ser>
        <c:ser>
          <c:idx val="3"/>
          <c:order val="3"/>
          <c:tx>
            <c:strRef>
              <c:f>Presentation!$X$5</c:f>
              <c:strCache>
                <c:ptCount val="1"/>
                <c:pt idx="0">
                  <c:v>ErrorB [lb]</c:v>
                </c:pt>
              </c:strCache>
            </c:strRef>
          </c:tx>
          <c:xVal>
            <c:numRef>
              <c:f>Presentation!$N$6:$N$11</c:f>
              <c:numCache>
                <c:formatCode>General</c:formatCode>
                <c:ptCount val="6"/>
                <c:pt idx="0">
                  <c:v>0</c:v>
                </c:pt>
                <c:pt idx="1">
                  <c:v>5</c:v>
                </c:pt>
                <c:pt idx="2">
                  <c:v>10</c:v>
                </c:pt>
                <c:pt idx="3">
                  <c:v>20</c:v>
                </c:pt>
                <c:pt idx="4">
                  <c:v>30</c:v>
                </c:pt>
                <c:pt idx="5">
                  <c:v>40</c:v>
                </c:pt>
              </c:numCache>
            </c:numRef>
          </c:xVal>
          <c:yVal>
            <c:numRef>
              <c:f>Presentation!$X$6:$X$11</c:f>
              <c:numCache>
                <c:formatCode>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3-45EA-4ED3-8DDF-84FDFCB8215B}"/>
            </c:ext>
          </c:extLst>
        </c:ser>
        <c:ser>
          <c:idx val="4"/>
          <c:order val="4"/>
          <c:tx>
            <c:strRef>
              <c:f>Presentation!$Z$5</c:f>
              <c:strCache>
                <c:ptCount val="1"/>
                <c:pt idx="0">
                  <c:v>ErrorMax</c:v>
                </c:pt>
              </c:strCache>
            </c:strRef>
          </c:tx>
          <c:spPr>
            <a:ln>
              <a:solidFill>
                <a:srgbClr val="FF0000"/>
              </a:solidFill>
              <a:prstDash val="dash"/>
            </a:ln>
          </c:spPr>
          <c:marker>
            <c:symbol val="none"/>
          </c:marker>
          <c:xVal>
            <c:numRef>
              <c:f>Presentation!$N$6:$N$11</c:f>
              <c:numCache>
                <c:formatCode>General</c:formatCode>
                <c:ptCount val="6"/>
                <c:pt idx="0">
                  <c:v>0</c:v>
                </c:pt>
                <c:pt idx="1">
                  <c:v>5</c:v>
                </c:pt>
                <c:pt idx="2">
                  <c:v>10</c:v>
                </c:pt>
                <c:pt idx="3">
                  <c:v>20</c:v>
                </c:pt>
                <c:pt idx="4">
                  <c:v>30</c:v>
                </c:pt>
                <c:pt idx="5">
                  <c:v>40</c:v>
                </c:pt>
              </c:numCache>
            </c:numRef>
          </c:xVal>
          <c:yVal>
            <c:numRef>
              <c:f>Presentation!$Z$6:$Z$11</c:f>
              <c:numCache>
                <c:formatCode>0.0</c:formatCode>
                <c:ptCount val="6"/>
                <c:pt idx="0">
                  <c:v>3.5</c:v>
                </c:pt>
                <c:pt idx="1">
                  <c:v>3.5</c:v>
                </c:pt>
                <c:pt idx="2">
                  <c:v>3.5</c:v>
                </c:pt>
                <c:pt idx="3">
                  <c:v>3.5</c:v>
                </c:pt>
                <c:pt idx="4">
                  <c:v>3.5</c:v>
                </c:pt>
                <c:pt idx="5">
                  <c:v>3.5</c:v>
                </c:pt>
              </c:numCache>
            </c:numRef>
          </c:yVal>
          <c:smooth val="0"/>
          <c:extLst>
            <c:ext xmlns:c16="http://schemas.microsoft.com/office/drawing/2014/chart" uri="{C3380CC4-5D6E-409C-BE32-E72D297353CC}">
              <c16:uniqueId val="{00000004-45EA-4ED3-8DDF-84FDFCB8215B}"/>
            </c:ext>
          </c:extLst>
        </c:ser>
        <c:ser>
          <c:idx val="5"/>
          <c:order val="5"/>
          <c:tx>
            <c:strRef>
              <c:f>Presentation!$AA$5</c:f>
              <c:strCache>
                <c:ptCount val="1"/>
                <c:pt idx="0">
                  <c:v>ErrorMin</c:v>
                </c:pt>
              </c:strCache>
            </c:strRef>
          </c:tx>
          <c:spPr>
            <a:ln>
              <a:solidFill>
                <a:srgbClr val="FF0000"/>
              </a:solidFill>
              <a:prstDash val="dash"/>
            </a:ln>
          </c:spPr>
          <c:marker>
            <c:symbol val="none"/>
          </c:marker>
          <c:xVal>
            <c:numRef>
              <c:f>Presentation!$N$6:$N$11</c:f>
              <c:numCache>
                <c:formatCode>General</c:formatCode>
                <c:ptCount val="6"/>
                <c:pt idx="0">
                  <c:v>0</c:v>
                </c:pt>
                <c:pt idx="1">
                  <c:v>5</c:v>
                </c:pt>
                <c:pt idx="2">
                  <c:v>10</c:v>
                </c:pt>
                <c:pt idx="3">
                  <c:v>20</c:v>
                </c:pt>
                <c:pt idx="4">
                  <c:v>30</c:v>
                </c:pt>
                <c:pt idx="5">
                  <c:v>40</c:v>
                </c:pt>
              </c:numCache>
            </c:numRef>
          </c:xVal>
          <c:yVal>
            <c:numRef>
              <c:f>Presentation!$AA$6:$AA$11</c:f>
              <c:numCache>
                <c:formatCode>0.0</c:formatCode>
                <c:ptCount val="6"/>
                <c:pt idx="0">
                  <c:v>-3.5</c:v>
                </c:pt>
                <c:pt idx="1">
                  <c:v>-3.5</c:v>
                </c:pt>
                <c:pt idx="2">
                  <c:v>-3.5</c:v>
                </c:pt>
                <c:pt idx="3">
                  <c:v>-3.5</c:v>
                </c:pt>
                <c:pt idx="4">
                  <c:v>-3.5</c:v>
                </c:pt>
                <c:pt idx="5">
                  <c:v>-3.5</c:v>
                </c:pt>
              </c:numCache>
            </c:numRef>
          </c:yVal>
          <c:smooth val="0"/>
          <c:extLst>
            <c:ext xmlns:c16="http://schemas.microsoft.com/office/drawing/2014/chart" uri="{C3380CC4-5D6E-409C-BE32-E72D297353CC}">
              <c16:uniqueId val="{00000005-45EA-4ED3-8DDF-84FDFCB8215B}"/>
            </c:ext>
          </c:extLst>
        </c:ser>
        <c:dLbls>
          <c:showLegendKey val="0"/>
          <c:showVal val="0"/>
          <c:showCatName val="0"/>
          <c:showSerName val="0"/>
          <c:showPercent val="0"/>
          <c:showBubbleSize val="0"/>
        </c:dLbls>
        <c:axId val="124846080"/>
        <c:axId val="123526464"/>
      </c:scatterChart>
      <c:valAx>
        <c:axId val="123525312"/>
        <c:scaling>
          <c:orientation val="minMax"/>
        </c:scaling>
        <c:delete val="0"/>
        <c:axPos val="b"/>
        <c:numFmt formatCode="General" sourceLinked="1"/>
        <c:majorTickMark val="out"/>
        <c:minorTickMark val="none"/>
        <c:tickLblPos val="nextTo"/>
        <c:crossAx val="123525888"/>
        <c:crosses val="autoZero"/>
        <c:crossBetween val="midCat"/>
      </c:valAx>
      <c:valAx>
        <c:axId val="123525888"/>
        <c:scaling>
          <c:orientation val="minMax"/>
        </c:scaling>
        <c:delete val="0"/>
        <c:axPos val="l"/>
        <c:majorGridlines/>
        <c:numFmt formatCode="0.0" sourceLinked="1"/>
        <c:majorTickMark val="out"/>
        <c:minorTickMark val="none"/>
        <c:tickLblPos val="nextTo"/>
        <c:crossAx val="123525312"/>
        <c:crosses val="autoZero"/>
        <c:crossBetween val="midCat"/>
      </c:valAx>
      <c:valAx>
        <c:axId val="123526464"/>
        <c:scaling>
          <c:orientation val="minMax"/>
          <c:max val="5"/>
          <c:min val="-5"/>
        </c:scaling>
        <c:delete val="0"/>
        <c:axPos val="r"/>
        <c:numFmt formatCode="0.0" sourceLinked="1"/>
        <c:majorTickMark val="out"/>
        <c:minorTickMark val="none"/>
        <c:tickLblPos val="nextTo"/>
        <c:crossAx val="124846080"/>
        <c:crosses val="max"/>
        <c:crossBetween val="midCat"/>
      </c:valAx>
      <c:valAx>
        <c:axId val="124846080"/>
        <c:scaling>
          <c:orientation val="minMax"/>
        </c:scaling>
        <c:delete val="1"/>
        <c:axPos val="b"/>
        <c:numFmt formatCode="General" sourceLinked="1"/>
        <c:majorTickMark val="out"/>
        <c:minorTickMark val="none"/>
        <c:tickLblPos val="none"/>
        <c:crossAx val="123526464"/>
        <c:crosses val="autoZero"/>
        <c:crossBetween val="midCat"/>
      </c:valAx>
    </c:plotArea>
    <c:legend>
      <c:legendPos val="r"/>
      <c:overlay val="0"/>
    </c:legend>
    <c:plotVisOnly val="1"/>
    <c:dispBlanksAs val="gap"/>
    <c:showDLblsOverMax val="0"/>
  </c:chart>
  <c:printSettings>
    <c:headerFooter/>
    <c:pageMargins b="0.750000000000003" l="0.70000000000000095" r="0.70000000000000095" t="0.750000000000003"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Load Accuracy Test</a:t>
            </a:r>
          </a:p>
          <a:p>
            <a:pPr>
              <a:defRPr/>
            </a:pPr>
            <a:r>
              <a:rPr lang="en-US"/>
              <a:t>Per Condyle Response (left) and Error Detected (right) for each Load Point</a:t>
            </a:r>
          </a:p>
        </c:rich>
      </c:tx>
      <c:overlay val="0"/>
    </c:title>
    <c:autoTitleDeleted val="0"/>
    <c:plotArea>
      <c:layout>
        <c:manualLayout>
          <c:layoutTarget val="inner"/>
          <c:xMode val="edge"/>
          <c:yMode val="edge"/>
          <c:x val="8.1415265490863503E-2"/>
          <c:y val="0.32177121771217698"/>
          <c:w val="0.59845212935081404"/>
          <c:h val="0.56446770743252495"/>
        </c:manualLayout>
      </c:layout>
      <c:scatterChart>
        <c:scatterStyle val="smoothMarker"/>
        <c:varyColors val="0"/>
        <c:ser>
          <c:idx val="0"/>
          <c:order val="0"/>
          <c:tx>
            <c:strRef>
              <c:f>Presentation!$U$46</c:f>
              <c:strCache>
                <c:ptCount val="1"/>
                <c:pt idx="0">
                  <c:v>CondA [lb]</c:v>
                </c:pt>
              </c:strCache>
            </c:strRef>
          </c:tx>
          <c:xVal>
            <c:strRef>
              <c:f>Presentation!$N$47:$N$52</c:f>
              <c:strCache>
                <c:ptCount val="6"/>
                <c:pt idx="0">
                  <c:v>All Loads</c:v>
                </c:pt>
                <c:pt idx="1">
                  <c:v>0</c:v>
                </c:pt>
                <c:pt idx="2">
                  <c:v>0</c:v>
                </c:pt>
                <c:pt idx="3">
                  <c:v>0</c:v>
                </c:pt>
                <c:pt idx="4">
                  <c:v>0</c:v>
                </c:pt>
                <c:pt idx="5">
                  <c:v>0</c:v>
                </c:pt>
              </c:strCache>
            </c:strRef>
          </c:xVal>
          <c:yVal>
            <c:numRef>
              <c:f>Presentation!$U$47:$U$52</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27B-46C2-BEDD-D957BC2AA38B}"/>
            </c:ext>
          </c:extLst>
        </c:ser>
        <c:ser>
          <c:idx val="1"/>
          <c:order val="1"/>
          <c:tx>
            <c:strRef>
              <c:f>Presentation!$V$46</c:f>
              <c:strCache>
                <c:ptCount val="1"/>
                <c:pt idx="0">
                  <c:v>CondB [lb]</c:v>
                </c:pt>
              </c:strCache>
            </c:strRef>
          </c:tx>
          <c:xVal>
            <c:strRef>
              <c:f>Presentation!$N$47:$N$52</c:f>
              <c:strCache>
                <c:ptCount val="6"/>
                <c:pt idx="0">
                  <c:v>All Loads</c:v>
                </c:pt>
                <c:pt idx="1">
                  <c:v>0</c:v>
                </c:pt>
                <c:pt idx="2">
                  <c:v>0</c:v>
                </c:pt>
                <c:pt idx="3">
                  <c:v>0</c:v>
                </c:pt>
                <c:pt idx="4">
                  <c:v>0</c:v>
                </c:pt>
                <c:pt idx="5">
                  <c:v>0</c:v>
                </c:pt>
              </c:strCache>
            </c:strRef>
          </c:xVal>
          <c:yVal>
            <c:numRef>
              <c:f>Presentation!$V$47:$V$52</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27B-46C2-BEDD-D957BC2AA38B}"/>
            </c:ext>
          </c:extLst>
        </c:ser>
        <c:dLbls>
          <c:showLegendKey val="0"/>
          <c:showVal val="0"/>
          <c:showCatName val="0"/>
          <c:showSerName val="0"/>
          <c:showPercent val="0"/>
          <c:showBubbleSize val="0"/>
        </c:dLbls>
        <c:axId val="124848960"/>
        <c:axId val="124849536"/>
      </c:scatterChart>
      <c:scatterChart>
        <c:scatterStyle val="smoothMarker"/>
        <c:varyColors val="0"/>
        <c:ser>
          <c:idx val="2"/>
          <c:order val="2"/>
          <c:tx>
            <c:strRef>
              <c:f>Presentation!$W$46</c:f>
              <c:strCache>
                <c:ptCount val="1"/>
                <c:pt idx="0">
                  <c:v>ErrorA [lb]</c:v>
                </c:pt>
              </c:strCache>
            </c:strRef>
          </c:tx>
          <c:xVal>
            <c:strRef>
              <c:f>Presentation!$N$47:$N$52</c:f>
              <c:strCache>
                <c:ptCount val="6"/>
                <c:pt idx="0">
                  <c:v>All Loads</c:v>
                </c:pt>
                <c:pt idx="1">
                  <c:v>0</c:v>
                </c:pt>
                <c:pt idx="2">
                  <c:v>0</c:v>
                </c:pt>
                <c:pt idx="3">
                  <c:v>0</c:v>
                </c:pt>
                <c:pt idx="4">
                  <c:v>0</c:v>
                </c:pt>
                <c:pt idx="5">
                  <c:v>0</c:v>
                </c:pt>
              </c:strCache>
            </c:strRef>
          </c:xVal>
          <c:yVal>
            <c:numRef>
              <c:f>Presentation!$W$47:$W$52</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2-D27B-46C2-BEDD-D957BC2AA38B}"/>
            </c:ext>
          </c:extLst>
        </c:ser>
        <c:ser>
          <c:idx val="3"/>
          <c:order val="3"/>
          <c:tx>
            <c:strRef>
              <c:f>Presentation!$X$46</c:f>
              <c:strCache>
                <c:ptCount val="1"/>
                <c:pt idx="0">
                  <c:v>ErrorB [lb]</c:v>
                </c:pt>
              </c:strCache>
            </c:strRef>
          </c:tx>
          <c:xVal>
            <c:strRef>
              <c:f>Presentation!$N$47:$N$52</c:f>
              <c:strCache>
                <c:ptCount val="6"/>
                <c:pt idx="0">
                  <c:v>All Loads</c:v>
                </c:pt>
                <c:pt idx="1">
                  <c:v>0</c:v>
                </c:pt>
                <c:pt idx="2">
                  <c:v>0</c:v>
                </c:pt>
                <c:pt idx="3">
                  <c:v>0</c:v>
                </c:pt>
                <c:pt idx="4">
                  <c:v>0</c:v>
                </c:pt>
                <c:pt idx="5">
                  <c:v>0</c:v>
                </c:pt>
              </c:strCache>
            </c:strRef>
          </c:xVal>
          <c:yVal>
            <c:numRef>
              <c:f>Presentation!$X$47:$X$52</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D27B-46C2-BEDD-D957BC2AA38B}"/>
            </c:ext>
          </c:extLst>
        </c:ser>
        <c:ser>
          <c:idx val="4"/>
          <c:order val="4"/>
          <c:tx>
            <c:strRef>
              <c:f>Presentation!$Z$46</c:f>
              <c:strCache>
                <c:ptCount val="1"/>
                <c:pt idx="0">
                  <c:v>ErrorMax</c:v>
                </c:pt>
              </c:strCache>
            </c:strRef>
          </c:tx>
          <c:spPr>
            <a:ln cap="flat">
              <a:solidFill>
                <a:srgbClr val="FF0000"/>
              </a:solidFill>
              <a:prstDash val="dash"/>
              <a:miter lim="800000"/>
            </a:ln>
          </c:spPr>
          <c:marker>
            <c:symbol val="dash"/>
            <c:size val="3"/>
          </c:marker>
          <c:xVal>
            <c:strRef>
              <c:f>Presentation!$N$47:$N$52</c:f>
              <c:strCache>
                <c:ptCount val="6"/>
                <c:pt idx="0">
                  <c:v>All Loads</c:v>
                </c:pt>
                <c:pt idx="1">
                  <c:v>0</c:v>
                </c:pt>
                <c:pt idx="2">
                  <c:v>0</c:v>
                </c:pt>
                <c:pt idx="3">
                  <c:v>0</c:v>
                </c:pt>
                <c:pt idx="4">
                  <c:v>0</c:v>
                </c:pt>
                <c:pt idx="5">
                  <c:v>0</c:v>
                </c:pt>
              </c:strCache>
            </c:strRef>
          </c:xVal>
          <c:yVal>
            <c:numRef>
              <c:f>Presentation!$Z$47:$Z$52</c:f>
              <c:numCache>
                <c:formatCode>0.0</c:formatCode>
                <c:ptCount val="6"/>
                <c:pt idx="0">
                  <c:v>3.5</c:v>
                </c:pt>
                <c:pt idx="1">
                  <c:v>3.5</c:v>
                </c:pt>
                <c:pt idx="2">
                  <c:v>3.5</c:v>
                </c:pt>
                <c:pt idx="3">
                  <c:v>3.5</c:v>
                </c:pt>
                <c:pt idx="4">
                  <c:v>3.5</c:v>
                </c:pt>
                <c:pt idx="5">
                  <c:v>3.5</c:v>
                </c:pt>
              </c:numCache>
            </c:numRef>
          </c:yVal>
          <c:smooth val="1"/>
          <c:extLst>
            <c:ext xmlns:c16="http://schemas.microsoft.com/office/drawing/2014/chart" uri="{C3380CC4-5D6E-409C-BE32-E72D297353CC}">
              <c16:uniqueId val="{00000004-D27B-46C2-BEDD-D957BC2AA38B}"/>
            </c:ext>
          </c:extLst>
        </c:ser>
        <c:ser>
          <c:idx val="5"/>
          <c:order val="5"/>
          <c:tx>
            <c:strRef>
              <c:f>Presentation!$AA$46</c:f>
              <c:strCache>
                <c:ptCount val="1"/>
                <c:pt idx="0">
                  <c:v>ErrorMin</c:v>
                </c:pt>
              </c:strCache>
            </c:strRef>
          </c:tx>
          <c:spPr>
            <a:ln cap="sq">
              <a:solidFill>
                <a:srgbClr val="FF0000"/>
              </a:solidFill>
              <a:prstDash val="dash"/>
              <a:round/>
            </a:ln>
          </c:spPr>
          <c:marker>
            <c:symbol val="dash"/>
            <c:size val="5"/>
          </c:marker>
          <c:xVal>
            <c:strRef>
              <c:f>Presentation!$N$47:$N$52</c:f>
              <c:strCache>
                <c:ptCount val="6"/>
                <c:pt idx="0">
                  <c:v>All Loads</c:v>
                </c:pt>
                <c:pt idx="1">
                  <c:v>0</c:v>
                </c:pt>
                <c:pt idx="2">
                  <c:v>0</c:v>
                </c:pt>
                <c:pt idx="3">
                  <c:v>0</c:v>
                </c:pt>
                <c:pt idx="4">
                  <c:v>0</c:v>
                </c:pt>
                <c:pt idx="5">
                  <c:v>0</c:v>
                </c:pt>
              </c:strCache>
            </c:strRef>
          </c:xVal>
          <c:yVal>
            <c:numRef>
              <c:f>Presentation!$AA$47:$AA$52</c:f>
              <c:numCache>
                <c:formatCode>0.0</c:formatCode>
                <c:ptCount val="6"/>
                <c:pt idx="0">
                  <c:v>-3.5</c:v>
                </c:pt>
                <c:pt idx="1">
                  <c:v>-3.5</c:v>
                </c:pt>
                <c:pt idx="2">
                  <c:v>-3.5</c:v>
                </c:pt>
                <c:pt idx="3">
                  <c:v>-3.5</c:v>
                </c:pt>
                <c:pt idx="4">
                  <c:v>-3.5</c:v>
                </c:pt>
                <c:pt idx="5">
                  <c:v>-3.5</c:v>
                </c:pt>
              </c:numCache>
            </c:numRef>
          </c:yVal>
          <c:smooth val="1"/>
          <c:extLst>
            <c:ext xmlns:c16="http://schemas.microsoft.com/office/drawing/2014/chart" uri="{C3380CC4-5D6E-409C-BE32-E72D297353CC}">
              <c16:uniqueId val="{00000005-D27B-46C2-BEDD-D957BC2AA38B}"/>
            </c:ext>
          </c:extLst>
        </c:ser>
        <c:dLbls>
          <c:showLegendKey val="0"/>
          <c:showVal val="0"/>
          <c:showCatName val="0"/>
          <c:showSerName val="0"/>
          <c:showPercent val="0"/>
          <c:showBubbleSize val="0"/>
        </c:dLbls>
        <c:axId val="124850688"/>
        <c:axId val="124850112"/>
      </c:scatterChart>
      <c:valAx>
        <c:axId val="124848960"/>
        <c:scaling>
          <c:orientation val="minMax"/>
          <c:max val="45"/>
        </c:scaling>
        <c:delete val="0"/>
        <c:axPos val="b"/>
        <c:numFmt formatCode="General" sourceLinked="1"/>
        <c:majorTickMark val="out"/>
        <c:minorTickMark val="none"/>
        <c:tickLblPos val="nextTo"/>
        <c:crossAx val="124849536"/>
        <c:crosses val="autoZero"/>
        <c:crossBetween val="midCat"/>
        <c:majorUnit val="5"/>
      </c:valAx>
      <c:valAx>
        <c:axId val="124849536"/>
        <c:scaling>
          <c:orientation val="minMax"/>
        </c:scaling>
        <c:delete val="0"/>
        <c:axPos val="l"/>
        <c:majorGridlines/>
        <c:numFmt formatCode="0.0" sourceLinked="0"/>
        <c:majorTickMark val="out"/>
        <c:minorTickMark val="none"/>
        <c:tickLblPos val="nextTo"/>
        <c:crossAx val="124848960"/>
        <c:crossesAt val="1"/>
        <c:crossBetween val="midCat"/>
        <c:majorUnit val="10"/>
      </c:valAx>
      <c:valAx>
        <c:axId val="124850112"/>
        <c:scaling>
          <c:orientation val="minMax"/>
        </c:scaling>
        <c:delete val="0"/>
        <c:axPos val="r"/>
        <c:numFmt formatCode="0.00" sourceLinked="1"/>
        <c:majorTickMark val="out"/>
        <c:minorTickMark val="none"/>
        <c:tickLblPos val="nextTo"/>
        <c:crossAx val="124850688"/>
        <c:crosses val="max"/>
        <c:crossBetween val="midCat"/>
      </c:valAx>
      <c:valAx>
        <c:axId val="124850688"/>
        <c:scaling>
          <c:orientation val="minMax"/>
        </c:scaling>
        <c:delete val="1"/>
        <c:axPos val="b"/>
        <c:numFmt formatCode="General" sourceLinked="1"/>
        <c:majorTickMark val="out"/>
        <c:minorTickMark val="none"/>
        <c:tickLblPos val="nextTo"/>
        <c:crossAx val="124850112"/>
        <c:crosses val="autoZero"/>
        <c:crossBetween val="midCat"/>
      </c:valAx>
    </c:plotArea>
    <c:legend>
      <c:legendPos val="r"/>
      <c:overlay val="0"/>
    </c:legend>
    <c:plotVisOnly val="1"/>
    <c:dispBlanksAs val="gap"/>
    <c:showDLblsOverMax val="0"/>
  </c:chart>
  <c:printSettings>
    <c:headerFooter/>
    <c:pageMargins b="0.750000000000003" l="0.70000000000000095" r="0.70000000000000095" t="0.750000000000003"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Force Detected by Each Sensor for each Load Point of FTS</a:t>
            </a:r>
          </a:p>
        </c:rich>
      </c:tx>
      <c:overlay val="0"/>
    </c:title>
    <c:autoTitleDeleted val="0"/>
    <c:plotArea>
      <c:layout/>
      <c:scatterChart>
        <c:scatterStyle val="lineMarker"/>
        <c:varyColors val="0"/>
        <c:ser>
          <c:idx val="0"/>
          <c:order val="0"/>
          <c:tx>
            <c:strRef>
              <c:f>Presentation!$O$46</c:f>
              <c:strCache>
                <c:ptCount val="1"/>
                <c:pt idx="0">
                  <c:v>S3 [lb]</c:v>
                </c:pt>
              </c:strCache>
            </c:strRef>
          </c:tx>
          <c:xVal>
            <c:strRef>
              <c:f>Presentation!$N$47:$N$52</c:f>
              <c:strCache>
                <c:ptCount val="6"/>
                <c:pt idx="0">
                  <c:v>All Loads</c:v>
                </c:pt>
                <c:pt idx="1">
                  <c:v>0</c:v>
                </c:pt>
                <c:pt idx="2">
                  <c:v>0</c:v>
                </c:pt>
                <c:pt idx="3">
                  <c:v>0</c:v>
                </c:pt>
                <c:pt idx="4">
                  <c:v>0</c:v>
                </c:pt>
                <c:pt idx="5">
                  <c:v>0</c:v>
                </c:pt>
              </c:strCache>
            </c:strRef>
          </c:xVal>
          <c:yVal>
            <c:numRef>
              <c:f>Presentation!$O$47:$O$52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72E-4EAC-BC70-7B2ABD58BA6B}"/>
            </c:ext>
          </c:extLst>
        </c:ser>
        <c:ser>
          <c:idx val="1"/>
          <c:order val="1"/>
          <c:tx>
            <c:strRef>
              <c:f>Presentation!$P$46</c:f>
              <c:strCache>
                <c:ptCount val="1"/>
                <c:pt idx="0">
                  <c:v>S4 [lb]</c:v>
                </c:pt>
              </c:strCache>
            </c:strRef>
          </c:tx>
          <c:xVal>
            <c:strRef>
              <c:f>Presentation!$N$47:$N$52</c:f>
              <c:strCache>
                <c:ptCount val="6"/>
                <c:pt idx="0">
                  <c:v>All Loads</c:v>
                </c:pt>
                <c:pt idx="1">
                  <c:v>0</c:v>
                </c:pt>
                <c:pt idx="2">
                  <c:v>0</c:v>
                </c:pt>
                <c:pt idx="3">
                  <c:v>0</c:v>
                </c:pt>
                <c:pt idx="4">
                  <c:v>0</c:v>
                </c:pt>
                <c:pt idx="5">
                  <c:v>0</c:v>
                </c:pt>
              </c:strCache>
            </c:strRef>
          </c:xVal>
          <c:yVal>
            <c:numRef>
              <c:f>Presentation!$P$47:$P$52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A72E-4EAC-BC70-7B2ABD58BA6B}"/>
            </c:ext>
          </c:extLst>
        </c:ser>
        <c:ser>
          <c:idx val="2"/>
          <c:order val="2"/>
          <c:tx>
            <c:strRef>
              <c:f>Presentation!$Q$46</c:f>
              <c:strCache>
                <c:ptCount val="1"/>
                <c:pt idx="0">
                  <c:v>S5 [lb]</c:v>
                </c:pt>
              </c:strCache>
            </c:strRef>
          </c:tx>
          <c:xVal>
            <c:strRef>
              <c:f>Presentation!$N$47:$N$52</c:f>
              <c:strCache>
                <c:ptCount val="6"/>
                <c:pt idx="0">
                  <c:v>All Loads</c:v>
                </c:pt>
                <c:pt idx="1">
                  <c:v>0</c:v>
                </c:pt>
                <c:pt idx="2">
                  <c:v>0</c:v>
                </c:pt>
                <c:pt idx="3">
                  <c:v>0</c:v>
                </c:pt>
                <c:pt idx="4">
                  <c:v>0</c:v>
                </c:pt>
                <c:pt idx="5">
                  <c:v>0</c:v>
                </c:pt>
              </c:strCache>
            </c:strRef>
          </c:xVal>
          <c:yVal>
            <c:numRef>
              <c:f>Presentation!$Q$47:$Q$52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2-A72E-4EAC-BC70-7B2ABD58BA6B}"/>
            </c:ext>
          </c:extLst>
        </c:ser>
        <c:ser>
          <c:idx val="3"/>
          <c:order val="3"/>
          <c:tx>
            <c:strRef>
              <c:f>Presentation!$R$46</c:f>
              <c:strCache>
                <c:ptCount val="1"/>
                <c:pt idx="0">
                  <c:v>S6 [lb]</c:v>
                </c:pt>
              </c:strCache>
            </c:strRef>
          </c:tx>
          <c:xVal>
            <c:strRef>
              <c:f>Presentation!$N$47:$N$52</c:f>
              <c:strCache>
                <c:ptCount val="6"/>
                <c:pt idx="0">
                  <c:v>All Loads</c:v>
                </c:pt>
                <c:pt idx="1">
                  <c:v>0</c:v>
                </c:pt>
                <c:pt idx="2">
                  <c:v>0</c:v>
                </c:pt>
                <c:pt idx="3">
                  <c:v>0</c:v>
                </c:pt>
                <c:pt idx="4">
                  <c:v>0</c:v>
                </c:pt>
                <c:pt idx="5">
                  <c:v>0</c:v>
                </c:pt>
              </c:strCache>
            </c:strRef>
          </c:xVal>
          <c:yVal>
            <c:numRef>
              <c:f>Presentation!$R$47:$R$52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3-A72E-4EAC-BC70-7B2ABD58BA6B}"/>
            </c:ext>
          </c:extLst>
        </c:ser>
        <c:ser>
          <c:idx val="4"/>
          <c:order val="4"/>
          <c:tx>
            <c:strRef>
              <c:f>Presentation!$S$46</c:f>
              <c:strCache>
                <c:ptCount val="1"/>
                <c:pt idx="0">
                  <c:v>S7 [lb]</c:v>
                </c:pt>
              </c:strCache>
            </c:strRef>
          </c:tx>
          <c:xVal>
            <c:strRef>
              <c:f>Presentation!$N$47:$N$52</c:f>
              <c:strCache>
                <c:ptCount val="6"/>
                <c:pt idx="0">
                  <c:v>All Loads</c:v>
                </c:pt>
                <c:pt idx="1">
                  <c:v>0</c:v>
                </c:pt>
                <c:pt idx="2">
                  <c:v>0</c:v>
                </c:pt>
                <c:pt idx="3">
                  <c:v>0</c:v>
                </c:pt>
                <c:pt idx="4">
                  <c:v>0</c:v>
                </c:pt>
                <c:pt idx="5">
                  <c:v>0</c:v>
                </c:pt>
              </c:strCache>
            </c:strRef>
          </c:xVal>
          <c:yVal>
            <c:numRef>
              <c:f>Presentation!$S$47:$S$52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4-A72E-4EAC-BC70-7B2ABD58BA6B}"/>
            </c:ext>
          </c:extLst>
        </c:ser>
        <c:ser>
          <c:idx val="5"/>
          <c:order val="5"/>
          <c:tx>
            <c:strRef>
              <c:f>Presentation!$T$46</c:f>
              <c:strCache>
                <c:ptCount val="1"/>
                <c:pt idx="0">
                  <c:v>S8 [lb]</c:v>
                </c:pt>
              </c:strCache>
            </c:strRef>
          </c:tx>
          <c:xVal>
            <c:strRef>
              <c:f>Presentation!$N$47:$N$52</c:f>
              <c:strCache>
                <c:ptCount val="6"/>
                <c:pt idx="0">
                  <c:v>All Loads</c:v>
                </c:pt>
                <c:pt idx="1">
                  <c:v>0</c:v>
                </c:pt>
                <c:pt idx="2">
                  <c:v>0</c:v>
                </c:pt>
                <c:pt idx="3">
                  <c:v>0</c:v>
                </c:pt>
                <c:pt idx="4">
                  <c:v>0</c:v>
                </c:pt>
                <c:pt idx="5">
                  <c:v>0</c:v>
                </c:pt>
              </c:strCache>
            </c:strRef>
          </c:xVal>
          <c:yVal>
            <c:numRef>
              <c:f>Presentation!$T$47:$T$52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5-A72E-4EAC-BC70-7B2ABD58BA6B}"/>
            </c:ext>
          </c:extLst>
        </c:ser>
        <c:dLbls>
          <c:showLegendKey val="0"/>
          <c:showVal val="0"/>
          <c:showCatName val="0"/>
          <c:showSerName val="0"/>
          <c:showPercent val="0"/>
          <c:showBubbleSize val="0"/>
        </c:dLbls>
        <c:axId val="124852416"/>
        <c:axId val="124852992"/>
      </c:scatterChart>
      <c:valAx>
        <c:axId val="124852416"/>
        <c:scaling>
          <c:orientation val="minMax"/>
        </c:scaling>
        <c:delete val="0"/>
        <c:axPos val="b"/>
        <c:numFmt formatCode="General" sourceLinked="1"/>
        <c:majorTickMark val="out"/>
        <c:minorTickMark val="none"/>
        <c:tickLblPos val="nextTo"/>
        <c:crossAx val="124852992"/>
        <c:crosses val="autoZero"/>
        <c:crossBetween val="midCat"/>
      </c:valAx>
      <c:valAx>
        <c:axId val="124852992"/>
        <c:scaling>
          <c:orientation val="minMax"/>
        </c:scaling>
        <c:delete val="0"/>
        <c:axPos val="l"/>
        <c:majorGridlines/>
        <c:numFmt formatCode="0.00" sourceLinked="1"/>
        <c:majorTickMark val="out"/>
        <c:minorTickMark val="none"/>
        <c:tickLblPos val="nextTo"/>
        <c:crossAx val="124852416"/>
        <c:crosses val="autoZero"/>
        <c:crossBetween val="midCat"/>
      </c:valAx>
    </c:plotArea>
    <c:legend>
      <c:legendPos val="r"/>
      <c:overlay val="0"/>
    </c:legend>
    <c:plotVisOnly val="1"/>
    <c:dispBlanksAs val="gap"/>
    <c:showDLblsOverMax val="0"/>
  </c:chart>
  <c:printSettings>
    <c:headerFooter/>
    <c:pageMargins b="0.750000000000002" l="0.70000000000000095" r="0.70000000000000095" t="0.750000000000002" header="0.3" footer="0.3"/>
    <c:pageSetup/>
  </c:printSettings>
</c:chartSpace>
</file>

<file path=xl/ctrlProps/ctrlProp1.xml><?xml version="1.0" encoding="utf-8"?>
<formControlPr xmlns="http://schemas.microsoft.com/office/spreadsheetml/2009/9/main" objectType="CheckBox" checked="Checked" fmlaLink="$Q$20" lockText="1"/>
</file>

<file path=xl/ctrlProps/ctrlProp2.xml><?xml version="1.0" encoding="utf-8"?>
<formControlPr xmlns="http://schemas.microsoft.com/office/spreadsheetml/2009/9/main" objectType="CheckBox" checked="Checked" fmlaLink="$Q$21" lockText="1"/>
</file>

<file path=xl/ctrlProps/ctrlProp3.xml><?xml version="1.0" encoding="utf-8"?>
<formControlPr xmlns="http://schemas.microsoft.com/office/spreadsheetml/2009/9/main" objectType="CheckBox" fmlaLink="$Q$22" lockText="1"/>
</file>

<file path=xl/ctrlProps/ctrlProp4.xml><?xml version="1.0" encoding="utf-8"?>
<formControlPr xmlns="http://schemas.microsoft.com/office/spreadsheetml/2009/9/main" objectType="CheckBox" fmlaLink="$Q$23" lockText="1"/>
</file>

<file path=xl/ctrlProps/ctrlProp5.xml><?xml version="1.0" encoding="utf-8"?>
<formControlPr xmlns="http://schemas.microsoft.com/office/spreadsheetml/2009/9/main" objectType="CheckBox" fmlaLink="$Q$24" lockText="1"/>
</file>

<file path=xl/ctrlProps/ctrlProp6.xml><?xml version="1.0" encoding="utf-8"?>
<formControlPr xmlns="http://schemas.microsoft.com/office/spreadsheetml/2009/9/main" objectType="CheckBox" fmlaLink="$Q$25" lockText="1"/>
</file>

<file path=xl/ctrlProps/ctrlProp7.xml><?xml version="1.0" encoding="utf-8"?>
<formControlPr xmlns="http://schemas.microsoft.com/office/spreadsheetml/2009/9/main" objectType="CheckBox" checked="Checked" fmlaLink="$Q$26" lockText="1"/>
</file>

<file path=xl/ctrlProps/ctrlProp8.xml><?xml version="1.0" encoding="utf-8"?>
<formControlPr xmlns="http://schemas.microsoft.com/office/spreadsheetml/2009/9/main" objectType="CheckBox" checked="Checked" fmlaLink="$Q$27" lockText="1"/>
</file>

<file path=xl/ctrlProps/ctrlProp9.xml><?xml version="1.0" encoding="utf-8"?>
<formControlPr xmlns="http://schemas.microsoft.com/office/spreadsheetml/2009/9/main" objectType="CheckBox" checked="Checked" fmlaLink="$Q$28" lockText="1"/>
</file>

<file path=xl/ctrlProps/ctrlProp10.xml><?xml version="1.0" encoding="utf-8"?>
<formControlPr xmlns="http://schemas.microsoft.com/office/spreadsheetml/2009/9/main" objectType="CheckBox" checked="Checked" fmlaLink="$Q$29" lockText="1"/>
</file>

<file path=xl/ctrlProps/ctrlProp11.xml><?xml version="1.0" encoding="utf-8"?>
<formControlPr xmlns="http://schemas.microsoft.com/office/spreadsheetml/2009/9/main" objectType="CheckBox" checked="Checked" fmlaLink="$Q$30" lockText="1"/>
</file>

<file path=xl/ctrlProps/ctrlProp12.xml><?xml version="1.0" encoding="utf-8"?>
<formControlPr xmlns="http://schemas.microsoft.com/office/spreadsheetml/2009/9/main" objectType="CheckBox" checked="Checked" fmlaLink="$Q$31" lockText="1"/>
</file>

<file path=xl/ctrlProps/ctrlProp13.xml><?xml version="1.0" encoding="utf-8"?>
<formControlPr xmlns="http://schemas.microsoft.com/office/spreadsheetml/2009/9/main" objectType="CheckBox" fmlaLink="$Q$32" lockText="1"/>
</file>

<file path=xl/ctrlProps/ctrlProp14.xml><?xml version="1.0" encoding="utf-8"?>
<formControlPr xmlns="http://schemas.microsoft.com/office/spreadsheetml/2009/9/main" objectType="CheckBox" checked="Checked" fmlaLink="$Q$20" lockText="1"/>
</file>

<file path=xl/ctrlProps/ctrlProp15.xml><?xml version="1.0" encoding="utf-8"?>
<formControlPr xmlns="http://schemas.microsoft.com/office/spreadsheetml/2009/9/main" objectType="CheckBox" checked="Checked" fmlaLink="$Q$21" lockText="1"/>
</file>

<file path=xl/ctrlProps/ctrlProp16.xml><?xml version="1.0" encoding="utf-8"?>
<formControlPr xmlns="http://schemas.microsoft.com/office/spreadsheetml/2009/9/main" objectType="CheckBox" fmlaLink="$Q$33" lockText="1"/>
</file>

<file path=xl/ctrlProps/ctrlProp17.xml><?xml version="1.0" encoding="utf-8"?>
<formControlPr xmlns="http://schemas.microsoft.com/office/spreadsheetml/2009/9/main" objectType="CheckBox" checked="Checked" fmlaLink="$Q$20" lockText="1"/>
</file>

<file path=xl/ctrlProps/ctrlProp18.xml><?xml version="1.0" encoding="utf-8"?>
<formControlPr xmlns="http://schemas.microsoft.com/office/spreadsheetml/2009/9/main" objectType="CheckBox" checked="Checked" fmlaLink="$Q$21" lockText="1"/>
</file>

<file path=xl/ctrlProps/ctrlProp19.xml><?xml version="1.0" encoding="utf-8"?>
<formControlPr xmlns="http://schemas.microsoft.com/office/spreadsheetml/2009/9/main" objectType="CheckBox" checked="Checked" fmlaLink="$AG$22" lockText="1"/>
</file>

<file path=xl/ctrlProps/ctrlProp20.xml><?xml version="1.0" encoding="utf-8"?>
<formControlPr xmlns="http://schemas.microsoft.com/office/spreadsheetml/2009/9/main" objectType="CheckBox" checked="Checked" fmlaLink="$AG$23" lockText="1"/>
</file>

<file path=xl/ctrlProps/ctrlProp21.xml><?xml version="1.0" encoding="utf-8"?>
<formControlPr xmlns="http://schemas.microsoft.com/office/spreadsheetml/2009/9/main" objectType="CheckBox" checked="Checked" fmlaLink="$AG$24" lockText="1"/>
</file>

<file path=xl/ctrlProps/ctrlProp22.xml><?xml version="1.0" encoding="utf-8"?>
<formControlPr xmlns="http://schemas.microsoft.com/office/spreadsheetml/2009/9/main" objectType="CheckBox" checked="Checked" fmlaLink="$AG$25" lockText="1"/>
</file>

<file path=xl/ctrlProps/ctrlProp23.xml><?xml version="1.0" encoding="utf-8"?>
<formControlPr xmlns="http://schemas.microsoft.com/office/spreadsheetml/2009/9/main" objectType="CheckBox" checked="Checked" fmlaLink="$AG$26" lockText="1"/>
</file>

<file path=xl/ctrlProps/ctrlProp24.xml><?xml version="1.0" encoding="utf-8"?>
<formControlPr xmlns="http://schemas.microsoft.com/office/spreadsheetml/2009/9/main" objectType="CheckBox" checked="Checked" fmlaLink="$AG$27" lockText="1"/>
</file>

<file path=xl/ctrlProps/ctrlProp25.xml><?xml version="1.0" encoding="utf-8"?>
<formControlPr xmlns="http://schemas.microsoft.com/office/spreadsheetml/2009/9/main" objectType="CheckBox" checked="Checked" fmlaLink="$AG$28" lockText="1"/>
</file>

<file path=xl/ctrlProps/ctrlProp26.xml><?xml version="1.0" encoding="utf-8"?>
<formControlPr xmlns="http://schemas.microsoft.com/office/spreadsheetml/2009/9/main" objectType="CheckBox" checked="Checked" fmlaLink="$AG$29" lockText="1"/>
</file>

<file path=xl/ctrlProps/ctrlProp27.xml><?xml version="1.0" encoding="utf-8"?>
<formControlPr xmlns="http://schemas.microsoft.com/office/spreadsheetml/2009/9/main" objectType="CheckBox" fmlaLink="$AG$30" lockText="1"/>
</file>

<file path=xl/ctrlProps/ctrlProp28.xml><?xml version="1.0" encoding="utf-8"?>
<formControlPr xmlns="http://schemas.microsoft.com/office/spreadsheetml/2009/9/main" objectType="CheckBox" fmlaLink="$AG$31" lockText="1"/>
</file>

<file path=xl/ctrlProps/ctrlProp29.xml><?xml version="1.0" encoding="utf-8"?>
<formControlPr xmlns="http://schemas.microsoft.com/office/spreadsheetml/2009/9/main" objectType="CheckBox" checked="Checked" fmlaLink="$AG$32" lockText="1"/>
</file>

<file path=xl/ctrlProps/ctrlProp30.xml><?xml version="1.0" encoding="utf-8"?>
<formControlPr xmlns="http://schemas.microsoft.com/office/spreadsheetml/2009/9/main" objectType="CheckBox" checked="Checked" fmlaLink="$AG$20" lockText="1"/>
</file>

<file path=xl/ctrlProps/ctrlProp31.xml><?xml version="1.0" encoding="utf-8"?>
<formControlPr xmlns="http://schemas.microsoft.com/office/spreadsheetml/2009/9/main" objectType="CheckBox" checked="Checked" fmlaLink="$AG$21" lockText="1"/>
</file>

<file path=xl/ctrlProps/ctrlProp32.xml><?xml version="1.0" encoding="utf-8"?>
<formControlPr xmlns="http://schemas.microsoft.com/office/spreadsheetml/2009/9/main" objectType="CheckBox" fmlaLink="$AG$33"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19050</xdr:colOff>
      <xdr:row>12</xdr:row>
      <xdr:rowOff>0</xdr:rowOff>
    </xdr:from>
    <xdr:to>
      <xdr:col>9</xdr:col>
      <xdr:colOff>323850</xdr:colOff>
      <xdr:row>26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11</xdr:row>
      <xdr:rowOff>171450</xdr:rowOff>
    </xdr:from>
    <xdr:to>
      <xdr:col>20</xdr:col>
      <xdr:colOff>276225</xdr:colOff>
      <xdr:row>26</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27</xdr:row>
      <xdr:rowOff>0</xdr:rowOff>
    </xdr:from>
    <xdr:to>
      <xdr:col>9</xdr:col>
      <xdr:colOff>304800</xdr:colOff>
      <xdr:row>41</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27</xdr:row>
      <xdr:rowOff>0</xdr:rowOff>
    </xdr:from>
    <xdr:to>
      <xdr:col>20</xdr:col>
      <xdr:colOff>304800</xdr:colOff>
      <xdr:row>41</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346075</xdr:colOff>
      <xdr:row>57</xdr:row>
      <xdr:rowOff>69850</xdr:rowOff>
    </xdr:from>
    <xdr:to>
      <xdr:col>20</xdr:col>
      <xdr:colOff>79375</xdr:colOff>
      <xdr:row>82</xdr:row>
      <xdr:rowOff>19050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561975</xdr:colOff>
      <xdr:row>57</xdr:row>
      <xdr:rowOff>133350</xdr:rowOff>
    </xdr:from>
    <xdr:to>
      <xdr:col>28</xdr:col>
      <xdr:colOff>447675</xdr:colOff>
      <xdr:row>72</xdr:row>
      <xdr:rowOff>19050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18</xdr:row>
          <xdr:rowOff>182880</xdr:rowOff>
        </xdr:from>
        <xdr:to>
          <xdr:col>14</xdr:col>
          <xdr:colOff>411480</xdr:colOff>
          <xdr:row>20</xdr:row>
          <xdr:rowOff>76200</xdr:rowOff>
        </xdr:to>
        <xdr:sp macro="" textlink="">
          <xdr:nvSpPr>
            <xdr:cNvPr id="2049" name="Check Box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182880</xdr:rowOff>
        </xdr:from>
        <xdr:to>
          <xdr:col>14</xdr:col>
          <xdr:colOff>411480</xdr:colOff>
          <xdr:row>21</xdr:row>
          <xdr:rowOff>76200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182880</xdr:rowOff>
        </xdr:from>
        <xdr:to>
          <xdr:col>14</xdr:col>
          <xdr:colOff>411480</xdr:colOff>
          <xdr:row>22</xdr:row>
          <xdr:rowOff>76200</xdr:rowOff>
        </xdr:to>
        <xdr:sp macro="" textlink="">
          <xdr:nvSpPr>
            <xdr:cNvPr id="2051" name="Check Box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xdr:row>
          <xdr:rowOff>182880</xdr:rowOff>
        </xdr:from>
        <xdr:to>
          <xdr:col>14</xdr:col>
          <xdr:colOff>411480</xdr:colOff>
          <xdr:row>23</xdr:row>
          <xdr:rowOff>68580</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182880</xdr:rowOff>
        </xdr:from>
        <xdr:to>
          <xdr:col>14</xdr:col>
          <xdr:colOff>411480</xdr:colOff>
          <xdr:row>24</xdr:row>
          <xdr:rowOff>76200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182880</xdr:rowOff>
        </xdr:from>
        <xdr:to>
          <xdr:col>14</xdr:col>
          <xdr:colOff>411480</xdr:colOff>
          <xdr:row>25</xdr:row>
          <xdr:rowOff>68580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182880</xdr:rowOff>
        </xdr:from>
        <xdr:to>
          <xdr:col>14</xdr:col>
          <xdr:colOff>411480</xdr:colOff>
          <xdr:row>26</xdr:row>
          <xdr:rowOff>68580</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182880</xdr:rowOff>
        </xdr:from>
        <xdr:to>
          <xdr:col>14</xdr:col>
          <xdr:colOff>411480</xdr:colOff>
          <xdr:row>27</xdr:row>
          <xdr:rowOff>68580</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182880</xdr:rowOff>
        </xdr:from>
        <xdr:to>
          <xdr:col>14</xdr:col>
          <xdr:colOff>411480</xdr:colOff>
          <xdr:row>28</xdr:row>
          <xdr:rowOff>68580</xdr:rowOff>
        </xdr:to>
        <xdr:sp macro="" textlink="">
          <xdr:nvSpPr>
            <xdr:cNvPr id="2057" name="Check Box 9" hidden="1">
              <a:extLst>
                <a:ext uri="{63B3BB69-23CF-44E3-9099-C40C66FF867C}">
                  <a14:compatExt spid="_x0000_s205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27</xdr:row>
          <xdr:rowOff>182880</xdr:rowOff>
        </xdr:from>
        <xdr:to>
          <xdr:col>14</xdr:col>
          <xdr:colOff>411480</xdr:colOff>
          <xdr:row>29</xdr:row>
          <xdr:rowOff>60960</xdr:rowOff>
        </xdr:to>
        <xdr:sp macro="" textlink="">
          <xdr:nvSpPr>
            <xdr:cNvPr id="2058" name="Check Box 10" hidden="1">
              <a:extLst>
                <a:ext uri="{63B3BB69-23CF-44E3-9099-C40C66FF867C}">
                  <a14:compatExt spid="_x0000_s205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182880</xdr:rowOff>
        </xdr:from>
        <xdr:to>
          <xdr:col>14</xdr:col>
          <xdr:colOff>411480</xdr:colOff>
          <xdr:row>30</xdr:row>
          <xdr:rowOff>60960</xdr:rowOff>
        </xdr:to>
        <xdr:sp macro="" textlink="">
          <xdr:nvSpPr>
            <xdr:cNvPr id="2059" name="Check Box 11" hidden="1">
              <a:extLst>
                <a:ext uri="{63B3BB69-23CF-44E3-9099-C40C66FF867C}">
                  <a14:compatExt spid="_x0000_s205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182880</xdr:rowOff>
        </xdr:from>
        <xdr:to>
          <xdr:col>14</xdr:col>
          <xdr:colOff>411480</xdr:colOff>
          <xdr:row>31</xdr:row>
          <xdr:rowOff>68580</xdr:rowOff>
        </xdr:to>
        <xdr:sp macro="" textlink="">
          <xdr:nvSpPr>
            <xdr:cNvPr id="2060" name="Check Box 12"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30</xdr:row>
          <xdr:rowOff>182880</xdr:rowOff>
        </xdr:from>
        <xdr:to>
          <xdr:col>14</xdr:col>
          <xdr:colOff>411480</xdr:colOff>
          <xdr:row>32</xdr:row>
          <xdr:rowOff>68580</xdr:rowOff>
        </xdr:to>
        <xdr:sp macro="" textlink="">
          <xdr:nvSpPr>
            <xdr:cNvPr id="2061" name="Check Box 13" hidden="1">
              <a:extLst>
                <a:ext uri="{63B3BB69-23CF-44E3-9099-C40C66FF867C}">
                  <a14:compatExt spid="_x0000_s206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xdr:row>
          <xdr:rowOff>182880</xdr:rowOff>
        </xdr:from>
        <xdr:to>
          <xdr:col>14</xdr:col>
          <xdr:colOff>411480</xdr:colOff>
          <xdr:row>20</xdr:row>
          <xdr:rowOff>76200</xdr:rowOff>
        </xdr:to>
        <xdr:sp macro="" textlink="">
          <xdr:nvSpPr>
            <xdr:cNvPr id="2062" name="Check Box 14" hidden="1">
              <a:extLst>
                <a:ext uri="{63B3BB69-23CF-44E3-9099-C40C66FF867C}">
                  <a14:compatExt spid="_x0000_s206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182880</xdr:rowOff>
        </xdr:from>
        <xdr:to>
          <xdr:col>14</xdr:col>
          <xdr:colOff>411480</xdr:colOff>
          <xdr:row>21</xdr:row>
          <xdr:rowOff>76200</xdr:rowOff>
        </xdr:to>
        <xdr:sp macro="" textlink="">
          <xdr:nvSpPr>
            <xdr:cNvPr id="2063" name="Check Box 15" hidden="1">
              <a:extLst>
                <a:ext uri="{63B3BB69-23CF-44E3-9099-C40C66FF867C}">
                  <a14:compatExt spid="_x0000_s206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182880</xdr:rowOff>
        </xdr:from>
        <xdr:to>
          <xdr:col>14</xdr:col>
          <xdr:colOff>411480</xdr:colOff>
          <xdr:row>33</xdr:row>
          <xdr:rowOff>68580</xdr:rowOff>
        </xdr:to>
        <xdr:sp macro="" textlink="">
          <xdr:nvSpPr>
            <xdr:cNvPr id="2064" name="Check Box 16" hidden="1">
              <a:extLst>
                <a:ext uri="{63B3BB69-23CF-44E3-9099-C40C66FF867C}">
                  <a14:compatExt spid="_x0000_s206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18</xdr:row>
          <xdr:rowOff>182880</xdr:rowOff>
        </xdr:from>
        <xdr:to>
          <xdr:col>30</xdr:col>
          <xdr:colOff>411480</xdr:colOff>
          <xdr:row>20</xdr:row>
          <xdr:rowOff>76200</xdr:rowOff>
        </xdr:to>
        <xdr:sp macro="" textlink="">
          <xdr:nvSpPr>
            <xdr:cNvPr id="2065" name="Check Box 17" hidden="1">
              <a:extLst>
                <a:ext uri="{63B3BB69-23CF-44E3-9099-C40C66FF867C}">
                  <a14:compatExt spid="_x0000_s206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19</xdr:row>
          <xdr:rowOff>182880</xdr:rowOff>
        </xdr:from>
        <xdr:to>
          <xdr:col>30</xdr:col>
          <xdr:colOff>411480</xdr:colOff>
          <xdr:row>21</xdr:row>
          <xdr:rowOff>76200</xdr:rowOff>
        </xdr:to>
        <xdr:sp macro="" textlink="">
          <xdr:nvSpPr>
            <xdr:cNvPr id="2066" name="Check Box 18" hidden="1">
              <a:extLst>
                <a:ext uri="{63B3BB69-23CF-44E3-9099-C40C66FF867C}">
                  <a14:compatExt spid="_x0000_s20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20</xdr:row>
          <xdr:rowOff>182880</xdr:rowOff>
        </xdr:from>
        <xdr:to>
          <xdr:col>30</xdr:col>
          <xdr:colOff>411480</xdr:colOff>
          <xdr:row>22</xdr:row>
          <xdr:rowOff>76200</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21</xdr:row>
          <xdr:rowOff>182880</xdr:rowOff>
        </xdr:from>
        <xdr:to>
          <xdr:col>30</xdr:col>
          <xdr:colOff>411480</xdr:colOff>
          <xdr:row>23</xdr:row>
          <xdr:rowOff>68580</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22</xdr:row>
          <xdr:rowOff>182880</xdr:rowOff>
        </xdr:from>
        <xdr:to>
          <xdr:col>30</xdr:col>
          <xdr:colOff>411480</xdr:colOff>
          <xdr:row>24</xdr:row>
          <xdr:rowOff>76200</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23</xdr:row>
          <xdr:rowOff>182880</xdr:rowOff>
        </xdr:from>
        <xdr:to>
          <xdr:col>30</xdr:col>
          <xdr:colOff>411480</xdr:colOff>
          <xdr:row>25</xdr:row>
          <xdr:rowOff>68580</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24</xdr:row>
          <xdr:rowOff>182880</xdr:rowOff>
        </xdr:from>
        <xdr:to>
          <xdr:col>30</xdr:col>
          <xdr:colOff>411480</xdr:colOff>
          <xdr:row>26</xdr:row>
          <xdr:rowOff>68580</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25</xdr:row>
          <xdr:rowOff>182880</xdr:rowOff>
        </xdr:from>
        <xdr:to>
          <xdr:col>30</xdr:col>
          <xdr:colOff>411480</xdr:colOff>
          <xdr:row>27</xdr:row>
          <xdr:rowOff>68580</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26</xdr:row>
          <xdr:rowOff>182880</xdr:rowOff>
        </xdr:from>
        <xdr:to>
          <xdr:col>30</xdr:col>
          <xdr:colOff>411480</xdr:colOff>
          <xdr:row>28</xdr:row>
          <xdr:rowOff>68580</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27</xdr:row>
          <xdr:rowOff>182880</xdr:rowOff>
        </xdr:from>
        <xdr:to>
          <xdr:col>30</xdr:col>
          <xdr:colOff>411480</xdr:colOff>
          <xdr:row>29</xdr:row>
          <xdr:rowOff>60960</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28</xdr:row>
          <xdr:rowOff>182880</xdr:rowOff>
        </xdr:from>
        <xdr:to>
          <xdr:col>30</xdr:col>
          <xdr:colOff>411480</xdr:colOff>
          <xdr:row>30</xdr:row>
          <xdr:rowOff>60960</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29</xdr:row>
          <xdr:rowOff>182880</xdr:rowOff>
        </xdr:from>
        <xdr:to>
          <xdr:col>30</xdr:col>
          <xdr:colOff>411480</xdr:colOff>
          <xdr:row>31</xdr:row>
          <xdr:rowOff>68580</xdr:rowOff>
        </xdr:to>
        <xdr:sp macro="" textlink="">
          <xdr:nvSpPr>
            <xdr:cNvPr id="2076" name="Check Box 28" hidden="1">
              <a:extLst>
                <a:ext uri="{63B3BB69-23CF-44E3-9099-C40C66FF867C}">
                  <a14:compatExt spid="_x0000_s207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30</xdr:row>
          <xdr:rowOff>182880</xdr:rowOff>
        </xdr:from>
        <xdr:to>
          <xdr:col>30</xdr:col>
          <xdr:colOff>411480</xdr:colOff>
          <xdr:row>32</xdr:row>
          <xdr:rowOff>68580</xdr:rowOff>
        </xdr:to>
        <xdr:sp macro="" textlink="">
          <xdr:nvSpPr>
            <xdr:cNvPr id="2077" name="Check Box 29" hidden="1">
              <a:extLst>
                <a:ext uri="{63B3BB69-23CF-44E3-9099-C40C66FF867C}">
                  <a14:compatExt spid="_x0000_s2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18</xdr:row>
          <xdr:rowOff>182880</xdr:rowOff>
        </xdr:from>
        <xdr:to>
          <xdr:col>30</xdr:col>
          <xdr:colOff>411480</xdr:colOff>
          <xdr:row>20</xdr:row>
          <xdr:rowOff>76200</xdr:rowOff>
        </xdr:to>
        <xdr:sp macro="" textlink="">
          <xdr:nvSpPr>
            <xdr:cNvPr id="2078" name="Check Box 30" hidden="1">
              <a:extLst>
                <a:ext uri="{63B3BB69-23CF-44E3-9099-C40C66FF867C}">
                  <a14:compatExt spid="_x0000_s2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19</xdr:row>
          <xdr:rowOff>182880</xdr:rowOff>
        </xdr:from>
        <xdr:to>
          <xdr:col>30</xdr:col>
          <xdr:colOff>411480</xdr:colOff>
          <xdr:row>21</xdr:row>
          <xdr:rowOff>76200</xdr:rowOff>
        </xdr:to>
        <xdr:sp macro="" textlink="">
          <xdr:nvSpPr>
            <xdr:cNvPr id="2079" name="Check Box 31" hidden="1">
              <a:extLst>
                <a:ext uri="{63B3BB69-23CF-44E3-9099-C40C66FF867C}">
                  <a14:compatExt spid="_x0000_s2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31</xdr:row>
          <xdr:rowOff>182880</xdr:rowOff>
        </xdr:from>
        <xdr:to>
          <xdr:col>30</xdr:col>
          <xdr:colOff>411480</xdr:colOff>
          <xdr:row>33</xdr:row>
          <xdr:rowOff>68580</xdr:rowOff>
        </xdr:to>
        <xdr:sp macro="" textlink="">
          <xdr:nvSpPr>
            <xdr:cNvPr id="2080" name="Check Box 32" hidden="1">
              <a:extLst>
                <a:ext uri="{63B3BB69-23CF-44E3-9099-C40C66FF867C}">
                  <a14:compatExt spid="_x0000_s2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8"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1"/>
  <sheetViews>
    <sheetView showWhiteSpace="0" topLeftCell="A24" zoomScale="125" zoomScaleNormal="125" zoomScaleSheetLayoutView="85" zoomScalePageLayoutView="125" workbookViewId="0">
      <selection activeCell="D26" sqref="D26:G26"/>
    </sheetView>
  </sheetViews>
  <sheetFormatPr defaultColWidth="8.5546875" defaultRowHeight="14.4" x14ac:dyDescent="0.3"/>
  <cols>
    <col min="1" max="2" width="7.5546875" style="2" customWidth="1"/>
    <col min="3" max="3" width="8.5546875" style="2"/>
    <col min="4" max="4" width="9.44140625" style="2" bestFit="1" customWidth="1"/>
    <col min="5" max="6" width="8.5546875" style="2"/>
    <col min="7" max="7" width="37" style="2" customWidth="1"/>
    <col min="8" max="8" width="14.44140625" style="2" customWidth="1"/>
    <col min="9" max="9" width="18.44140625" style="2" customWidth="1"/>
    <col min="10" max="10" width="11.5546875" style="2" customWidth="1"/>
    <col min="11" max="11" width="5.44140625" style="2" customWidth="1"/>
    <col min="12" max="12" width="4" style="2" bestFit="1" customWidth="1"/>
    <col min="13" max="13" width="29" style="18" bestFit="1" customWidth="1"/>
    <col min="14" max="14" width="59.5546875" style="2" bestFit="1" customWidth="1"/>
    <col min="15" max="15" width="15.44140625" style="2" bestFit="1" customWidth="1"/>
    <col min="16" max="17" width="27.44140625" style="2" bestFit="1" customWidth="1"/>
    <col min="18" max="18" width="19" style="2" bestFit="1" customWidth="1"/>
    <col min="19" max="19" width="30.44140625" style="2" bestFit="1" customWidth="1"/>
    <col min="20" max="16384" width="8.5546875" style="2"/>
  </cols>
  <sheetData>
    <row r="1" spans="1:13" x14ac:dyDescent="0.3">
      <c r="A1" s="372"/>
      <c r="B1" s="373"/>
      <c r="C1" s="372"/>
      <c r="D1" s="1" t="s">
        <v>0</v>
      </c>
      <c r="E1" s="374" t="s">
        <v>12</v>
      </c>
      <c r="F1" s="374"/>
      <c r="G1" s="374"/>
      <c r="H1" s="374"/>
      <c r="I1" s="374"/>
      <c r="J1" s="374"/>
      <c r="M1" s="2"/>
    </row>
    <row r="2" spans="1:13" x14ac:dyDescent="0.3">
      <c r="A2" s="372"/>
      <c r="B2" s="373"/>
      <c r="C2" s="372"/>
      <c r="D2" s="1" t="s">
        <v>1</v>
      </c>
      <c r="E2" s="374" t="s">
        <v>13</v>
      </c>
      <c r="F2" s="374"/>
      <c r="G2" s="374"/>
      <c r="H2" s="374"/>
      <c r="I2" s="374"/>
      <c r="J2" s="374"/>
      <c r="M2" s="2"/>
    </row>
    <row r="3" spans="1:13" x14ac:dyDescent="0.3">
      <c r="A3" s="372"/>
      <c r="B3" s="373"/>
      <c r="C3" s="372"/>
      <c r="D3" s="1" t="s">
        <v>2</v>
      </c>
      <c r="E3" s="374">
        <v>13</v>
      </c>
      <c r="F3" s="374"/>
      <c r="G3" s="374"/>
      <c r="H3" s="374"/>
      <c r="I3" s="374"/>
      <c r="J3" s="374"/>
      <c r="M3" s="2"/>
    </row>
    <row r="4" spans="1:13" x14ac:dyDescent="0.3">
      <c r="M4" s="2"/>
    </row>
    <row r="5" spans="1:13" ht="21.6" customHeight="1" x14ac:dyDescent="0.3">
      <c r="A5" s="3" t="s">
        <v>3</v>
      </c>
      <c r="B5" s="155"/>
      <c r="C5" s="4"/>
      <c r="D5" s="4"/>
      <c r="E5" s="4"/>
      <c r="F5" s="4"/>
      <c r="G5" s="4"/>
      <c r="H5" s="4"/>
      <c r="I5" s="4"/>
      <c r="J5" s="5"/>
      <c r="M5" s="2"/>
    </row>
    <row r="6" spans="1:13" ht="129.75" customHeight="1" x14ac:dyDescent="0.3">
      <c r="A6" s="375" t="s">
        <v>615</v>
      </c>
      <c r="B6" s="376"/>
      <c r="C6" s="377"/>
      <c r="D6" s="377"/>
      <c r="E6" s="377"/>
      <c r="F6" s="377"/>
      <c r="G6" s="377"/>
      <c r="H6" s="377"/>
      <c r="I6" s="377"/>
      <c r="J6" s="378"/>
      <c r="M6" s="2"/>
    </row>
    <row r="7" spans="1:13" ht="21.6" customHeight="1" x14ac:dyDescent="0.3">
      <c r="A7" s="6"/>
      <c r="B7" s="6"/>
      <c r="C7" s="6"/>
      <c r="D7" s="6"/>
      <c r="E7" s="6"/>
      <c r="F7" s="6"/>
      <c r="G7" s="6"/>
      <c r="H7" s="6"/>
      <c r="I7" s="6"/>
      <c r="J7" s="6"/>
      <c r="M7" s="2"/>
    </row>
    <row r="8" spans="1:13" ht="21.6" customHeight="1" x14ac:dyDescent="0.3">
      <c r="A8" s="7"/>
      <c r="B8" s="7"/>
      <c r="C8" s="7"/>
      <c r="D8" s="7"/>
      <c r="E8" s="7"/>
      <c r="F8" s="7"/>
      <c r="G8" s="7"/>
      <c r="H8" s="7"/>
      <c r="I8" s="7"/>
      <c r="J8" s="7"/>
      <c r="M8" s="2"/>
    </row>
    <row r="9" spans="1:13" ht="21.6" customHeight="1" x14ac:dyDescent="0.3">
      <c r="A9" s="3" t="s">
        <v>4</v>
      </c>
      <c r="B9" s="155"/>
      <c r="C9" s="8"/>
      <c r="D9" s="8"/>
      <c r="E9" s="8"/>
      <c r="F9" s="8"/>
      <c r="G9" s="8"/>
      <c r="H9" s="8"/>
      <c r="I9" s="9"/>
      <c r="M9" s="2"/>
    </row>
    <row r="10" spans="1:13" ht="45" customHeight="1" x14ac:dyDescent="0.3">
      <c r="A10" s="10" t="s">
        <v>5</v>
      </c>
      <c r="B10" s="156" t="s">
        <v>553</v>
      </c>
      <c r="C10" s="10" t="s">
        <v>6</v>
      </c>
      <c r="D10" s="379" t="s">
        <v>7</v>
      </c>
      <c r="E10" s="380"/>
      <c r="F10" s="380"/>
      <c r="G10" s="381"/>
      <c r="H10" s="10" t="s">
        <v>8</v>
      </c>
      <c r="I10" s="10" t="s">
        <v>9</v>
      </c>
      <c r="L10" s="11"/>
      <c r="M10" s="12"/>
    </row>
    <row r="11" spans="1:13" ht="31.5" customHeight="1" x14ac:dyDescent="0.3">
      <c r="A11" s="19" t="s">
        <v>518</v>
      </c>
      <c r="B11" s="157"/>
      <c r="C11" s="19" t="s">
        <v>11</v>
      </c>
      <c r="D11" s="363" t="s">
        <v>522</v>
      </c>
      <c r="E11" s="364"/>
      <c r="F11" s="364"/>
      <c r="G11" s="365"/>
      <c r="H11" s="19" t="s">
        <v>10</v>
      </c>
      <c r="I11" s="14">
        <v>41645</v>
      </c>
      <c r="L11" s="11"/>
      <c r="M11" s="12"/>
    </row>
    <row r="12" spans="1:13" ht="31.5" customHeight="1" x14ac:dyDescent="0.3">
      <c r="A12" s="19" t="s">
        <v>523</v>
      </c>
      <c r="B12" s="157"/>
      <c r="C12" s="19" t="s">
        <v>11</v>
      </c>
      <c r="D12" s="363" t="s">
        <v>524</v>
      </c>
      <c r="E12" s="364"/>
      <c r="F12" s="364"/>
      <c r="G12" s="365"/>
      <c r="H12" s="19" t="s">
        <v>10</v>
      </c>
      <c r="I12" s="14">
        <v>41647</v>
      </c>
      <c r="L12" s="11"/>
      <c r="M12" s="12"/>
    </row>
    <row r="13" spans="1:13" ht="31.5" customHeight="1" x14ac:dyDescent="0.3">
      <c r="A13" s="100" t="s">
        <v>525</v>
      </c>
      <c r="B13" s="100"/>
      <c r="C13" s="19" t="s">
        <v>11</v>
      </c>
      <c r="D13" s="363" t="s">
        <v>526</v>
      </c>
      <c r="E13" s="364"/>
      <c r="F13" s="364"/>
      <c r="G13" s="365"/>
      <c r="H13" s="19" t="s">
        <v>10</v>
      </c>
      <c r="I13" s="15">
        <v>41652</v>
      </c>
      <c r="L13" s="11"/>
      <c r="M13" s="12"/>
    </row>
    <row r="14" spans="1:13" ht="31.5" customHeight="1" x14ac:dyDescent="0.3">
      <c r="A14" s="19" t="s">
        <v>527</v>
      </c>
      <c r="B14" s="157"/>
      <c r="C14" s="19" t="s">
        <v>11</v>
      </c>
      <c r="D14" s="363" t="s">
        <v>528</v>
      </c>
      <c r="E14" s="364"/>
      <c r="F14" s="364"/>
      <c r="G14" s="365"/>
      <c r="H14" s="19" t="s">
        <v>10</v>
      </c>
      <c r="I14" s="14">
        <v>41656</v>
      </c>
      <c r="L14" s="11"/>
      <c r="M14" s="12"/>
    </row>
    <row r="15" spans="1:13" ht="31.5" customHeight="1" x14ac:dyDescent="0.3">
      <c r="A15" s="19" t="s">
        <v>531</v>
      </c>
      <c r="B15" s="157"/>
      <c r="C15" s="19" t="s">
        <v>11</v>
      </c>
      <c r="D15" s="363" t="s">
        <v>541</v>
      </c>
      <c r="E15" s="364"/>
      <c r="F15" s="364"/>
      <c r="G15" s="365"/>
      <c r="H15" s="19" t="s">
        <v>10</v>
      </c>
      <c r="I15" s="118">
        <v>41661</v>
      </c>
      <c r="M15" s="2"/>
    </row>
    <row r="16" spans="1:13" ht="48.75" customHeight="1" x14ac:dyDescent="0.3">
      <c r="A16" s="19">
        <v>4</v>
      </c>
      <c r="B16" s="157" t="s">
        <v>551</v>
      </c>
      <c r="C16" s="19" t="s">
        <v>11</v>
      </c>
      <c r="D16" s="363" t="s">
        <v>550</v>
      </c>
      <c r="E16" s="364"/>
      <c r="F16" s="364"/>
      <c r="G16" s="365"/>
      <c r="H16" s="19" t="s">
        <v>10</v>
      </c>
      <c r="I16" s="118">
        <v>41676</v>
      </c>
      <c r="M16" s="2"/>
    </row>
    <row r="17" spans="1:13" ht="31.5" customHeight="1" x14ac:dyDescent="0.3">
      <c r="A17" s="19">
        <v>5</v>
      </c>
      <c r="B17" s="157" t="s">
        <v>552</v>
      </c>
      <c r="C17" s="19"/>
      <c r="D17" s="363" t="s">
        <v>554</v>
      </c>
      <c r="E17" s="364"/>
      <c r="F17" s="364"/>
      <c r="G17" s="365"/>
      <c r="H17" s="19" t="s">
        <v>555</v>
      </c>
      <c r="I17" s="14">
        <v>41690</v>
      </c>
      <c r="M17" s="2"/>
    </row>
    <row r="18" spans="1:13" ht="201.75" customHeight="1" x14ac:dyDescent="0.3">
      <c r="A18" s="19">
        <v>6</v>
      </c>
      <c r="B18" s="157" t="s">
        <v>511</v>
      </c>
      <c r="C18" s="19"/>
      <c r="D18" s="363" t="s">
        <v>589</v>
      </c>
      <c r="E18" s="364"/>
      <c r="F18" s="364"/>
      <c r="G18" s="365"/>
      <c r="H18" s="19" t="s">
        <v>588</v>
      </c>
      <c r="I18" s="14">
        <v>41852</v>
      </c>
      <c r="M18" s="2"/>
    </row>
    <row r="19" spans="1:13" ht="38.1" customHeight="1" x14ac:dyDescent="0.3">
      <c r="A19" s="201">
        <v>7</v>
      </c>
      <c r="B19" s="202" t="s">
        <v>590</v>
      </c>
      <c r="C19" s="202"/>
      <c r="D19" s="369" t="s">
        <v>612</v>
      </c>
      <c r="E19" s="370"/>
      <c r="F19" s="370"/>
      <c r="G19" s="371"/>
      <c r="H19" s="202" t="s">
        <v>555</v>
      </c>
      <c r="I19" s="203">
        <v>41922</v>
      </c>
      <c r="M19" s="2"/>
    </row>
    <row r="20" spans="1:13" ht="134.25" customHeight="1" x14ac:dyDescent="0.3">
      <c r="A20" s="19">
        <v>8</v>
      </c>
      <c r="B20" s="157" t="s">
        <v>613</v>
      </c>
      <c r="C20" s="19"/>
      <c r="D20" s="363" t="s">
        <v>614</v>
      </c>
      <c r="E20" s="364"/>
      <c r="F20" s="364"/>
      <c r="G20" s="365"/>
      <c r="H20" s="19" t="s">
        <v>555</v>
      </c>
      <c r="I20" s="14">
        <v>41929</v>
      </c>
      <c r="M20" s="2"/>
    </row>
    <row r="21" spans="1:13" ht="216.6" customHeight="1" x14ac:dyDescent="0.3">
      <c r="A21" s="19">
        <v>9</v>
      </c>
      <c r="B21" s="157" t="s">
        <v>616</v>
      </c>
      <c r="C21" s="19"/>
      <c r="D21" s="363" t="s">
        <v>647</v>
      </c>
      <c r="E21" s="364"/>
      <c r="F21" s="364"/>
      <c r="G21" s="365"/>
      <c r="H21" s="19" t="s">
        <v>588</v>
      </c>
      <c r="I21" s="14">
        <v>42118</v>
      </c>
      <c r="M21" s="2"/>
    </row>
    <row r="22" spans="1:13" ht="117.75" customHeight="1" x14ac:dyDescent="0.3">
      <c r="A22" s="19">
        <v>10</v>
      </c>
      <c r="B22" s="157" t="s">
        <v>512</v>
      </c>
      <c r="C22" s="19"/>
      <c r="D22" s="363" t="s">
        <v>658</v>
      </c>
      <c r="E22" s="364"/>
      <c r="F22" s="364"/>
      <c r="G22" s="365"/>
      <c r="H22" s="19" t="s">
        <v>555</v>
      </c>
      <c r="I22" s="14">
        <v>42178</v>
      </c>
      <c r="M22" s="2"/>
    </row>
    <row r="23" spans="1:13" ht="345" customHeight="1" x14ac:dyDescent="0.3">
      <c r="A23" s="259">
        <v>11</v>
      </c>
      <c r="B23" s="260" t="s">
        <v>659</v>
      </c>
      <c r="C23" s="259"/>
      <c r="D23" s="366" t="s">
        <v>682</v>
      </c>
      <c r="E23" s="367"/>
      <c r="F23" s="367"/>
      <c r="G23" s="368"/>
      <c r="H23" s="260" t="s">
        <v>555</v>
      </c>
      <c r="I23" s="261">
        <v>42514</v>
      </c>
      <c r="M23" s="2"/>
    </row>
    <row r="24" spans="1:13" ht="66.75" customHeight="1" x14ac:dyDescent="0.3">
      <c r="A24" s="16">
        <v>12</v>
      </c>
      <c r="B24" s="285" t="s">
        <v>683</v>
      </c>
      <c r="C24" s="19" t="s">
        <v>11</v>
      </c>
      <c r="D24" s="363" t="s">
        <v>684</v>
      </c>
      <c r="E24" s="364"/>
      <c r="F24" s="364"/>
      <c r="G24" s="365"/>
      <c r="H24" s="19" t="s">
        <v>555</v>
      </c>
      <c r="I24" s="14">
        <v>42537</v>
      </c>
      <c r="M24" s="2"/>
    </row>
    <row r="25" spans="1:13" ht="69" customHeight="1" x14ac:dyDescent="0.3">
      <c r="A25" s="13">
        <v>13</v>
      </c>
      <c r="B25" s="157" t="s">
        <v>685</v>
      </c>
      <c r="C25" s="13"/>
      <c r="D25" s="363" t="s">
        <v>706</v>
      </c>
      <c r="E25" s="364"/>
      <c r="F25" s="364"/>
      <c r="G25" s="365"/>
      <c r="H25" s="19" t="s">
        <v>686</v>
      </c>
      <c r="I25" s="17">
        <v>42571</v>
      </c>
      <c r="M25" s="2"/>
    </row>
    <row r="26" spans="1:13" ht="188.4" customHeight="1" x14ac:dyDescent="0.3">
      <c r="A26" s="13">
        <v>14</v>
      </c>
      <c r="B26" s="157" t="s">
        <v>750</v>
      </c>
      <c r="C26" s="13"/>
      <c r="D26" s="363" t="s">
        <v>751</v>
      </c>
      <c r="E26" s="364"/>
      <c r="F26" s="364"/>
      <c r="G26" s="365"/>
      <c r="H26" s="19" t="s">
        <v>686</v>
      </c>
      <c r="I26" s="17">
        <v>42583</v>
      </c>
      <c r="M26" s="2"/>
    </row>
    <row r="27" spans="1:13" x14ac:dyDescent="0.3">
      <c r="G27" s="282"/>
      <c r="M27" s="2"/>
    </row>
    <row r="28" spans="1:13" x14ac:dyDescent="0.3">
      <c r="M28" s="2"/>
    </row>
    <row r="29" spans="1:13" x14ac:dyDescent="0.3">
      <c r="M29" s="2"/>
    </row>
    <row r="30" spans="1:13" x14ac:dyDescent="0.3">
      <c r="M30" s="2"/>
    </row>
    <row r="31" spans="1:13" x14ac:dyDescent="0.3">
      <c r="M31" s="2"/>
    </row>
  </sheetData>
  <mergeCells count="22">
    <mergeCell ref="D16:G16"/>
    <mergeCell ref="A1:C3"/>
    <mergeCell ref="E1:J1"/>
    <mergeCell ref="E2:J2"/>
    <mergeCell ref="E3:J3"/>
    <mergeCell ref="A6:J6"/>
    <mergeCell ref="D10:G10"/>
    <mergeCell ref="D11:G11"/>
    <mergeCell ref="D12:G12"/>
    <mergeCell ref="D13:G13"/>
    <mergeCell ref="D14:G14"/>
    <mergeCell ref="D15:G15"/>
    <mergeCell ref="D24:G24"/>
    <mergeCell ref="D25:G25"/>
    <mergeCell ref="D26:G26"/>
    <mergeCell ref="D17:G17"/>
    <mergeCell ref="D18:G18"/>
    <mergeCell ref="D20:G20"/>
    <mergeCell ref="D21:G21"/>
    <mergeCell ref="D22:G22"/>
    <mergeCell ref="D23:G23"/>
    <mergeCell ref="D19:G19"/>
  </mergeCells>
  <pageMargins left="0.7" right="0.65625" top="0.75" bottom="0.75" header="0.3" footer="0.3"/>
  <pageSetup scale="83" orientation="portrait" horizontalDpi="1200" verticalDpi="1200"/>
  <headerFooter>
    <oddFooter>&amp;L&amp;8&amp;F&amp;CConfidential Information&amp;RPage &amp;P of &amp;N</oddFooter>
  </headerFooter>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D52"/>
  <sheetViews>
    <sheetView topLeftCell="I34" workbookViewId="0">
      <selection activeCell="K78" sqref="K78"/>
    </sheetView>
  </sheetViews>
  <sheetFormatPr defaultColWidth="8.5546875" defaultRowHeight="14.4" x14ac:dyDescent="0.3"/>
  <cols>
    <col min="17" max="17" width="15.5546875" bestFit="1" customWidth="1"/>
    <col min="18" max="19" width="11.44140625" customWidth="1"/>
    <col min="23" max="23" width="10.109375" bestFit="1" customWidth="1"/>
    <col min="24" max="24" width="10" bestFit="1" customWidth="1"/>
    <col min="29" max="29" width="16.44140625" customWidth="1"/>
    <col min="30" max="30" width="17.44140625" customWidth="1"/>
  </cols>
  <sheetData>
    <row r="1" spans="2:30" ht="15" thickBot="1" x14ac:dyDescent="0.35">
      <c r="R1" s="385" t="s">
        <v>603</v>
      </c>
      <c r="S1" s="385"/>
      <c r="AC1" s="382" t="s">
        <v>662</v>
      </c>
      <c r="AD1" s="383"/>
    </row>
    <row r="2" spans="2:30" ht="16.2" thickBot="1" x14ac:dyDescent="0.35">
      <c r="Q2" s="387" t="s">
        <v>602</v>
      </c>
      <c r="R2" s="388"/>
      <c r="S2" s="389" t="s">
        <v>601</v>
      </c>
      <c r="T2" s="390"/>
      <c r="W2" s="101" t="s">
        <v>199</v>
      </c>
      <c r="X2" s="101" t="s">
        <v>200</v>
      </c>
      <c r="Z2" s="386" t="s">
        <v>600</v>
      </c>
      <c r="AA2" s="386"/>
      <c r="AC2" s="264" t="s">
        <v>660</v>
      </c>
      <c r="AD2" s="265" t="s">
        <v>661</v>
      </c>
    </row>
    <row r="3" spans="2:30" s="135" customFormat="1" ht="31.8" thickBot="1" x14ac:dyDescent="0.65">
      <c r="B3" s="135" t="s">
        <v>519</v>
      </c>
      <c r="N3" s="135" t="s">
        <v>520</v>
      </c>
      <c r="Q3" s="195" t="e">
        <f>IF(('1204-Scale-Volt-Accel'!J137=0), Presentation!Z3, Presentation!AA3)</f>
        <v>#DIV/0!</v>
      </c>
      <c r="R3" s="198" t="e">
        <f>'1204-Scale-Volt-Accel'!J137</f>
        <v>#DIV/0!</v>
      </c>
      <c r="S3" s="197">
        <f>'1204-Scale-Volt-Accel'!R171</f>
        <v>43</v>
      </c>
      <c r="T3" s="197" t="str">
        <f>IF(('1204-Scale-Volt-Accel'!R171=0), Presentation!Z3, Presentation!AA3)</f>
        <v>FAIL</v>
      </c>
      <c r="W3" s="200" t="e">
        <f>'1204-Scale-Volt-Accel'!E137</f>
        <v>#DIV/0!</v>
      </c>
      <c r="X3" s="200" t="e">
        <f>'1204-Scale-Volt-Accel'!G137</f>
        <v>#DIV/0!</v>
      </c>
      <c r="Z3" s="194" t="s">
        <v>598</v>
      </c>
      <c r="AA3" s="194" t="s">
        <v>599</v>
      </c>
      <c r="AC3" s="266">
        <v>41721</v>
      </c>
      <c r="AD3" s="267">
        <v>0.56457175925925929</v>
      </c>
    </row>
    <row r="5" spans="2:30" s="131" customFormat="1" x14ac:dyDescent="0.3">
      <c r="B5" s="137" t="str">
        <f>'1010-Scales'!B140</f>
        <v>F/Cond [lb]</v>
      </c>
      <c r="C5" s="137" t="str">
        <f>'1010-Scales'!C140</f>
        <v>S3 [lb]</v>
      </c>
      <c r="D5" s="137" t="str">
        <f>'1010-Scales'!D140</f>
        <v>S4 [lb]</v>
      </c>
      <c r="E5" s="137" t="str">
        <f>'1010-Scales'!E140</f>
        <v>S5 [lb]</v>
      </c>
      <c r="F5" s="137" t="str">
        <f>'1010-Scales'!F140</f>
        <v>S6 [lb]</v>
      </c>
      <c r="G5" s="137" t="str">
        <f>'1010-Scales'!G140</f>
        <v>S7 [lb]</v>
      </c>
      <c r="H5" s="137" t="str">
        <f>'1010-Scales'!H140</f>
        <v>S8 [lb]</v>
      </c>
      <c r="I5" s="137" t="str">
        <f>'1010-Scales'!I140</f>
        <v>CondA [lb]</v>
      </c>
      <c r="J5" s="137" t="str">
        <f>'1010-Scales'!J140</f>
        <v>CondB [lb]</v>
      </c>
      <c r="K5" s="137" t="str">
        <f>'1010-Scales'!K140</f>
        <v>ErrorA [lb]</v>
      </c>
      <c r="L5" s="137" t="str">
        <f>'1010-Scales'!L140</f>
        <v>ErrorB [lb]</v>
      </c>
      <c r="N5" s="137" t="str">
        <f>'1204-Scale-Volt-Accel'!B140</f>
        <v>F/Cond [lb]</v>
      </c>
      <c r="O5" s="137" t="str">
        <f>'1204-Scale-Volt-Accel'!C140</f>
        <v>S2 [lb]</v>
      </c>
      <c r="P5" s="137" t="str">
        <f>'1204-Scale-Volt-Accel'!D140</f>
        <v>S3 [lb]</v>
      </c>
      <c r="Q5" s="137" t="str">
        <f>'1204-Scale-Volt-Accel'!E140</f>
        <v>S4 [lb]</v>
      </c>
      <c r="R5" s="137" t="str">
        <f>'1204-Scale-Volt-Accel'!F140</f>
        <v>S5 [lb]</v>
      </c>
      <c r="S5" s="137" t="str">
        <f>'1204-Scale-Volt-Accel'!G140</f>
        <v>S6 [lb]</v>
      </c>
      <c r="T5" s="137" t="str">
        <f>'1204-Scale-Volt-Accel'!H140</f>
        <v>S7 [lb]</v>
      </c>
      <c r="U5" s="137" t="str">
        <f>'1204-Scale-Volt-Accel'!I140</f>
        <v>CondA [lb]</v>
      </c>
      <c r="V5" s="137" t="str">
        <f>'1204-Scale-Volt-Accel'!J140</f>
        <v>CondB [lb]</v>
      </c>
      <c r="W5" s="137" t="str">
        <f>'1204-Scale-Volt-Accel'!K140</f>
        <v>ErrorA [lb]</v>
      </c>
      <c r="X5" s="137" t="str">
        <f>'1204-Scale-Volt-Accel'!L140</f>
        <v>ErrorB [lb]</v>
      </c>
      <c r="Z5" s="137" t="s">
        <v>529</v>
      </c>
      <c r="AA5" s="137" t="s">
        <v>530</v>
      </c>
    </row>
    <row r="6" spans="2:30" x14ac:dyDescent="0.3">
      <c r="B6" s="136">
        <f>'1010-Scales'!B141</f>
        <v>0</v>
      </c>
      <c r="C6" s="138">
        <f ca="1">'1010-Scales'!C141</f>
        <v>0</v>
      </c>
      <c r="D6" s="138">
        <f ca="1">'1010-Scales'!D141</f>
        <v>0</v>
      </c>
      <c r="E6" s="138">
        <f ca="1">'1010-Scales'!E141</f>
        <v>0</v>
      </c>
      <c r="F6" s="138">
        <f ca="1">'1010-Scales'!F141</f>
        <v>0</v>
      </c>
      <c r="G6" s="138">
        <f ca="1">'1010-Scales'!G141</f>
        <v>0</v>
      </c>
      <c r="H6" s="138">
        <f ca="1">'1010-Scales'!H141</f>
        <v>0</v>
      </c>
      <c r="I6" s="138">
        <f ca="1">'1010-Scales'!I141</f>
        <v>0</v>
      </c>
      <c r="J6" s="138">
        <f ca="1">'1010-Scales'!J141</f>
        <v>0</v>
      </c>
      <c r="K6" s="138">
        <f ca="1">'1010-Scales'!K141</f>
        <v>0</v>
      </c>
      <c r="L6" s="138">
        <f ca="1">'1010-Scales'!L141</f>
        <v>0</v>
      </c>
      <c r="N6" s="136">
        <f>'1204-Scale-Volt-Accel'!B141</f>
        <v>0</v>
      </c>
      <c r="O6" s="138" t="e">
        <f>'1204-Scale-Volt-Accel'!C141</f>
        <v>#DIV/0!</v>
      </c>
      <c r="P6" s="138" t="e">
        <f>'1204-Scale-Volt-Accel'!D141</f>
        <v>#DIV/0!</v>
      </c>
      <c r="Q6" s="138" t="e">
        <f>'1204-Scale-Volt-Accel'!E141</f>
        <v>#DIV/0!</v>
      </c>
      <c r="R6" s="138" t="e">
        <f>'1204-Scale-Volt-Accel'!F141</f>
        <v>#DIV/0!</v>
      </c>
      <c r="S6" s="138" t="e">
        <f>'1204-Scale-Volt-Accel'!G141</f>
        <v>#DIV/0!</v>
      </c>
      <c r="T6" s="138" t="e">
        <f>'1204-Scale-Volt-Accel'!H141</f>
        <v>#DIV/0!</v>
      </c>
      <c r="U6" s="138" t="e">
        <f>'1204-Scale-Volt-Accel'!I141</f>
        <v>#DIV/0!</v>
      </c>
      <c r="V6" s="138" t="e">
        <f>'1204-Scale-Volt-Accel'!J141</f>
        <v>#DIV/0!</v>
      </c>
      <c r="W6" s="138" t="e">
        <f>'1204-Scale-Volt-Accel'!K141</f>
        <v>#DIV/0!</v>
      </c>
      <c r="X6" s="138" t="e">
        <f>'1204-Scale-Volt-Accel'!L141</f>
        <v>#DIV/0!</v>
      </c>
      <c r="Y6" s="131"/>
      <c r="Z6" s="138">
        <v>3.5</v>
      </c>
      <c r="AA6" s="138">
        <v>-3.5</v>
      </c>
    </row>
    <row r="7" spans="2:30" x14ac:dyDescent="0.3">
      <c r="B7" s="136">
        <f>'1010-Scales'!B142</f>
        <v>5</v>
      </c>
      <c r="C7" s="138">
        <f ca="1">'1010-Scales'!C142</f>
        <v>0</v>
      </c>
      <c r="D7" s="138">
        <f ca="1">'1010-Scales'!D142</f>
        <v>0</v>
      </c>
      <c r="E7" s="138">
        <f ca="1">'1010-Scales'!E142</f>
        <v>0</v>
      </c>
      <c r="F7" s="138">
        <f ca="1">'1010-Scales'!F142</f>
        <v>0</v>
      </c>
      <c r="G7" s="138">
        <f ca="1">'1010-Scales'!G142</f>
        <v>0</v>
      </c>
      <c r="H7" s="138">
        <f ca="1">'1010-Scales'!H142</f>
        <v>0</v>
      </c>
      <c r="I7" s="138">
        <f ca="1">'1010-Scales'!I142</f>
        <v>0</v>
      </c>
      <c r="J7" s="138">
        <f ca="1">'1010-Scales'!J142</f>
        <v>0</v>
      </c>
      <c r="K7" s="138">
        <f ca="1">'1010-Scales'!K142</f>
        <v>-5</v>
      </c>
      <c r="L7" s="138">
        <f ca="1">'1010-Scales'!L142</f>
        <v>-5</v>
      </c>
      <c r="N7" s="136">
        <f>'1204-Scale-Volt-Accel'!B142</f>
        <v>5</v>
      </c>
      <c r="O7" s="138" t="e">
        <f>'1204-Scale-Volt-Accel'!C142</f>
        <v>#DIV/0!</v>
      </c>
      <c r="P7" s="138" t="e">
        <f>'1204-Scale-Volt-Accel'!D142</f>
        <v>#DIV/0!</v>
      </c>
      <c r="Q7" s="138" t="e">
        <f>'1204-Scale-Volt-Accel'!E142</f>
        <v>#DIV/0!</v>
      </c>
      <c r="R7" s="138" t="e">
        <f>'1204-Scale-Volt-Accel'!F142</f>
        <v>#DIV/0!</v>
      </c>
      <c r="S7" s="138" t="e">
        <f>'1204-Scale-Volt-Accel'!G142</f>
        <v>#DIV/0!</v>
      </c>
      <c r="T7" s="138" t="e">
        <f>'1204-Scale-Volt-Accel'!H142</f>
        <v>#DIV/0!</v>
      </c>
      <c r="U7" s="138" t="e">
        <f>'1204-Scale-Volt-Accel'!I142</f>
        <v>#DIV/0!</v>
      </c>
      <c r="V7" s="138" t="e">
        <f>'1204-Scale-Volt-Accel'!J142</f>
        <v>#DIV/0!</v>
      </c>
      <c r="W7" s="138" t="e">
        <f>'1204-Scale-Volt-Accel'!K142</f>
        <v>#DIV/0!</v>
      </c>
      <c r="X7" s="138" t="e">
        <f>'1204-Scale-Volt-Accel'!L142</f>
        <v>#DIV/0!</v>
      </c>
      <c r="Y7" s="131"/>
      <c r="Z7" s="138">
        <v>3.5</v>
      </c>
      <c r="AA7" s="138">
        <v>-3.5</v>
      </c>
    </row>
    <row r="8" spans="2:30" x14ac:dyDescent="0.3">
      <c r="B8" s="136">
        <f>'1010-Scales'!B143</f>
        <v>10</v>
      </c>
      <c r="C8" s="138">
        <f ca="1">'1010-Scales'!C143</f>
        <v>0</v>
      </c>
      <c r="D8" s="138">
        <f ca="1">'1010-Scales'!D143</f>
        <v>0</v>
      </c>
      <c r="E8" s="138">
        <f ca="1">'1010-Scales'!E143</f>
        <v>0</v>
      </c>
      <c r="F8" s="138">
        <f ca="1">'1010-Scales'!F143</f>
        <v>0</v>
      </c>
      <c r="G8" s="138">
        <f ca="1">'1010-Scales'!G143</f>
        <v>0</v>
      </c>
      <c r="H8" s="138">
        <f ca="1">'1010-Scales'!H143</f>
        <v>0</v>
      </c>
      <c r="I8" s="138">
        <f ca="1">'1010-Scales'!I143</f>
        <v>0</v>
      </c>
      <c r="J8" s="138">
        <f ca="1">'1010-Scales'!J143</f>
        <v>0</v>
      </c>
      <c r="K8" s="138">
        <f ca="1">'1010-Scales'!K143</f>
        <v>-10</v>
      </c>
      <c r="L8" s="138">
        <f ca="1">'1010-Scales'!L143</f>
        <v>-10</v>
      </c>
      <c r="N8" s="136">
        <f>'1204-Scale-Volt-Accel'!B143</f>
        <v>10</v>
      </c>
      <c r="O8" s="138" t="e">
        <f>'1204-Scale-Volt-Accel'!C143</f>
        <v>#DIV/0!</v>
      </c>
      <c r="P8" s="138" t="e">
        <f>'1204-Scale-Volt-Accel'!D143</f>
        <v>#DIV/0!</v>
      </c>
      <c r="Q8" s="138" t="e">
        <f>'1204-Scale-Volt-Accel'!E143</f>
        <v>#DIV/0!</v>
      </c>
      <c r="R8" s="138" t="e">
        <f>'1204-Scale-Volt-Accel'!F143</f>
        <v>#DIV/0!</v>
      </c>
      <c r="S8" s="138" t="e">
        <f>'1204-Scale-Volt-Accel'!G143</f>
        <v>#DIV/0!</v>
      </c>
      <c r="T8" s="138" t="e">
        <f>'1204-Scale-Volt-Accel'!H143</f>
        <v>#DIV/0!</v>
      </c>
      <c r="U8" s="138" t="e">
        <f>'1204-Scale-Volt-Accel'!I143</f>
        <v>#DIV/0!</v>
      </c>
      <c r="V8" s="138" t="e">
        <f>'1204-Scale-Volt-Accel'!J143</f>
        <v>#DIV/0!</v>
      </c>
      <c r="W8" s="138" t="e">
        <f>'1204-Scale-Volt-Accel'!K143</f>
        <v>#DIV/0!</v>
      </c>
      <c r="X8" s="138" t="e">
        <f>'1204-Scale-Volt-Accel'!L143</f>
        <v>#DIV/0!</v>
      </c>
      <c r="Y8" s="131"/>
      <c r="Z8" s="138">
        <v>3.5</v>
      </c>
      <c r="AA8" s="138">
        <v>-3.5</v>
      </c>
    </row>
    <row r="9" spans="2:30" x14ac:dyDescent="0.3">
      <c r="B9" s="136">
        <f>'1010-Scales'!B144</f>
        <v>20</v>
      </c>
      <c r="C9" s="138">
        <f ca="1">'1010-Scales'!C144</f>
        <v>0</v>
      </c>
      <c r="D9" s="138">
        <f ca="1">'1010-Scales'!D144</f>
        <v>0</v>
      </c>
      <c r="E9" s="138">
        <f ca="1">'1010-Scales'!E144</f>
        <v>0</v>
      </c>
      <c r="F9" s="138">
        <f ca="1">'1010-Scales'!F144</f>
        <v>0</v>
      </c>
      <c r="G9" s="138">
        <f ca="1">'1010-Scales'!G144</f>
        <v>0</v>
      </c>
      <c r="H9" s="138">
        <f ca="1">'1010-Scales'!H144</f>
        <v>0</v>
      </c>
      <c r="I9" s="138">
        <f ca="1">'1010-Scales'!I144</f>
        <v>0</v>
      </c>
      <c r="J9" s="138">
        <f ca="1">'1010-Scales'!J144</f>
        <v>0</v>
      </c>
      <c r="K9" s="138">
        <f ca="1">'1010-Scales'!K144</f>
        <v>-20</v>
      </c>
      <c r="L9" s="138">
        <f ca="1">'1010-Scales'!L144</f>
        <v>-20</v>
      </c>
      <c r="N9" s="136">
        <f>'1204-Scale-Volt-Accel'!B144</f>
        <v>20</v>
      </c>
      <c r="O9" s="138" t="e">
        <f>'1204-Scale-Volt-Accel'!C144</f>
        <v>#DIV/0!</v>
      </c>
      <c r="P9" s="138" t="e">
        <f>'1204-Scale-Volt-Accel'!D144</f>
        <v>#DIV/0!</v>
      </c>
      <c r="Q9" s="138" t="e">
        <f>'1204-Scale-Volt-Accel'!E144</f>
        <v>#DIV/0!</v>
      </c>
      <c r="R9" s="138" t="e">
        <f>'1204-Scale-Volt-Accel'!F144</f>
        <v>#DIV/0!</v>
      </c>
      <c r="S9" s="138" t="e">
        <f>'1204-Scale-Volt-Accel'!G144</f>
        <v>#DIV/0!</v>
      </c>
      <c r="T9" s="138" t="e">
        <f>'1204-Scale-Volt-Accel'!H144</f>
        <v>#DIV/0!</v>
      </c>
      <c r="U9" s="138" t="e">
        <f>'1204-Scale-Volt-Accel'!I144</f>
        <v>#DIV/0!</v>
      </c>
      <c r="V9" s="138" t="e">
        <f>'1204-Scale-Volt-Accel'!J144</f>
        <v>#DIV/0!</v>
      </c>
      <c r="W9" s="138" t="e">
        <f>'1204-Scale-Volt-Accel'!K144</f>
        <v>#DIV/0!</v>
      </c>
      <c r="X9" s="138" t="e">
        <f>'1204-Scale-Volt-Accel'!L144</f>
        <v>#DIV/0!</v>
      </c>
      <c r="Y9" s="131"/>
      <c r="Z9" s="138">
        <v>3.5</v>
      </c>
      <c r="AA9" s="138">
        <v>-3.5</v>
      </c>
    </row>
    <row r="10" spans="2:30" x14ac:dyDescent="0.3">
      <c r="B10" s="136">
        <f>'1010-Scales'!B145</f>
        <v>30</v>
      </c>
      <c r="C10" s="138">
        <f ca="1">'1010-Scales'!C145</f>
        <v>0</v>
      </c>
      <c r="D10" s="138">
        <f ca="1">'1010-Scales'!D145</f>
        <v>0</v>
      </c>
      <c r="E10" s="138">
        <f ca="1">'1010-Scales'!E145</f>
        <v>0</v>
      </c>
      <c r="F10" s="138">
        <f ca="1">'1010-Scales'!F145</f>
        <v>0</v>
      </c>
      <c r="G10" s="138">
        <f ca="1">'1010-Scales'!G145</f>
        <v>0</v>
      </c>
      <c r="H10" s="138">
        <f ca="1">'1010-Scales'!H145</f>
        <v>0</v>
      </c>
      <c r="I10" s="138">
        <f ca="1">'1010-Scales'!I145</f>
        <v>0</v>
      </c>
      <c r="J10" s="138">
        <f ca="1">'1010-Scales'!J145</f>
        <v>0</v>
      </c>
      <c r="K10" s="138">
        <f ca="1">'1010-Scales'!K145</f>
        <v>-30</v>
      </c>
      <c r="L10" s="138">
        <f ca="1">'1010-Scales'!L145</f>
        <v>-30</v>
      </c>
      <c r="N10" s="136">
        <f>'1204-Scale-Volt-Accel'!B145</f>
        <v>30</v>
      </c>
      <c r="O10" s="138" t="e">
        <f>'1204-Scale-Volt-Accel'!C145</f>
        <v>#DIV/0!</v>
      </c>
      <c r="P10" s="138" t="e">
        <f>'1204-Scale-Volt-Accel'!D145</f>
        <v>#DIV/0!</v>
      </c>
      <c r="Q10" s="138" t="e">
        <f>'1204-Scale-Volt-Accel'!E145</f>
        <v>#DIV/0!</v>
      </c>
      <c r="R10" s="138" t="e">
        <f>'1204-Scale-Volt-Accel'!F145</f>
        <v>#DIV/0!</v>
      </c>
      <c r="S10" s="138" t="e">
        <f>'1204-Scale-Volt-Accel'!G145</f>
        <v>#DIV/0!</v>
      </c>
      <c r="T10" s="138" t="e">
        <f>'1204-Scale-Volt-Accel'!H145</f>
        <v>#DIV/0!</v>
      </c>
      <c r="U10" s="138" t="e">
        <f>'1204-Scale-Volt-Accel'!I145</f>
        <v>#DIV/0!</v>
      </c>
      <c r="V10" s="138" t="e">
        <f>'1204-Scale-Volt-Accel'!J145</f>
        <v>#DIV/0!</v>
      </c>
      <c r="W10" s="138" t="e">
        <f>'1204-Scale-Volt-Accel'!K145</f>
        <v>#DIV/0!</v>
      </c>
      <c r="X10" s="138" t="e">
        <f>'1204-Scale-Volt-Accel'!L145</f>
        <v>#DIV/0!</v>
      </c>
      <c r="Y10" s="131"/>
      <c r="Z10" s="138">
        <v>3.5</v>
      </c>
      <c r="AA10" s="138">
        <v>-3.5</v>
      </c>
    </row>
    <row r="11" spans="2:30" x14ac:dyDescent="0.3">
      <c r="B11" s="136">
        <f>'1010-Scales'!B146</f>
        <v>40</v>
      </c>
      <c r="C11" s="138">
        <f ca="1">'1010-Scales'!C146</f>
        <v>0</v>
      </c>
      <c r="D11" s="138">
        <f ca="1">'1010-Scales'!D146</f>
        <v>0</v>
      </c>
      <c r="E11" s="138">
        <f ca="1">'1010-Scales'!E146</f>
        <v>0</v>
      </c>
      <c r="F11" s="138">
        <f ca="1">'1010-Scales'!F146</f>
        <v>0</v>
      </c>
      <c r="G11" s="138">
        <f ca="1">'1010-Scales'!G146</f>
        <v>0</v>
      </c>
      <c r="H11" s="138">
        <f ca="1">'1010-Scales'!H146</f>
        <v>0</v>
      </c>
      <c r="I11" s="138">
        <f ca="1">'1010-Scales'!I146</f>
        <v>0</v>
      </c>
      <c r="J11" s="138">
        <f ca="1">'1010-Scales'!J146</f>
        <v>0</v>
      </c>
      <c r="K11" s="138">
        <f ca="1">'1010-Scales'!K146</f>
        <v>-40</v>
      </c>
      <c r="L11" s="138">
        <f ca="1">'1010-Scales'!L146</f>
        <v>-40</v>
      </c>
      <c r="N11" s="136">
        <f>'1204-Scale-Volt-Accel'!B146</f>
        <v>40</v>
      </c>
      <c r="O11" s="138" t="e">
        <f>'1204-Scale-Volt-Accel'!C146</f>
        <v>#DIV/0!</v>
      </c>
      <c r="P11" s="138" t="e">
        <f>'1204-Scale-Volt-Accel'!D146</f>
        <v>#DIV/0!</v>
      </c>
      <c r="Q11" s="138" t="e">
        <f>'1204-Scale-Volt-Accel'!E146</f>
        <v>#DIV/0!</v>
      </c>
      <c r="R11" s="138" t="e">
        <f>'1204-Scale-Volt-Accel'!F146</f>
        <v>#DIV/0!</v>
      </c>
      <c r="S11" s="138" t="e">
        <f>'1204-Scale-Volt-Accel'!G146</f>
        <v>#DIV/0!</v>
      </c>
      <c r="T11" s="138" t="e">
        <f>'1204-Scale-Volt-Accel'!H146</f>
        <v>#DIV/0!</v>
      </c>
      <c r="U11" s="138" t="e">
        <f>'1204-Scale-Volt-Accel'!I146</f>
        <v>#DIV/0!</v>
      </c>
      <c r="V11" s="138" t="e">
        <f>'1204-Scale-Volt-Accel'!J146</f>
        <v>#DIV/0!</v>
      </c>
      <c r="W11" s="138" t="e">
        <f>'1204-Scale-Volt-Accel'!K146</f>
        <v>#DIV/0!</v>
      </c>
      <c r="X11" s="138" t="e">
        <f>'1204-Scale-Volt-Accel'!L146</f>
        <v>#DIV/0!</v>
      </c>
      <c r="Y11" s="131"/>
      <c r="Z11" s="138">
        <v>3.5</v>
      </c>
      <c r="AA11" s="138">
        <v>-3.5</v>
      </c>
    </row>
    <row r="45" spans="14:27" x14ac:dyDescent="0.3">
      <c r="N45" s="384" t="s">
        <v>674</v>
      </c>
      <c r="O45" s="384"/>
      <c r="P45" s="384"/>
      <c r="Q45" s="384"/>
      <c r="R45" s="384"/>
      <c r="S45" s="384"/>
      <c r="T45" s="384"/>
      <c r="U45" s="384"/>
      <c r="V45" s="384"/>
      <c r="W45" s="384"/>
      <c r="X45" s="384"/>
    </row>
    <row r="46" spans="14:27" x14ac:dyDescent="0.3">
      <c r="N46" s="275" t="s">
        <v>454</v>
      </c>
      <c r="O46" s="275" t="s">
        <v>463</v>
      </c>
      <c r="P46" s="275" t="s">
        <v>464</v>
      </c>
      <c r="Q46" s="275" t="s">
        <v>465</v>
      </c>
      <c r="R46" s="275" t="s">
        <v>466</v>
      </c>
      <c r="S46" s="275" t="s">
        <v>467</v>
      </c>
      <c r="T46" s="275" t="s">
        <v>468</v>
      </c>
      <c r="U46" s="275" t="s">
        <v>470</v>
      </c>
      <c r="V46" s="275" t="s">
        <v>515</v>
      </c>
      <c r="W46" s="167" t="s">
        <v>471</v>
      </c>
      <c r="X46" s="167" t="s">
        <v>472</v>
      </c>
      <c r="Z46" s="137" t="s">
        <v>529</v>
      </c>
      <c r="AA46" s="137" t="s">
        <v>530</v>
      </c>
    </row>
    <row r="47" spans="14:27" x14ac:dyDescent="0.3">
      <c r="N47" s="278" t="str">
        <f>'1204-Scale-Volt-Accel'!B216</f>
        <v>All Loads</v>
      </c>
      <c r="O47" s="276">
        <f>'1204-Scale-Volt-Accel'!C207</f>
        <v>0</v>
      </c>
      <c r="P47" s="276">
        <f>'1204-Scale-Volt-Accel'!D207</f>
        <v>0</v>
      </c>
      <c r="Q47" s="276">
        <f>'1204-Scale-Volt-Accel'!E207</f>
        <v>0</v>
      </c>
      <c r="R47" s="276">
        <f>'1204-Scale-Volt-Accel'!F207</f>
        <v>0</v>
      </c>
      <c r="S47" s="276">
        <f>'1204-Scale-Volt-Accel'!G207</f>
        <v>0</v>
      </c>
      <c r="T47" s="276">
        <f>'1204-Scale-Volt-Accel'!H207</f>
        <v>0</v>
      </c>
      <c r="U47" s="276">
        <f>'1204-Scale-Volt-Accel'!I207</f>
        <v>0</v>
      </c>
      <c r="V47" s="276">
        <f>'1204-Scale-Volt-Accel'!J207</f>
        <v>0</v>
      </c>
      <c r="W47" s="277" t="e">
        <f t="shared" ref="W47:W52" si="0">U47-N47</f>
        <v>#VALUE!</v>
      </c>
      <c r="X47" s="277" t="e">
        <f>V47-(N47/2)</f>
        <v>#VALUE!</v>
      </c>
      <c r="Z47" s="138">
        <v>3.5</v>
      </c>
      <c r="AA47" s="138">
        <v>-3.5</v>
      </c>
    </row>
    <row r="48" spans="14:27" x14ac:dyDescent="0.3">
      <c r="N48" s="278">
        <f>'1204-Scale-Volt-Accel'!B217</f>
        <v>0</v>
      </c>
      <c r="O48" s="276" t="e">
        <f>'1204-Scale-Volt-Accel'!C208</f>
        <v>#DIV/0!</v>
      </c>
      <c r="P48" s="276" t="e">
        <f>'1204-Scale-Volt-Accel'!D208</f>
        <v>#DIV/0!</v>
      </c>
      <c r="Q48" s="276" t="e">
        <f>'1204-Scale-Volt-Accel'!E208</f>
        <v>#DIV/0!</v>
      </c>
      <c r="R48" s="276" t="e">
        <f>'1204-Scale-Volt-Accel'!F208</f>
        <v>#DIV/0!</v>
      </c>
      <c r="S48" s="276" t="e">
        <f>'1204-Scale-Volt-Accel'!G208</f>
        <v>#DIV/0!</v>
      </c>
      <c r="T48" s="276" t="e">
        <f>'1204-Scale-Volt-Accel'!H208</f>
        <v>#DIV/0!</v>
      </c>
      <c r="U48" s="276" t="e">
        <f>'1204-Scale-Volt-Accel'!I208</f>
        <v>#DIV/0!</v>
      </c>
      <c r="V48" s="276" t="e">
        <f>'1204-Scale-Volt-Accel'!J208</f>
        <v>#DIV/0!</v>
      </c>
      <c r="W48" s="277" t="e">
        <f t="shared" si="0"/>
        <v>#DIV/0!</v>
      </c>
      <c r="X48" s="277" t="e">
        <f>V48-N48</f>
        <v>#DIV/0!</v>
      </c>
      <c r="Z48" s="138">
        <v>3.5</v>
      </c>
      <c r="AA48" s="138">
        <v>-3.5</v>
      </c>
    </row>
    <row r="49" spans="14:27" x14ac:dyDescent="0.3">
      <c r="N49" s="278">
        <f>'1204-Scale-Volt-Accel'!B218</f>
        <v>0</v>
      </c>
      <c r="O49" s="276" t="e">
        <f>'1204-Scale-Volt-Accel'!C209</f>
        <v>#DIV/0!</v>
      </c>
      <c r="P49" s="276" t="e">
        <f>'1204-Scale-Volt-Accel'!D209</f>
        <v>#DIV/0!</v>
      </c>
      <c r="Q49" s="276" t="e">
        <f>'1204-Scale-Volt-Accel'!E209</f>
        <v>#DIV/0!</v>
      </c>
      <c r="R49" s="276" t="e">
        <f>'1204-Scale-Volt-Accel'!F209</f>
        <v>#DIV/0!</v>
      </c>
      <c r="S49" s="276" t="e">
        <f>'1204-Scale-Volt-Accel'!G209</f>
        <v>#DIV/0!</v>
      </c>
      <c r="T49" s="276" t="e">
        <f>'1204-Scale-Volt-Accel'!H209</f>
        <v>#DIV/0!</v>
      </c>
      <c r="U49" s="276" t="e">
        <f>'1204-Scale-Volt-Accel'!I209</f>
        <v>#DIV/0!</v>
      </c>
      <c r="V49" s="276" t="e">
        <f>'1204-Scale-Volt-Accel'!J209</f>
        <v>#DIV/0!</v>
      </c>
      <c r="W49" s="277" t="e">
        <f t="shared" si="0"/>
        <v>#DIV/0!</v>
      </c>
      <c r="X49" s="277" t="e">
        <f>V49-N49</f>
        <v>#DIV/0!</v>
      </c>
      <c r="Z49" s="138">
        <v>3.5</v>
      </c>
      <c r="AA49" s="138">
        <v>-3.5</v>
      </c>
    </row>
    <row r="50" spans="14:27" x14ac:dyDescent="0.3">
      <c r="N50" s="278">
        <f>'1204-Scale-Volt-Accel'!B219</f>
        <v>0</v>
      </c>
      <c r="O50" s="276" t="e">
        <f>'1204-Scale-Volt-Accel'!C210</f>
        <v>#DIV/0!</v>
      </c>
      <c r="P50" s="276" t="e">
        <f>'1204-Scale-Volt-Accel'!D210</f>
        <v>#DIV/0!</v>
      </c>
      <c r="Q50" s="276" t="e">
        <f>'1204-Scale-Volt-Accel'!E210</f>
        <v>#DIV/0!</v>
      </c>
      <c r="R50" s="276" t="e">
        <f>'1204-Scale-Volt-Accel'!F210</f>
        <v>#DIV/0!</v>
      </c>
      <c r="S50" s="276" t="e">
        <f>'1204-Scale-Volt-Accel'!G210</f>
        <v>#DIV/0!</v>
      </c>
      <c r="T50" s="276" t="e">
        <f>'1204-Scale-Volt-Accel'!H210</f>
        <v>#DIV/0!</v>
      </c>
      <c r="U50" s="276" t="e">
        <f>'1204-Scale-Volt-Accel'!I210</f>
        <v>#DIV/0!</v>
      </c>
      <c r="V50" s="276" t="e">
        <f>'1204-Scale-Volt-Accel'!J210</f>
        <v>#DIV/0!</v>
      </c>
      <c r="W50" s="277" t="e">
        <f t="shared" si="0"/>
        <v>#DIV/0!</v>
      </c>
      <c r="X50" s="277" t="e">
        <f>V50-N50</f>
        <v>#DIV/0!</v>
      </c>
      <c r="Z50" s="138">
        <v>3.5</v>
      </c>
      <c r="AA50" s="138">
        <v>-3.5</v>
      </c>
    </row>
    <row r="51" spans="14:27" x14ac:dyDescent="0.3">
      <c r="N51" s="278">
        <f>'1204-Scale-Volt-Accel'!B220</f>
        <v>0</v>
      </c>
      <c r="O51" s="276" t="e">
        <f>'1204-Scale-Volt-Accel'!C211</f>
        <v>#DIV/0!</v>
      </c>
      <c r="P51" s="276" t="e">
        <f>'1204-Scale-Volt-Accel'!D211</f>
        <v>#DIV/0!</v>
      </c>
      <c r="Q51" s="276" t="e">
        <f>'1204-Scale-Volt-Accel'!E211</f>
        <v>#DIV/0!</v>
      </c>
      <c r="R51" s="276" t="e">
        <f>'1204-Scale-Volt-Accel'!F211</f>
        <v>#DIV/0!</v>
      </c>
      <c r="S51" s="276" t="e">
        <f>'1204-Scale-Volt-Accel'!G211</f>
        <v>#DIV/0!</v>
      </c>
      <c r="T51" s="276" t="e">
        <f>'1204-Scale-Volt-Accel'!H211</f>
        <v>#DIV/0!</v>
      </c>
      <c r="U51" s="276" t="e">
        <f>'1204-Scale-Volt-Accel'!I211</f>
        <v>#DIV/0!</v>
      </c>
      <c r="V51" s="276" t="e">
        <f>'1204-Scale-Volt-Accel'!J211</f>
        <v>#DIV/0!</v>
      </c>
      <c r="W51" s="277" t="e">
        <f t="shared" si="0"/>
        <v>#DIV/0!</v>
      </c>
      <c r="X51" s="277" t="e">
        <f>V51-N51</f>
        <v>#DIV/0!</v>
      </c>
      <c r="Z51" s="138">
        <v>3.5</v>
      </c>
      <c r="AA51" s="138">
        <v>-3.5</v>
      </c>
    </row>
    <row r="52" spans="14:27" x14ac:dyDescent="0.3">
      <c r="N52" s="278">
        <f>'1204-Scale-Volt-Accel'!B221</f>
        <v>0</v>
      </c>
      <c r="O52" s="276" t="e">
        <f>'1204-Scale-Volt-Accel'!C212</f>
        <v>#DIV/0!</v>
      </c>
      <c r="P52" s="276" t="e">
        <f>'1204-Scale-Volt-Accel'!D212</f>
        <v>#DIV/0!</v>
      </c>
      <c r="Q52" s="276" t="e">
        <f>'1204-Scale-Volt-Accel'!E212</f>
        <v>#DIV/0!</v>
      </c>
      <c r="R52" s="276" t="e">
        <f>'1204-Scale-Volt-Accel'!F212</f>
        <v>#DIV/0!</v>
      </c>
      <c r="S52" s="276" t="e">
        <f>'1204-Scale-Volt-Accel'!G212</f>
        <v>#DIV/0!</v>
      </c>
      <c r="T52" s="276" t="e">
        <f>'1204-Scale-Volt-Accel'!H212</f>
        <v>#DIV/0!</v>
      </c>
      <c r="U52" s="276" t="e">
        <f>'1204-Scale-Volt-Accel'!I212</f>
        <v>#DIV/0!</v>
      </c>
      <c r="V52" s="276" t="e">
        <f>'1204-Scale-Volt-Accel'!J212</f>
        <v>#DIV/0!</v>
      </c>
      <c r="W52" s="277" t="e">
        <f t="shared" si="0"/>
        <v>#DIV/0!</v>
      </c>
      <c r="X52" s="277" t="e">
        <f>V52-N52</f>
        <v>#DIV/0!</v>
      </c>
      <c r="Z52" s="138">
        <v>3.5</v>
      </c>
      <c r="AA52" s="138">
        <v>-3.5</v>
      </c>
    </row>
  </sheetData>
  <mergeCells count="6">
    <mergeCell ref="AC1:AD1"/>
    <mergeCell ref="N45:X45"/>
    <mergeCell ref="R1:S1"/>
    <mergeCell ref="Z2:AA2"/>
    <mergeCell ref="Q2:R2"/>
    <mergeCell ref="S2:T2"/>
  </mergeCells>
  <pageMargins left="0.7" right="0.7" top="0.75" bottom="0.75" header="0.3" footer="0.3"/>
  <pageSetup orientation="portrait"/>
  <drawing r:id="rId1"/>
  <extLst>
    <ext xmlns:x14="http://schemas.microsoft.com/office/spreadsheetml/2009/9/main" uri="{78C0D931-6437-407d-A8EE-F0AAD7539E65}">
      <x14:conditionalFormattings>
        <x14:conditionalFormatting xmlns:xm="http://schemas.microsoft.com/office/excel/2006/main">
          <x14:cfRule type="iconSet" priority="9" id="{0789D608-D4DF-4E9A-A8F3-5349B37EF47F}">
            <x14:iconSet custom="1">
              <x14:cfvo type="percent">
                <xm:f>0</xm:f>
              </x14:cfvo>
              <x14:cfvo type="num">
                <xm:f>0</xm:f>
              </x14:cfvo>
              <x14:cfvo type="num">
                <xm:f>1</xm:f>
              </x14:cfvo>
              <x14:cfIcon iconSet="3TrafficLights1" iconId="2"/>
              <x14:cfIcon iconSet="3TrafficLights1" iconId="2"/>
              <x14:cfIcon iconSet="3TrafficLights1" iconId="0"/>
            </x14:iconSet>
          </x14:cfRule>
          <xm:sqref>R3</xm:sqref>
        </x14:conditionalFormatting>
        <x14:conditionalFormatting xmlns:xm="http://schemas.microsoft.com/office/excel/2006/main">
          <x14:cfRule type="containsText" priority="6" operator="containsText" id="{AB3D6FF3-D6A0-2D4A-A23E-DC8F6EEA1E29}">
            <xm:f>NOT(ISERROR(SEARCH("PASS",Q3)))</xm:f>
            <xm:f>"PASS"</xm:f>
            <x14:dxf>
              <font>
                <b/>
                <i val="0"/>
                <color auto="1"/>
              </font>
              <fill>
                <patternFill patternType="solid">
                  <fgColor indexed="64"/>
                  <bgColor theme="6" tint="-0.249977111117893"/>
                </patternFill>
              </fill>
            </x14:dxf>
          </x14:cfRule>
          <x14:cfRule type="containsText" priority="7" operator="containsText" id="{F5DC1BE9-5593-7F47-8CAF-40CC3CFAB774}">
            <xm:f>NOT(ISERROR(SEARCH("FAIL",Q3)))</xm:f>
            <xm:f>"FAIL"</xm:f>
            <x14:dxf>
              <font>
                <b/>
                <i val="0"/>
                <color auto="1"/>
              </font>
              <fill>
                <patternFill patternType="solid">
                  <fgColor indexed="64"/>
                  <bgColor rgb="FFFF0000"/>
                </patternFill>
              </fill>
            </x14:dxf>
          </x14:cfRule>
          <xm:sqref>Q3</xm:sqref>
        </x14:conditionalFormatting>
        <x14:conditionalFormatting xmlns:xm="http://schemas.microsoft.com/office/excel/2006/main">
          <x14:cfRule type="iconSet" priority="5" id="{A6367376-E99D-BB49-A0C7-DC3BC411F0DC}">
            <x14:iconSet custom="1">
              <x14:cfvo type="percent">
                <xm:f>0</xm:f>
              </x14:cfvo>
              <x14:cfvo type="num">
                <xm:f>0</xm:f>
              </x14:cfvo>
              <x14:cfvo type="num">
                <xm:f>1</xm:f>
              </x14:cfvo>
              <x14:cfIcon iconSet="3TrafficLights1" iconId="2"/>
              <x14:cfIcon iconSet="3TrafficLights1" iconId="2"/>
              <x14:cfIcon iconSet="4RedToBlack" iconId="3"/>
            </x14:iconSet>
          </x14:cfRule>
          <xm:sqref>S3</xm:sqref>
        </x14:conditionalFormatting>
        <x14:conditionalFormatting xmlns:xm="http://schemas.microsoft.com/office/excel/2006/main">
          <x14:cfRule type="containsText" priority="3" operator="containsText" id="{A4B59CBB-1D54-6E4F-9501-00C805F7B6A3}">
            <xm:f>NOT(ISERROR(SEARCH("FAIL",X3)))</xm:f>
            <xm:f>"FAIL"</xm:f>
            <x14:dxf>
              <font>
                <b/>
                <i val="0"/>
                <color theme="0"/>
              </font>
              <fill>
                <patternFill patternType="solid">
                  <fgColor indexed="64"/>
                  <bgColor rgb="FFFF0000"/>
                </patternFill>
              </fill>
            </x14:dxf>
          </x14:cfRule>
          <x14:cfRule type="containsText" priority="4" operator="containsText" id="{C9E0A866-6534-AF48-85C1-88645F717B07}">
            <xm:f>NOT(ISERROR(SEARCH("PASS",X3)))</xm:f>
            <xm:f>"PASS"</xm:f>
            <x14:dxf>
              <font>
                <b/>
                <i val="0"/>
                <color theme="0"/>
              </font>
              <fill>
                <patternFill patternType="solid">
                  <fgColor indexed="64"/>
                  <bgColor rgb="FF008000"/>
                </patternFill>
              </fill>
            </x14:dxf>
          </x14:cfRule>
          <xm:sqref>X3</xm:sqref>
        </x14:conditionalFormatting>
        <x14:conditionalFormatting xmlns:xm="http://schemas.microsoft.com/office/excel/2006/main">
          <x14:cfRule type="containsText" priority="1" operator="containsText" id="{89826B8F-0152-4C23-A93C-1216D337D2A7}">
            <xm:f>NOT(ISERROR(SEARCH("FAIL",T3)))</xm:f>
            <xm:f>"FAIL"</xm:f>
            <x14:dxf>
              <font>
                <b/>
                <i val="0"/>
              </font>
              <fill>
                <patternFill>
                  <bgColor rgb="FFFF0000"/>
                </patternFill>
              </fill>
            </x14:dxf>
          </x14:cfRule>
          <x14:cfRule type="containsText" priority="2" operator="containsText" id="{BE1724AE-35D2-4DE7-82EC-91D2EDF8CA34}">
            <xm:f>NOT(ISERROR(SEARCH("PASS",T3)))</xm:f>
            <xm:f>"PASS"</xm:f>
            <x14:dxf>
              <font>
                <b/>
                <i val="0"/>
              </font>
              <fill>
                <patternFill>
                  <bgColor rgb="FF00B050"/>
                </patternFill>
              </fill>
            </x14:dxf>
          </x14:cfRule>
          <xm:sqref>T3</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J141"/>
  <sheetViews>
    <sheetView topLeftCell="E76" zoomScale="125" zoomScaleNormal="125" zoomScalePageLayoutView="125" workbookViewId="0">
      <selection activeCell="T85" sqref="T85"/>
    </sheetView>
  </sheetViews>
  <sheetFormatPr defaultColWidth="8.5546875" defaultRowHeight="14.4" x14ac:dyDescent="0.3"/>
  <cols>
    <col min="1" max="1" width="3" customWidth="1"/>
    <col min="14" max="15" width="9.109375" customWidth="1"/>
  </cols>
  <sheetData>
    <row r="2" spans="2:36" x14ac:dyDescent="0.3">
      <c r="B2" s="432" t="s">
        <v>26</v>
      </c>
      <c r="C2" s="433"/>
      <c r="D2" s="433"/>
      <c r="E2" s="433"/>
      <c r="F2" s="433"/>
      <c r="G2" s="433"/>
      <c r="H2" s="433"/>
      <c r="I2" s="433"/>
      <c r="J2" s="433"/>
      <c r="K2" s="433"/>
      <c r="L2" s="433"/>
      <c r="M2" s="433"/>
      <c r="N2" s="433"/>
      <c r="O2" s="433"/>
      <c r="P2" s="433"/>
      <c r="Q2" s="433"/>
      <c r="R2" s="433"/>
      <c r="S2" s="433"/>
      <c r="T2" s="433"/>
      <c r="U2" s="433"/>
      <c r="V2" s="433"/>
      <c r="W2" s="433"/>
      <c r="X2" s="433"/>
      <c r="Y2" s="433"/>
      <c r="Z2" s="433"/>
      <c r="AA2" s="433"/>
      <c r="AB2" s="433"/>
      <c r="AC2" s="433"/>
      <c r="AD2" s="433"/>
      <c r="AE2" s="434"/>
      <c r="AF2" s="240"/>
      <c r="AG2" s="240"/>
      <c r="AH2" s="240"/>
      <c r="AI2" s="240"/>
      <c r="AJ2" s="240"/>
    </row>
    <row r="3" spans="2:36" x14ac:dyDescent="0.3">
      <c r="B3" s="241" t="str">
        <f>U20</f>
        <v>UDF1</v>
      </c>
      <c r="C3" s="242"/>
      <c r="D3" s="243">
        <f>INDEX($V$20:$V$32,MATCH(B3,$U$20:$U$32,0),1)</f>
        <v>1000</v>
      </c>
      <c r="E3" s="244" t="str">
        <f>U21</f>
        <v>UDF2</v>
      </c>
      <c r="F3" s="130"/>
      <c r="G3" s="245">
        <f>INDEX($V$20:$V$32,MATCH(E3,$U$20:$U$32,0),1)</f>
        <v>2000</v>
      </c>
      <c r="H3" s="241" t="str">
        <f>U22</f>
        <v>SYK</v>
      </c>
      <c r="I3" s="242"/>
      <c r="J3" s="243">
        <f>INDEX($V$20:$V$32,MATCH(H3,$U$20:$U$32,0),1)</f>
        <v>3000</v>
      </c>
      <c r="K3" s="244" t="str">
        <f>U23</f>
        <v>BMT</v>
      </c>
      <c r="L3" s="130"/>
      <c r="M3" s="245">
        <f>INDEX($V$20:$V$32,MATCH(K3,$U$20:$U$32,0),1)</f>
        <v>4000</v>
      </c>
      <c r="N3" s="241" t="str">
        <f>U24</f>
        <v>MKO</v>
      </c>
      <c r="O3" s="242"/>
      <c r="P3" s="243">
        <f>INDEX($V$20:$V$32,MATCH(N3,$U$20:$U$32,0),1)</f>
        <v>5000</v>
      </c>
      <c r="Q3" s="244" t="str">
        <f>U25</f>
        <v>ZMR</v>
      </c>
      <c r="R3" s="130"/>
      <c r="S3" s="245">
        <f>INDEX($V$20:$V$32,MATCH(Q3,$U$20:$U$32,0),1)</f>
        <v>6000</v>
      </c>
      <c r="T3" s="241" t="str">
        <f>U26</f>
        <v>SNN-JRNYBCS</v>
      </c>
      <c r="U3" s="242"/>
      <c r="V3" s="243">
        <f>INDEX($V$20:$V$32,MATCH(T3,$U$20:$U$32,0),1)</f>
        <v>7000</v>
      </c>
      <c r="W3" s="244" t="str">
        <f>U27</f>
        <v>SNN-JRNYCR</v>
      </c>
      <c r="X3" s="130"/>
      <c r="Y3" s="245">
        <f>INDEX($V$20:$V$32,MATCH(W3,$U$20:$U$32,0),1)</f>
        <v>7000</v>
      </c>
      <c r="Z3" s="241" t="str">
        <f>U28</f>
        <v>SNN-LGN</v>
      </c>
      <c r="AA3" s="242"/>
      <c r="AB3" s="243">
        <f>INDEX($V$20:$V$32,MATCH(Z3,$U$20:$U$32,0),1)</f>
        <v>8000</v>
      </c>
      <c r="AC3" s="244" t="str">
        <f>U29</f>
        <v>ZBH-PSN</v>
      </c>
      <c r="AD3" s="130"/>
      <c r="AE3" s="245">
        <f>INDEX($V$20:$V$32,MATCH(AC3,$U$20:$U$32,0),1)</f>
        <v>9000</v>
      </c>
    </row>
    <row r="4" spans="2:36" x14ac:dyDescent="0.3">
      <c r="B4" s="171" t="s">
        <v>34</v>
      </c>
      <c r="C4" s="172"/>
      <c r="D4" s="246">
        <f>D3+1</f>
        <v>1001</v>
      </c>
      <c r="E4" s="168" t="s">
        <v>34</v>
      </c>
      <c r="F4" s="169"/>
      <c r="G4" s="231">
        <f>G3+1</f>
        <v>2001</v>
      </c>
      <c r="H4" s="171" t="s">
        <v>27</v>
      </c>
      <c r="I4" s="172"/>
      <c r="J4" s="246">
        <f>J3+1</f>
        <v>3001</v>
      </c>
      <c r="K4" s="168" t="s">
        <v>35</v>
      </c>
      <c r="L4" s="169"/>
      <c r="M4" s="170">
        <f>M3+1</f>
        <v>4001</v>
      </c>
      <c r="N4" s="171" t="s">
        <v>41</v>
      </c>
      <c r="O4" s="172"/>
      <c r="P4" s="173">
        <f>P3+1</f>
        <v>5001</v>
      </c>
      <c r="Q4" s="168" t="s">
        <v>42</v>
      </c>
      <c r="R4" s="169"/>
      <c r="S4" s="170">
        <f>S3+1</f>
        <v>6001</v>
      </c>
      <c r="T4" s="247" t="s">
        <v>652</v>
      </c>
      <c r="U4" s="248"/>
      <c r="V4" s="249">
        <v>7009</v>
      </c>
      <c r="W4" s="250" t="s">
        <v>651</v>
      </c>
      <c r="X4" s="169"/>
      <c r="Y4" s="170">
        <v>7017</v>
      </c>
      <c r="Z4" s="232" t="s">
        <v>649</v>
      </c>
      <c r="AA4" s="172"/>
      <c r="AB4" s="173">
        <v>8001</v>
      </c>
      <c r="AC4" s="341" t="s">
        <v>786</v>
      </c>
      <c r="AD4" s="169"/>
      <c r="AE4" s="170">
        <f>AE3+10</f>
        <v>9010</v>
      </c>
    </row>
    <row r="5" spans="2:36" x14ac:dyDescent="0.3">
      <c r="B5" s="171" t="s">
        <v>34</v>
      </c>
      <c r="C5" s="172"/>
      <c r="D5" s="246">
        <f t="shared" ref="D5:D16" si="0">D4+1</f>
        <v>1002</v>
      </c>
      <c r="E5" s="168" t="s">
        <v>34</v>
      </c>
      <c r="F5" s="169"/>
      <c r="G5" s="231">
        <f t="shared" ref="G5:G16" si="1">G4+1</f>
        <v>2002</v>
      </c>
      <c r="H5" s="171" t="s">
        <v>28</v>
      </c>
      <c r="I5" s="172"/>
      <c r="J5" s="246">
        <f t="shared" ref="J5:J16" si="2">J4+1</f>
        <v>3002</v>
      </c>
      <c r="K5" s="168" t="s">
        <v>36</v>
      </c>
      <c r="L5" s="169"/>
      <c r="M5" s="170">
        <f t="shared" ref="M5:M16" si="3">M4+1</f>
        <v>4002</v>
      </c>
      <c r="N5" s="171" t="s">
        <v>34</v>
      </c>
      <c r="O5" s="172"/>
      <c r="P5" s="173">
        <f t="shared" ref="P5:P16" si="4">P4+1</f>
        <v>5002</v>
      </c>
      <c r="Q5" s="168" t="s">
        <v>43</v>
      </c>
      <c r="R5" s="169"/>
      <c r="S5" s="170">
        <f t="shared" ref="S5:S16" si="5">S4+1</f>
        <v>6002</v>
      </c>
      <c r="T5" s="247" t="s">
        <v>653</v>
      </c>
      <c r="U5" s="248"/>
      <c r="V5" s="249">
        <f>V4+1</f>
        <v>7010</v>
      </c>
      <c r="W5" s="250" t="s">
        <v>650</v>
      </c>
      <c r="X5" s="169"/>
      <c r="Y5" s="170">
        <f>Y4+1</f>
        <v>7018</v>
      </c>
      <c r="Z5" s="232" t="s">
        <v>604</v>
      </c>
      <c r="AA5" s="172"/>
      <c r="AB5" s="173">
        <f>AB4+1</f>
        <v>8002</v>
      </c>
      <c r="AC5" s="341" t="s">
        <v>787</v>
      </c>
      <c r="AD5" s="169"/>
      <c r="AE5" s="170">
        <f t="shared" ref="AE5:AE6" si="6">AE4+10</f>
        <v>9020</v>
      </c>
    </row>
    <row r="6" spans="2:36" x14ac:dyDescent="0.3">
      <c r="B6" s="171" t="s">
        <v>34</v>
      </c>
      <c r="C6" s="172"/>
      <c r="D6" s="246">
        <f t="shared" si="0"/>
        <v>1003</v>
      </c>
      <c r="E6" s="168" t="s">
        <v>34</v>
      </c>
      <c r="F6" s="169"/>
      <c r="G6" s="231">
        <f t="shared" si="1"/>
        <v>2003</v>
      </c>
      <c r="H6" s="171" t="s">
        <v>29</v>
      </c>
      <c r="I6" s="172"/>
      <c r="J6" s="246">
        <f t="shared" si="2"/>
        <v>3003</v>
      </c>
      <c r="K6" s="168" t="s">
        <v>37</v>
      </c>
      <c r="L6" s="169"/>
      <c r="M6" s="170">
        <f t="shared" si="3"/>
        <v>4003</v>
      </c>
      <c r="N6" s="171" t="s">
        <v>34</v>
      </c>
      <c r="O6" s="172"/>
      <c r="P6" s="173">
        <f t="shared" si="4"/>
        <v>5003</v>
      </c>
      <c r="Q6" s="168" t="s">
        <v>44</v>
      </c>
      <c r="R6" s="169"/>
      <c r="S6" s="170">
        <f t="shared" si="5"/>
        <v>6003</v>
      </c>
      <c r="T6" s="247" t="s">
        <v>571</v>
      </c>
      <c r="U6" s="248"/>
      <c r="V6" s="249">
        <f t="shared" ref="V6:V11" si="7">V5+1</f>
        <v>7011</v>
      </c>
      <c r="W6" s="250" t="s">
        <v>577</v>
      </c>
      <c r="X6" s="169"/>
      <c r="Y6" s="170">
        <f t="shared" ref="Y6:Y16" si="8">Y5+1</f>
        <v>7019</v>
      </c>
      <c r="Z6" s="232" t="s">
        <v>605</v>
      </c>
      <c r="AA6" s="172"/>
      <c r="AB6" s="173">
        <f t="shared" ref="AB6:AB16" si="9">AB5+1</f>
        <v>8003</v>
      </c>
      <c r="AC6" s="341" t="s">
        <v>788</v>
      </c>
      <c r="AD6" s="169"/>
      <c r="AE6" s="170">
        <f t="shared" si="6"/>
        <v>9030</v>
      </c>
    </row>
    <row r="7" spans="2:36" x14ac:dyDescent="0.3">
      <c r="B7" s="171" t="s">
        <v>34</v>
      </c>
      <c r="C7" s="172"/>
      <c r="D7" s="246">
        <f t="shared" si="0"/>
        <v>1004</v>
      </c>
      <c r="E7" s="168" t="s">
        <v>34</v>
      </c>
      <c r="F7" s="169"/>
      <c r="G7" s="231">
        <f t="shared" si="1"/>
        <v>2004</v>
      </c>
      <c r="H7" s="171" t="s">
        <v>30</v>
      </c>
      <c r="I7" s="172"/>
      <c r="J7" s="246">
        <f t="shared" si="2"/>
        <v>3004</v>
      </c>
      <c r="K7" s="168" t="s">
        <v>38</v>
      </c>
      <c r="L7" s="169"/>
      <c r="M7" s="170">
        <f t="shared" si="3"/>
        <v>4004</v>
      </c>
      <c r="N7" s="171" t="s">
        <v>34</v>
      </c>
      <c r="O7" s="172"/>
      <c r="P7" s="173">
        <f t="shared" si="4"/>
        <v>5004</v>
      </c>
      <c r="Q7" s="168" t="s">
        <v>45</v>
      </c>
      <c r="R7" s="169"/>
      <c r="S7" s="170">
        <f t="shared" si="5"/>
        <v>6004</v>
      </c>
      <c r="T7" s="247" t="s">
        <v>572</v>
      </c>
      <c r="U7" s="248"/>
      <c r="V7" s="249">
        <f t="shared" si="7"/>
        <v>7012</v>
      </c>
      <c r="W7" s="250" t="s">
        <v>578</v>
      </c>
      <c r="X7" s="169"/>
      <c r="Y7" s="170">
        <f t="shared" si="8"/>
        <v>7020</v>
      </c>
      <c r="Z7" s="232" t="s">
        <v>606</v>
      </c>
      <c r="AA7" s="172"/>
      <c r="AB7" s="173">
        <f t="shared" si="9"/>
        <v>8004</v>
      </c>
      <c r="AC7" s="168" t="s">
        <v>34</v>
      </c>
      <c r="AD7" s="169"/>
      <c r="AE7" s="170">
        <f t="shared" ref="AE7:AE16" si="10">AE6+1</f>
        <v>9031</v>
      </c>
    </row>
    <row r="8" spans="2:36" x14ac:dyDescent="0.3">
      <c r="B8" s="171" t="s">
        <v>34</v>
      </c>
      <c r="C8" s="172"/>
      <c r="D8" s="246">
        <f t="shared" si="0"/>
        <v>1005</v>
      </c>
      <c r="E8" s="168" t="s">
        <v>34</v>
      </c>
      <c r="F8" s="169"/>
      <c r="G8" s="231">
        <f t="shared" si="1"/>
        <v>2005</v>
      </c>
      <c r="H8" s="171" t="s">
        <v>31</v>
      </c>
      <c r="I8" s="172"/>
      <c r="J8" s="246">
        <f t="shared" si="2"/>
        <v>3005</v>
      </c>
      <c r="K8" s="168" t="s">
        <v>39</v>
      </c>
      <c r="L8" s="169"/>
      <c r="M8" s="170">
        <f t="shared" si="3"/>
        <v>4005</v>
      </c>
      <c r="N8" s="171" t="s">
        <v>34</v>
      </c>
      <c r="O8" s="172"/>
      <c r="P8" s="173">
        <f t="shared" si="4"/>
        <v>5005</v>
      </c>
      <c r="Q8" s="168" t="s">
        <v>46</v>
      </c>
      <c r="R8" s="169"/>
      <c r="S8" s="170">
        <f t="shared" si="5"/>
        <v>6005</v>
      </c>
      <c r="T8" s="247" t="s">
        <v>573</v>
      </c>
      <c r="U8" s="248"/>
      <c r="V8" s="249">
        <f t="shared" si="7"/>
        <v>7013</v>
      </c>
      <c r="W8" s="250" t="s">
        <v>579</v>
      </c>
      <c r="X8" s="169"/>
      <c r="Y8" s="170">
        <f t="shared" si="8"/>
        <v>7021</v>
      </c>
      <c r="Z8" s="232" t="s">
        <v>648</v>
      </c>
      <c r="AA8" s="172"/>
      <c r="AB8" s="173">
        <f t="shared" si="9"/>
        <v>8005</v>
      </c>
      <c r="AC8" s="168" t="s">
        <v>34</v>
      </c>
      <c r="AD8" s="169"/>
      <c r="AE8" s="170">
        <f t="shared" si="10"/>
        <v>9032</v>
      </c>
    </row>
    <row r="9" spans="2:36" x14ac:dyDescent="0.3">
      <c r="B9" s="171" t="s">
        <v>34</v>
      </c>
      <c r="C9" s="172"/>
      <c r="D9" s="246">
        <f t="shared" si="0"/>
        <v>1006</v>
      </c>
      <c r="E9" s="168" t="s">
        <v>34</v>
      </c>
      <c r="F9" s="169"/>
      <c r="G9" s="231">
        <f t="shared" si="1"/>
        <v>2006</v>
      </c>
      <c r="H9" s="171" t="s">
        <v>32</v>
      </c>
      <c r="I9" s="172"/>
      <c r="J9" s="246">
        <f t="shared" si="2"/>
        <v>3006</v>
      </c>
      <c r="K9" s="168" t="s">
        <v>40</v>
      </c>
      <c r="L9" s="169"/>
      <c r="M9" s="170">
        <f t="shared" si="3"/>
        <v>4006</v>
      </c>
      <c r="N9" s="171" t="s">
        <v>34</v>
      </c>
      <c r="O9" s="172"/>
      <c r="P9" s="173">
        <f t="shared" si="4"/>
        <v>5006</v>
      </c>
      <c r="Q9" s="168" t="s">
        <v>47</v>
      </c>
      <c r="R9" s="169"/>
      <c r="S9" s="170">
        <f t="shared" si="5"/>
        <v>6006</v>
      </c>
      <c r="T9" s="247" t="s">
        <v>574</v>
      </c>
      <c r="U9" s="248"/>
      <c r="V9" s="249">
        <f t="shared" si="7"/>
        <v>7014</v>
      </c>
      <c r="W9" s="250" t="s">
        <v>580</v>
      </c>
      <c r="X9" s="169"/>
      <c r="Y9" s="170">
        <f t="shared" si="8"/>
        <v>7022</v>
      </c>
      <c r="Z9" s="232" t="s">
        <v>607</v>
      </c>
      <c r="AA9" s="172"/>
      <c r="AB9" s="173">
        <f t="shared" si="9"/>
        <v>8006</v>
      </c>
      <c r="AC9" s="168" t="s">
        <v>34</v>
      </c>
      <c r="AD9" s="169"/>
      <c r="AE9" s="170">
        <f t="shared" si="10"/>
        <v>9033</v>
      </c>
    </row>
    <row r="10" spans="2:36" x14ac:dyDescent="0.3">
      <c r="B10" s="171" t="s">
        <v>34</v>
      </c>
      <c r="C10" s="172"/>
      <c r="D10" s="246">
        <f t="shared" si="0"/>
        <v>1007</v>
      </c>
      <c r="E10" s="168" t="s">
        <v>34</v>
      </c>
      <c r="F10" s="169"/>
      <c r="G10" s="231">
        <f t="shared" si="1"/>
        <v>2007</v>
      </c>
      <c r="H10" s="171" t="s">
        <v>33</v>
      </c>
      <c r="I10" s="172"/>
      <c r="J10" s="246">
        <f t="shared" si="2"/>
        <v>3007</v>
      </c>
      <c r="K10" s="168" t="s">
        <v>34</v>
      </c>
      <c r="L10" s="169"/>
      <c r="M10" s="170">
        <f t="shared" si="3"/>
        <v>4007</v>
      </c>
      <c r="N10" s="171" t="s">
        <v>34</v>
      </c>
      <c r="O10" s="172"/>
      <c r="P10" s="173">
        <f t="shared" si="4"/>
        <v>5007</v>
      </c>
      <c r="Q10" s="168" t="s">
        <v>34</v>
      </c>
      <c r="R10" s="169"/>
      <c r="S10" s="170">
        <f t="shared" si="5"/>
        <v>6007</v>
      </c>
      <c r="T10" s="247" t="s">
        <v>575</v>
      </c>
      <c r="U10" s="248"/>
      <c r="V10" s="249">
        <f t="shared" si="7"/>
        <v>7015</v>
      </c>
      <c r="W10" s="250" t="s">
        <v>581</v>
      </c>
      <c r="X10" s="169"/>
      <c r="Y10" s="170">
        <f t="shared" si="8"/>
        <v>7023</v>
      </c>
      <c r="Z10" s="232" t="s">
        <v>608</v>
      </c>
      <c r="AA10" s="172"/>
      <c r="AB10" s="173">
        <f t="shared" si="9"/>
        <v>8007</v>
      </c>
      <c r="AC10" s="168" t="s">
        <v>34</v>
      </c>
      <c r="AD10" s="169"/>
      <c r="AE10" s="170">
        <f t="shared" si="10"/>
        <v>9034</v>
      </c>
    </row>
    <row r="11" spans="2:36" x14ac:dyDescent="0.3">
      <c r="B11" s="171" t="s">
        <v>34</v>
      </c>
      <c r="C11" s="172"/>
      <c r="D11" s="246">
        <f t="shared" si="0"/>
        <v>1008</v>
      </c>
      <c r="E11" s="168" t="s">
        <v>34</v>
      </c>
      <c r="F11" s="169"/>
      <c r="G11" s="231">
        <f t="shared" si="1"/>
        <v>2008</v>
      </c>
      <c r="H11" s="171" t="s">
        <v>34</v>
      </c>
      <c r="I11" s="172"/>
      <c r="J11" s="246">
        <f t="shared" si="2"/>
        <v>3008</v>
      </c>
      <c r="K11" s="168" t="s">
        <v>34</v>
      </c>
      <c r="L11" s="169"/>
      <c r="M11" s="170">
        <f t="shared" si="3"/>
        <v>4008</v>
      </c>
      <c r="N11" s="171" t="s">
        <v>34</v>
      </c>
      <c r="O11" s="172"/>
      <c r="P11" s="173">
        <f t="shared" si="4"/>
        <v>5008</v>
      </c>
      <c r="Q11" s="168" t="s">
        <v>34</v>
      </c>
      <c r="R11" s="169"/>
      <c r="S11" s="170">
        <f t="shared" si="5"/>
        <v>6008</v>
      </c>
      <c r="T11" s="251" t="s">
        <v>576</v>
      </c>
      <c r="U11" s="252"/>
      <c r="V11" s="253">
        <f t="shared" si="7"/>
        <v>7016</v>
      </c>
      <c r="W11" s="250" t="s">
        <v>582</v>
      </c>
      <c r="X11" s="169"/>
      <c r="Y11" s="170">
        <f t="shared" si="8"/>
        <v>7024</v>
      </c>
      <c r="Z11" s="232" t="s">
        <v>609</v>
      </c>
      <c r="AA11" s="172"/>
      <c r="AB11" s="173">
        <f t="shared" si="9"/>
        <v>8008</v>
      </c>
      <c r="AC11" s="168" t="s">
        <v>34</v>
      </c>
      <c r="AD11" s="169"/>
      <c r="AE11" s="170">
        <f t="shared" si="10"/>
        <v>9035</v>
      </c>
    </row>
    <row r="12" spans="2:36" x14ac:dyDescent="0.3">
      <c r="B12" s="171" t="s">
        <v>34</v>
      </c>
      <c r="C12" s="172"/>
      <c r="D12" s="246">
        <f t="shared" si="0"/>
        <v>1009</v>
      </c>
      <c r="E12" s="168" t="s">
        <v>34</v>
      </c>
      <c r="F12" s="169"/>
      <c r="G12" s="231">
        <f t="shared" si="1"/>
        <v>2009</v>
      </c>
      <c r="H12" s="171" t="s">
        <v>34</v>
      </c>
      <c r="I12" s="172"/>
      <c r="J12" s="246">
        <f t="shared" si="2"/>
        <v>3009</v>
      </c>
      <c r="K12" s="168" t="s">
        <v>34</v>
      </c>
      <c r="L12" s="169"/>
      <c r="M12" s="170">
        <f t="shared" si="3"/>
        <v>4009</v>
      </c>
      <c r="N12" s="171" t="s">
        <v>34</v>
      </c>
      <c r="O12" s="172"/>
      <c r="P12" s="173">
        <f t="shared" si="4"/>
        <v>5009</v>
      </c>
      <c r="Q12" s="168" t="s">
        <v>34</v>
      </c>
      <c r="R12" s="169"/>
      <c r="S12" s="169">
        <f t="shared" si="5"/>
        <v>6009</v>
      </c>
      <c r="T12" s="174" t="s">
        <v>34</v>
      </c>
      <c r="U12" s="254"/>
      <c r="V12" s="249">
        <v>7030</v>
      </c>
      <c r="W12" s="255" t="s">
        <v>34</v>
      </c>
      <c r="X12" s="169"/>
      <c r="Y12" s="170">
        <f t="shared" si="8"/>
        <v>7025</v>
      </c>
      <c r="Z12" s="174" t="s">
        <v>34</v>
      </c>
      <c r="AA12" s="172"/>
      <c r="AB12" s="173">
        <f t="shared" si="9"/>
        <v>8009</v>
      </c>
      <c r="AC12" s="168" t="s">
        <v>34</v>
      </c>
      <c r="AD12" s="169"/>
      <c r="AE12" s="170">
        <f t="shared" si="10"/>
        <v>9036</v>
      </c>
    </row>
    <row r="13" spans="2:36" x14ac:dyDescent="0.3">
      <c r="B13" s="171" t="s">
        <v>34</v>
      </c>
      <c r="C13" s="172"/>
      <c r="D13" s="246">
        <f t="shared" si="0"/>
        <v>1010</v>
      </c>
      <c r="E13" s="168" t="s">
        <v>34</v>
      </c>
      <c r="F13" s="169"/>
      <c r="G13" s="231">
        <f t="shared" si="1"/>
        <v>2010</v>
      </c>
      <c r="H13" s="171" t="s">
        <v>34</v>
      </c>
      <c r="I13" s="172"/>
      <c r="J13" s="246">
        <f t="shared" si="2"/>
        <v>3010</v>
      </c>
      <c r="K13" s="168" t="s">
        <v>34</v>
      </c>
      <c r="L13" s="169"/>
      <c r="M13" s="170">
        <f t="shared" si="3"/>
        <v>4010</v>
      </c>
      <c r="N13" s="171" t="s">
        <v>34</v>
      </c>
      <c r="O13" s="172"/>
      <c r="P13" s="173">
        <f t="shared" si="4"/>
        <v>5010</v>
      </c>
      <c r="Q13" s="168" t="s">
        <v>34</v>
      </c>
      <c r="R13" s="169"/>
      <c r="S13" s="169">
        <f t="shared" si="5"/>
        <v>6010</v>
      </c>
      <c r="T13" s="174" t="s">
        <v>34</v>
      </c>
      <c r="U13" s="254"/>
      <c r="V13" s="249">
        <v>7031</v>
      </c>
      <c r="W13" s="255" t="s">
        <v>34</v>
      </c>
      <c r="X13" s="169"/>
      <c r="Y13" s="170">
        <f t="shared" si="8"/>
        <v>7026</v>
      </c>
      <c r="Z13" s="174" t="s">
        <v>34</v>
      </c>
      <c r="AA13" s="172"/>
      <c r="AB13" s="173">
        <f t="shared" si="9"/>
        <v>8010</v>
      </c>
      <c r="AC13" s="168" t="s">
        <v>34</v>
      </c>
      <c r="AD13" s="169"/>
      <c r="AE13" s="170">
        <f t="shared" si="10"/>
        <v>9037</v>
      </c>
    </row>
    <row r="14" spans="2:36" x14ac:dyDescent="0.3">
      <c r="B14" s="171" t="s">
        <v>34</v>
      </c>
      <c r="C14" s="172"/>
      <c r="D14" s="246">
        <f t="shared" si="0"/>
        <v>1011</v>
      </c>
      <c r="E14" s="168" t="s">
        <v>34</v>
      </c>
      <c r="F14" s="169"/>
      <c r="G14" s="231">
        <f t="shared" si="1"/>
        <v>2011</v>
      </c>
      <c r="H14" s="171" t="s">
        <v>34</v>
      </c>
      <c r="I14" s="172"/>
      <c r="J14" s="246">
        <f t="shared" si="2"/>
        <v>3011</v>
      </c>
      <c r="K14" s="168" t="s">
        <v>34</v>
      </c>
      <c r="L14" s="169"/>
      <c r="M14" s="170">
        <f t="shared" si="3"/>
        <v>4011</v>
      </c>
      <c r="N14" s="171" t="s">
        <v>34</v>
      </c>
      <c r="O14" s="172"/>
      <c r="P14" s="173">
        <f t="shared" si="4"/>
        <v>5011</v>
      </c>
      <c r="Q14" s="168" t="s">
        <v>34</v>
      </c>
      <c r="R14" s="169"/>
      <c r="S14" s="169">
        <f t="shared" si="5"/>
        <v>6011</v>
      </c>
      <c r="T14" s="174" t="s">
        <v>34</v>
      </c>
      <c r="U14" s="254"/>
      <c r="V14" s="249">
        <v>7032</v>
      </c>
      <c r="W14" s="255" t="s">
        <v>34</v>
      </c>
      <c r="X14" s="169"/>
      <c r="Y14" s="170">
        <f t="shared" si="8"/>
        <v>7027</v>
      </c>
      <c r="Z14" s="174" t="s">
        <v>34</v>
      </c>
      <c r="AA14" s="172"/>
      <c r="AB14" s="173">
        <f t="shared" si="9"/>
        <v>8011</v>
      </c>
      <c r="AC14" s="168" t="s">
        <v>34</v>
      </c>
      <c r="AD14" s="169"/>
      <c r="AE14" s="170">
        <f t="shared" si="10"/>
        <v>9038</v>
      </c>
    </row>
    <row r="15" spans="2:36" x14ac:dyDescent="0.3">
      <c r="B15" s="171" t="s">
        <v>34</v>
      </c>
      <c r="C15" s="172"/>
      <c r="D15" s="246">
        <f t="shared" si="0"/>
        <v>1012</v>
      </c>
      <c r="E15" s="168" t="s">
        <v>34</v>
      </c>
      <c r="F15" s="169"/>
      <c r="G15" s="231">
        <f t="shared" si="1"/>
        <v>2012</v>
      </c>
      <c r="H15" s="171" t="s">
        <v>34</v>
      </c>
      <c r="I15" s="172"/>
      <c r="J15" s="246">
        <f t="shared" si="2"/>
        <v>3012</v>
      </c>
      <c r="K15" s="168" t="s">
        <v>34</v>
      </c>
      <c r="L15" s="169"/>
      <c r="M15" s="170">
        <f t="shared" si="3"/>
        <v>4012</v>
      </c>
      <c r="N15" s="171" t="s">
        <v>34</v>
      </c>
      <c r="O15" s="172"/>
      <c r="P15" s="173">
        <f t="shared" si="4"/>
        <v>5012</v>
      </c>
      <c r="Q15" s="168" t="s">
        <v>34</v>
      </c>
      <c r="R15" s="169"/>
      <c r="S15" s="169">
        <f t="shared" si="5"/>
        <v>6012</v>
      </c>
      <c r="T15" s="174" t="s">
        <v>34</v>
      </c>
      <c r="U15" s="254"/>
      <c r="V15" s="249">
        <v>7033</v>
      </c>
      <c r="W15" s="255" t="s">
        <v>34</v>
      </c>
      <c r="X15" s="169"/>
      <c r="Y15" s="170">
        <f t="shared" si="8"/>
        <v>7028</v>
      </c>
      <c r="Z15" s="174" t="s">
        <v>34</v>
      </c>
      <c r="AA15" s="172"/>
      <c r="AB15" s="173">
        <f t="shared" si="9"/>
        <v>8012</v>
      </c>
      <c r="AC15" s="168" t="s">
        <v>34</v>
      </c>
      <c r="AD15" s="169"/>
      <c r="AE15" s="170">
        <f t="shared" si="10"/>
        <v>9039</v>
      </c>
    </row>
    <row r="16" spans="2:36" x14ac:dyDescent="0.3">
      <c r="B16" s="171" t="s">
        <v>34</v>
      </c>
      <c r="C16" s="172"/>
      <c r="D16" s="246">
        <f t="shared" si="0"/>
        <v>1013</v>
      </c>
      <c r="E16" s="168" t="s">
        <v>34</v>
      </c>
      <c r="F16" s="169"/>
      <c r="G16" s="231">
        <f t="shared" si="1"/>
        <v>2013</v>
      </c>
      <c r="H16" s="171" t="s">
        <v>34</v>
      </c>
      <c r="I16" s="172"/>
      <c r="J16" s="246">
        <f t="shared" si="2"/>
        <v>3013</v>
      </c>
      <c r="K16" s="168" t="s">
        <v>34</v>
      </c>
      <c r="L16" s="169"/>
      <c r="M16" s="170">
        <f t="shared" si="3"/>
        <v>4013</v>
      </c>
      <c r="N16" s="171" t="s">
        <v>34</v>
      </c>
      <c r="O16" s="172"/>
      <c r="P16" s="173">
        <f t="shared" si="4"/>
        <v>5013</v>
      </c>
      <c r="Q16" s="168" t="s">
        <v>34</v>
      </c>
      <c r="R16" s="169"/>
      <c r="S16" s="169">
        <f t="shared" si="5"/>
        <v>6013</v>
      </c>
      <c r="T16" s="256" t="s">
        <v>34</v>
      </c>
      <c r="U16" s="257"/>
      <c r="V16" s="258">
        <v>7034</v>
      </c>
      <c r="W16" s="255" t="s">
        <v>34</v>
      </c>
      <c r="X16" s="169"/>
      <c r="Y16" s="170">
        <f t="shared" si="8"/>
        <v>7029</v>
      </c>
      <c r="Z16" s="174" t="s">
        <v>34</v>
      </c>
      <c r="AA16" s="172"/>
      <c r="AB16" s="173">
        <f t="shared" si="9"/>
        <v>8013</v>
      </c>
      <c r="AC16" s="168" t="s">
        <v>34</v>
      </c>
      <c r="AD16" s="169"/>
      <c r="AE16" s="170">
        <f t="shared" si="10"/>
        <v>9040</v>
      </c>
    </row>
    <row r="18" spans="2:33" x14ac:dyDescent="0.3">
      <c r="B18" s="396" t="s">
        <v>192</v>
      </c>
      <c r="C18" s="397"/>
      <c r="D18" s="397"/>
      <c r="E18" s="397"/>
      <c r="F18" s="397"/>
      <c r="G18" s="397"/>
      <c r="H18" s="397"/>
      <c r="I18" s="397"/>
      <c r="J18" s="397"/>
      <c r="K18" s="397"/>
      <c r="L18" s="398"/>
      <c r="N18" s="410" t="s">
        <v>485</v>
      </c>
      <c r="O18" s="411"/>
      <c r="P18" s="411"/>
      <c r="Q18" s="412"/>
      <c r="S18" s="401" t="s">
        <v>15</v>
      </c>
      <c r="T18" s="402"/>
      <c r="U18" s="402"/>
      <c r="V18" s="402"/>
      <c r="W18" s="402"/>
      <c r="X18" s="403"/>
      <c r="Z18" s="414" t="s">
        <v>201</v>
      </c>
      <c r="AA18" s="414"/>
      <c r="AB18" s="414"/>
      <c r="AD18" s="410" t="s">
        <v>486</v>
      </c>
      <c r="AE18" s="411"/>
      <c r="AF18" s="411"/>
      <c r="AG18" s="412"/>
    </row>
    <row r="19" spans="2:33" x14ac:dyDescent="0.3">
      <c r="B19" s="28" t="s">
        <v>213</v>
      </c>
      <c r="C19" s="28" t="s">
        <v>195</v>
      </c>
      <c r="D19" s="28">
        <v>5000</v>
      </c>
      <c r="E19" s="28" t="s">
        <v>196</v>
      </c>
      <c r="F19" s="28" t="s">
        <v>196</v>
      </c>
      <c r="G19" s="28" t="s">
        <v>196</v>
      </c>
      <c r="H19" s="28" t="s">
        <v>196</v>
      </c>
      <c r="I19" s="28" t="s">
        <v>196</v>
      </c>
      <c r="J19" s="28" t="s">
        <v>196</v>
      </c>
      <c r="K19" s="28" t="s">
        <v>196</v>
      </c>
      <c r="L19" s="28" t="s">
        <v>196</v>
      </c>
      <c r="N19" s="46" t="s">
        <v>206</v>
      </c>
      <c r="O19" s="46" t="s">
        <v>193</v>
      </c>
      <c r="P19" s="46" t="s">
        <v>194</v>
      </c>
      <c r="Q19" s="47" t="s">
        <v>219</v>
      </c>
      <c r="R19" s="27"/>
      <c r="S19" s="57" t="s">
        <v>14</v>
      </c>
      <c r="T19" s="58"/>
      <c r="U19" s="59" t="s">
        <v>18</v>
      </c>
      <c r="V19" s="59" t="s">
        <v>16</v>
      </c>
      <c r="W19" s="56" t="s">
        <v>299</v>
      </c>
      <c r="X19" s="32" t="s">
        <v>300</v>
      </c>
      <c r="Z19" s="32" t="s">
        <v>304</v>
      </c>
      <c r="AA19" s="32" t="s">
        <v>193</v>
      </c>
      <c r="AB19" s="32" t="s">
        <v>194</v>
      </c>
      <c r="AD19" s="46" t="s">
        <v>206</v>
      </c>
      <c r="AE19" s="46" t="s">
        <v>193</v>
      </c>
      <c r="AF19" s="46" t="s">
        <v>194</v>
      </c>
      <c r="AG19" s="47" t="s">
        <v>219</v>
      </c>
    </row>
    <row r="20" spans="2:33" x14ac:dyDescent="0.3">
      <c r="B20" s="30"/>
      <c r="C20" s="30"/>
      <c r="D20" s="30"/>
      <c r="E20" s="30"/>
      <c r="F20" s="30"/>
      <c r="G20" s="30"/>
      <c r="H20" s="30"/>
      <c r="I20" s="30"/>
      <c r="J20" s="30"/>
      <c r="K20" s="30"/>
      <c r="L20" s="30"/>
      <c r="N20" s="33" t="s">
        <v>208</v>
      </c>
      <c r="O20" s="34">
        <v>3.5</v>
      </c>
      <c r="P20" s="33" t="s">
        <v>207</v>
      </c>
      <c r="Q20" s="33" t="b">
        <v>1</v>
      </c>
      <c r="S20" s="233" t="s">
        <v>34</v>
      </c>
      <c r="T20" s="234"/>
      <c r="U20" s="235" t="s">
        <v>214</v>
      </c>
      <c r="V20" s="236">
        <v>1000</v>
      </c>
      <c r="W20" s="237">
        <v>84</v>
      </c>
      <c r="X20" s="238" t="s">
        <v>302</v>
      </c>
      <c r="Z20" s="20" t="s">
        <v>202</v>
      </c>
      <c r="AA20" s="21">
        <v>0.03</v>
      </c>
      <c r="AB20" s="20" t="s">
        <v>11</v>
      </c>
      <c r="AD20" s="33" t="s">
        <v>208</v>
      </c>
      <c r="AE20" s="34">
        <f>O20</f>
        <v>3.5</v>
      </c>
      <c r="AF20" s="33" t="s">
        <v>207</v>
      </c>
      <c r="AG20" s="33" t="b">
        <v>1</v>
      </c>
    </row>
    <row r="21" spans="2:33" x14ac:dyDescent="0.3">
      <c r="B21" s="31">
        <v>2</v>
      </c>
      <c r="C21" s="31">
        <v>70</v>
      </c>
      <c r="D21" s="31">
        <f>C21/2</f>
        <v>35</v>
      </c>
      <c r="E21" s="31"/>
      <c r="F21" s="31"/>
      <c r="G21" s="31"/>
      <c r="H21" s="31"/>
      <c r="I21" s="31"/>
      <c r="J21" s="31"/>
      <c r="K21" s="31"/>
      <c r="L21" s="31"/>
      <c r="N21" s="33" t="s">
        <v>209</v>
      </c>
      <c r="O21" s="34">
        <v>40</v>
      </c>
      <c r="P21" s="33" t="s">
        <v>11</v>
      </c>
      <c r="Q21" s="33" t="b">
        <v>1</v>
      </c>
      <c r="S21" s="233" t="s">
        <v>34</v>
      </c>
      <c r="T21" s="234"/>
      <c r="U21" s="238" t="s">
        <v>215</v>
      </c>
      <c r="V21" s="236">
        <v>2000</v>
      </c>
      <c r="W21" s="237">
        <v>84</v>
      </c>
      <c r="X21" s="238" t="s">
        <v>302</v>
      </c>
      <c r="Z21" s="20" t="s">
        <v>203</v>
      </c>
      <c r="AA21" s="21">
        <v>2.0000000000000002E-5</v>
      </c>
      <c r="AB21" s="20" t="s">
        <v>11</v>
      </c>
      <c r="AD21" s="33" t="s">
        <v>209</v>
      </c>
      <c r="AE21" s="34">
        <v>0</v>
      </c>
      <c r="AF21" s="33" t="s">
        <v>11</v>
      </c>
      <c r="AG21" s="33" t="b">
        <v>1</v>
      </c>
    </row>
    <row r="22" spans="2:33" x14ac:dyDescent="0.3">
      <c r="B22" s="31">
        <v>2</v>
      </c>
      <c r="C22" s="31">
        <v>140</v>
      </c>
      <c r="D22" s="31">
        <f t="shared" ref="D22:D31" si="11">C22/2</f>
        <v>70</v>
      </c>
      <c r="E22" s="31"/>
      <c r="F22" s="31"/>
      <c r="G22" s="31"/>
      <c r="H22" s="31"/>
      <c r="I22" s="31"/>
      <c r="J22" s="31"/>
      <c r="K22" s="31"/>
      <c r="L22" s="31"/>
      <c r="N22" s="33"/>
      <c r="O22" s="34"/>
      <c r="P22" s="33"/>
      <c r="Q22" s="33"/>
      <c r="S22" s="239" t="s">
        <v>17</v>
      </c>
      <c r="T22" s="234"/>
      <c r="U22" s="234" t="s">
        <v>19</v>
      </c>
      <c r="V22" s="236">
        <v>3000</v>
      </c>
      <c r="W22" s="237">
        <v>84</v>
      </c>
      <c r="X22" s="238" t="s">
        <v>302</v>
      </c>
      <c r="Z22" s="20" t="s">
        <v>204</v>
      </c>
      <c r="AA22" s="21">
        <v>2.0010000000000002E-3</v>
      </c>
      <c r="AB22" s="20" t="s">
        <v>11</v>
      </c>
      <c r="AD22" s="33" t="s">
        <v>291</v>
      </c>
      <c r="AE22" s="34">
        <v>22000</v>
      </c>
      <c r="AF22" s="33" t="s">
        <v>11</v>
      </c>
      <c r="AG22" s="33" t="b">
        <v>1</v>
      </c>
    </row>
    <row r="23" spans="2:33" x14ac:dyDescent="0.3">
      <c r="B23" s="31">
        <v>2</v>
      </c>
      <c r="C23" s="31">
        <v>0</v>
      </c>
      <c r="D23" s="31">
        <f t="shared" si="11"/>
        <v>0</v>
      </c>
      <c r="E23" s="31"/>
      <c r="F23" s="31"/>
      <c r="G23" s="31"/>
      <c r="H23" s="31"/>
      <c r="I23" s="31"/>
      <c r="J23" s="31"/>
      <c r="K23" s="31"/>
      <c r="L23" s="31"/>
      <c r="N23" s="33"/>
      <c r="O23" s="34"/>
      <c r="P23" s="33"/>
      <c r="Q23" s="33"/>
      <c r="S23" s="239" t="s">
        <v>20</v>
      </c>
      <c r="T23" s="234"/>
      <c r="U23" s="236" t="s">
        <v>21</v>
      </c>
      <c r="V23" s="236">
        <v>4000</v>
      </c>
      <c r="W23" s="237">
        <v>84</v>
      </c>
      <c r="X23" s="238" t="s">
        <v>302</v>
      </c>
      <c r="Z23" s="20" t="s">
        <v>220</v>
      </c>
      <c r="AA23" s="21">
        <v>1</v>
      </c>
      <c r="AB23" s="20" t="s">
        <v>205</v>
      </c>
      <c r="AD23" s="33" t="s">
        <v>292</v>
      </c>
      <c r="AE23" s="34">
        <v>42000</v>
      </c>
      <c r="AF23" s="33" t="s">
        <v>11</v>
      </c>
      <c r="AG23" s="33" t="b">
        <v>1</v>
      </c>
    </row>
    <row r="24" spans="2:33" x14ac:dyDescent="0.3">
      <c r="B24" s="31">
        <v>2</v>
      </c>
      <c r="C24" s="31">
        <v>70</v>
      </c>
      <c r="D24" s="31">
        <f t="shared" si="11"/>
        <v>35</v>
      </c>
      <c r="E24" s="31"/>
      <c r="F24" s="31"/>
      <c r="G24" s="31"/>
      <c r="H24" s="31"/>
      <c r="I24" s="31"/>
      <c r="J24" s="31"/>
      <c r="K24" s="31"/>
      <c r="L24" s="31"/>
      <c r="N24" s="33"/>
      <c r="O24" s="34"/>
      <c r="P24" s="33"/>
      <c r="Q24" s="33"/>
      <c r="S24" s="239" t="s">
        <v>22</v>
      </c>
      <c r="T24" s="234"/>
      <c r="U24" s="236" t="s">
        <v>23</v>
      </c>
      <c r="V24" s="236">
        <v>5000</v>
      </c>
      <c r="W24" s="237">
        <v>84</v>
      </c>
      <c r="X24" s="238" t="s">
        <v>303</v>
      </c>
      <c r="Z24" s="20" t="s">
        <v>679</v>
      </c>
      <c r="AA24" s="21">
        <v>1</v>
      </c>
      <c r="AB24" s="20" t="s">
        <v>680</v>
      </c>
      <c r="AD24" s="33" t="s">
        <v>293</v>
      </c>
      <c r="AE24" s="34">
        <v>45000</v>
      </c>
      <c r="AF24" s="33" t="s">
        <v>11</v>
      </c>
      <c r="AG24" s="33" t="b">
        <v>1</v>
      </c>
    </row>
    <row r="25" spans="2:33" x14ac:dyDescent="0.3">
      <c r="B25" s="31">
        <v>2</v>
      </c>
      <c r="C25" s="31">
        <v>140</v>
      </c>
      <c r="D25" s="31">
        <f t="shared" si="11"/>
        <v>70</v>
      </c>
      <c r="E25" s="31"/>
      <c r="F25" s="31"/>
      <c r="G25" s="31"/>
      <c r="H25" s="31"/>
      <c r="I25" s="31"/>
      <c r="J25" s="31"/>
      <c r="K25" s="31"/>
      <c r="L25" s="31"/>
      <c r="N25" s="33"/>
      <c r="O25" s="34"/>
      <c r="P25" s="33"/>
      <c r="Q25" s="33"/>
      <c r="S25" s="239" t="s">
        <v>24</v>
      </c>
      <c r="T25" s="234"/>
      <c r="U25" s="236" t="s">
        <v>25</v>
      </c>
      <c r="V25" s="236">
        <v>6000</v>
      </c>
      <c r="W25" s="237">
        <v>84</v>
      </c>
      <c r="X25" s="238" t="s">
        <v>302</v>
      </c>
      <c r="AD25" s="33" t="s">
        <v>294</v>
      </c>
      <c r="AE25" s="34">
        <v>65000</v>
      </c>
      <c r="AF25" s="33" t="s">
        <v>11</v>
      </c>
      <c r="AG25" s="33" t="b">
        <v>1</v>
      </c>
    </row>
    <row r="26" spans="2:33" x14ac:dyDescent="0.3">
      <c r="B26" s="31">
        <v>150</v>
      </c>
      <c r="C26" s="31">
        <v>0</v>
      </c>
      <c r="D26" s="31">
        <f t="shared" si="11"/>
        <v>0</v>
      </c>
      <c r="E26" s="31"/>
      <c r="F26" s="31"/>
      <c r="G26" s="31"/>
      <c r="H26" s="31"/>
      <c r="I26" s="31"/>
      <c r="J26" s="31"/>
      <c r="K26" s="31"/>
      <c r="L26" s="31"/>
      <c r="N26" s="33" t="s">
        <v>439</v>
      </c>
      <c r="O26" s="34">
        <v>24000</v>
      </c>
      <c r="P26" s="33" t="s">
        <v>11</v>
      </c>
      <c r="Q26" s="33" t="b">
        <v>1</v>
      </c>
      <c r="S26" s="233" t="s">
        <v>654</v>
      </c>
      <c r="T26" s="234"/>
      <c r="U26" s="238" t="s">
        <v>655</v>
      </c>
      <c r="V26" s="236">
        <v>7000</v>
      </c>
      <c r="W26" s="237">
        <v>84</v>
      </c>
      <c r="X26" s="238" t="s">
        <v>302</v>
      </c>
      <c r="Z26" s="413" t="s">
        <v>252</v>
      </c>
      <c r="AA26" s="413"/>
      <c r="AB26" s="413"/>
      <c r="AD26" s="33" t="s">
        <v>439</v>
      </c>
      <c r="AE26" s="34">
        <v>52000</v>
      </c>
      <c r="AF26" s="33" t="s">
        <v>11</v>
      </c>
      <c r="AG26" s="33" t="b">
        <v>1</v>
      </c>
    </row>
    <row r="27" spans="2:33" x14ac:dyDescent="0.3">
      <c r="B27" s="31">
        <v>100</v>
      </c>
      <c r="C27" s="31">
        <v>10</v>
      </c>
      <c r="D27" s="31">
        <f t="shared" si="11"/>
        <v>5</v>
      </c>
      <c r="E27" s="31"/>
      <c r="F27" s="31"/>
      <c r="G27" s="31"/>
      <c r="H27" s="31"/>
      <c r="I27" s="31"/>
      <c r="J27" s="31"/>
      <c r="K27" s="31"/>
      <c r="L27" s="31"/>
      <c r="N27" s="33" t="s">
        <v>440</v>
      </c>
      <c r="O27" s="34">
        <v>18000</v>
      </c>
      <c r="P27" s="33" t="s">
        <v>11</v>
      </c>
      <c r="Q27" s="33" t="b">
        <v>1</v>
      </c>
      <c r="S27" s="233" t="s">
        <v>656</v>
      </c>
      <c r="T27" s="234"/>
      <c r="U27" s="238" t="s">
        <v>657</v>
      </c>
      <c r="V27" s="236">
        <v>7000</v>
      </c>
      <c r="W27" s="237">
        <v>84</v>
      </c>
      <c r="X27" s="238" t="s">
        <v>302</v>
      </c>
      <c r="Z27" s="26" t="s">
        <v>304</v>
      </c>
      <c r="AA27" s="26" t="s">
        <v>193</v>
      </c>
      <c r="AB27" s="26" t="s">
        <v>194</v>
      </c>
      <c r="AD27" s="33" t="s">
        <v>440</v>
      </c>
      <c r="AE27" s="34">
        <v>15000</v>
      </c>
      <c r="AF27" s="33" t="s">
        <v>11</v>
      </c>
      <c r="AG27" s="33" t="b">
        <v>1</v>
      </c>
    </row>
    <row r="28" spans="2:33" x14ac:dyDescent="0.3">
      <c r="B28" s="31">
        <v>100</v>
      </c>
      <c r="C28" s="31">
        <v>20</v>
      </c>
      <c r="D28" s="31">
        <f t="shared" si="11"/>
        <v>10</v>
      </c>
      <c r="E28" s="31"/>
      <c r="F28" s="31"/>
      <c r="G28" s="31"/>
      <c r="H28" s="31"/>
      <c r="I28" s="31"/>
      <c r="J28" s="31"/>
      <c r="K28" s="31"/>
      <c r="L28" s="31"/>
      <c r="N28" s="33" t="s">
        <v>487</v>
      </c>
      <c r="O28" s="34">
        <v>65000</v>
      </c>
      <c r="P28" s="33" t="s">
        <v>11</v>
      </c>
      <c r="Q28" s="33" t="b">
        <v>1</v>
      </c>
      <c r="S28" s="233" t="s">
        <v>610</v>
      </c>
      <c r="T28" s="234"/>
      <c r="U28" s="238" t="s">
        <v>611</v>
      </c>
      <c r="V28" s="236">
        <v>8000</v>
      </c>
      <c r="W28" s="237">
        <v>84</v>
      </c>
      <c r="X28" s="238" t="s">
        <v>302</v>
      </c>
      <c r="Z28" s="29" t="s">
        <v>460</v>
      </c>
      <c r="AA28" s="29" t="s">
        <v>198</v>
      </c>
      <c r="AB28" s="29" t="s">
        <v>11</v>
      </c>
      <c r="AD28" s="33" t="s">
        <v>487</v>
      </c>
      <c r="AE28" s="34">
        <v>64500</v>
      </c>
      <c r="AF28" s="33" t="s">
        <v>11</v>
      </c>
      <c r="AG28" s="33" t="b">
        <v>1</v>
      </c>
    </row>
    <row r="29" spans="2:33" x14ac:dyDescent="0.3">
      <c r="B29" s="31">
        <v>100</v>
      </c>
      <c r="C29" s="31">
        <v>40</v>
      </c>
      <c r="D29" s="31">
        <f t="shared" si="11"/>
        <v>20</v>
      </c>
      <c r="E29" s="31"/>
      <c r="F29" s="31"/>
      <c r="G29" s="31"/>
      <c r="H29" s="31"/>
      <c r="I29" s="31"/>
      <c r="J29" s="31"/>
      <c r="K29" s="31"/>
      <c r="L29" s="31"/>
      <c r="N29" s="33" t="s">
        <v>488</v>
      </c>
      <c r="O29" s="34">
        <v>40000</v>
      </c>
      <c r="P29" s="33" t="s">
        <v>11</v>
      </c>
      <c r="Q29" s="33" t="b">
        <v>1</v>
      </c>
      <c r="S29" s="233" t="s">
        <v>784</v>
      </c>
      <c r="T29" s="234"/>
      <c r="U29" s="235" t="s">
        <v>785</v>
      </c>
      <c r="V29" s="236">
        <v>9000</v>
      </c>
      <c r="W29" s="237">
        <v>84</v>
      </c>
      <c r="X29" s="238" t="s">
        <v>302</v>
      </c>
      <c r="Z29" s="29" t="s">
        <v>253</v>
      </c>
      <c r="AA29" s="29">
        <v>100</v>
      </c>
      <c r="AB29" s="29" t="s">
        <v>11</v>
      </c>
      <c r="AD29" s="33" t="s">
        <v>488</v>
      </c>
      <c r="AE29" s="34">
        <v>5000</v>
      </c>
      <c r="AF29" s="33" t="s">
        <v>11</v>
      </c>
      <c r="AG29" s="33" t="b">
        <v>1</v>
      </c>
    </row>
    <row r="30" spans="2:33" x14ac:dyDescent="0.3">
      <c r="B30" s="31">
        <v>100</v>
      </c>
      <c r="C30" s="31">
        <v>60</v>
      </c>
      <c r="D30" s="31">
        <f t="shared" si="11"/>
        <v>30</v>
      </c>
      <c r="E30" s="31"/>
      <c r="F30" s="31"/>
      <c r="G30" s="31"/>
      <c r="H30" s="31"/>
      <c r="I30" s="31"/>
      <c r="J30" s="31"/>
      <c r="K30" s="31"/>
      <c r="L30" s="31"/>
      <c r="N30" s="33" t="s">
        <v>210</v>
      </c>
      <c r="O30" s="34">
        <v>30</v>
      </c>
      <c r="P30" s="33" t="s">
        <v>211</v>
      </c>
      <c r="Q30" s="33" t="b">
        <v>1</v>
      </c>
      <c r="S30" s="233" t="s">
        <v>34</v>
      </c>
      <c r="T30" s="234"/>
      <c r="U30" s="235" t="s">
        <v>216</v>
      </c>
      <c r="V30" s="236">
        <v>10000</v>
      </c>
      <c r="W30" s="237">
        <v>84</v>
      </c>
      <c r="X30" s="238" t="s">
        <v>302</v>
      </c>
      <c r="Z30" s="29" t="s">
        <v>254</v>
      </c>
      <c r="AA30" s="29">
        <v>100</v>
      </c>
      <c r="AB30" s="29" t="s">
        <v>11</v>
      </c>
      <c r="AD30" s="33" t="s">
        <v>210</v>
      </c>
      <c r="AE30" s="34">
        <v>30</v>
      </c>
      <c r="AF30" s="33" t="s">
        <v>211</v>
      </c>
      <c r="AG30" s="33" t="b">
        <v>0</v>
      </c>
    </row>
    <row r="31" spans="2:33" x14ac:dyDescent="0.3">
      <c r="B31" s="31">
        <v>100</v>
      </c>
      <c r="C31" s="31">
        <v>80</v>
      </c>
      <c r="D31" s="31">
        <f t="shared" si="11"/>
        <v>40</v>
      </c>
      <c r="E31" s="31"/>
      <c r="F31" s="31"/>
      <c r="G31" s="31"/>
      <c r="H31" s="31"/>
      <c r="I31" s="31"/>
      <c r="J31" s="31"/>
      <c r="K31" s="31"/>
      <c r="L31" s="31"/>
      <c r="N31" s="33" t="s">
        <v>212</v>
      </c>
      <c r="O31" s="34">
        <v>-1</v>
      </c>
      <c r="P31" s="33" t="s">
        <v>11</v>
      </c>
      <c r="Q31" s="33" t="b">
        <v>1</v>
      </c>
      <c r="S31" s="233" t="s">
        <v>34</v>
      </c>
      <c r="T31" s="234"/>
      <c r="U31" s="235" t="s">
        <v>217</v>
      </c>
      <c r="V31" s="236">
        <v>11000</v>
      </c>
      <c r="W31" s="237">
        <v>84</v>
      </c>
      <c r="X31" s="238" t="s">
        <v>302</v>
      </c>
      <c r="Z31" s="29" t="s">
        <v>323</v>
      </c>
      <c r="AA31" s="29">
        <v>0</v>
      </c>
      <c r="AB31" s="29" t="s">
        <v>11</v>
      </c>
      <c r="AD31" s="33" t="s">
        <v>212</v>
      </c>
      <c r="AE31" s="34">
        <v>-1</v>
      </c>
      <c r="AF31" s="33" t="s">
        <v>11</v>
      </c>
      <c r="AG31" s="33" t="b">
        <v>0</v>
      </c>
    </row>
    <row r="32" spans="2:33" x14ac:dyDescent="0.3">
      <c r="B32" s="31">
        <v>2</v>
      </c>
      <c r="C32" s="31">
        <v>90</v>
      </c>
      <c r="D32" s="31">
        <f t="shared" ref="D32:D38" si="12">C32/2</f>
        <v>45</v>
      </c>
      <c r="E32" s="31"/>
      <c r="F32" s="31"/>
      <c r="G32" s="31"/>
      <c r="H32" s="31"/>
      <c r="I32" s="31"/>
      <c r="J32" s="31"/>
      <c r="K32" s="31"/>
      <c r="L32" s="31"/>
      <c r="N32" s="33"/>
      <c r="O32" s="34"/>
      <c r="P32" s="33"/>
      <c r="Q32" s="33" t="b">
        <v>0</v>
      </c>
      <c r="S32" s="233" t="s">
        <v>34</v>
      </c>
      <c r="T32" s="234"/>
      <c r="U32" s="235" t="s">
        <v>218</v>
      </c>
      <c r="V32" s="236">
        <v>12000</v>
      </c>
      <c r="W32" s="237">
        <v>84</v>
      </c>
      <c r="X32" s="238" t="s">
        <v>302</v>
      </c>
      <c r="Z32" s="29" t="s">
        <v>461</v>
      </c>
      <c r="AA32" s="29" t="s">
        <v>431</v>
      </c>
      <c r="AB32" s="29" t="s">
        <v>11</v>
      </c>
      <c r="AD32" s="33" t="s">
        <v>532</v>
      </c>
      <c r="AE32" s="34">
        <v>1000</v>
      </c>
      <c r="AF32" s="33" t="s">
        <v>11</v>
      </c>
      <c r="AG32" s="33" t="b">
        <v>1</v>
      </c>
    </row>
    <row r="33" spans="2:33" x14ac:dyDescent="0.3">
      <c r="B33" s="31">
        <v>100</v>
      </c>
      <c r="C33" s="31">
        <v>80</v>
      </c>
      <c r="D33" s="31">
        <f t="shared" si="12"/>
        <v>40</v>
      </c>
      <c r="E33" s="31"/>
      <c r="F33" s="31"/>
      <c r="G33" s="31"/>
      <c r="H33" s="31"/>
      <c r="I33" s="31"/>
      <c r="J33" s="31"/>
      <c r="K33" s="31"/>
      <c r="L33" s="31"/>
      <c r="N33" s="78"/>
      <c r="O33" s="34"/>
      <c r="P33" s="78"/>
      <c r="Q33" s="78" t="b">
        <v>0</v>
      </c>
      <c r="S33" s="233"/>
      <c r="T33" s="234"/>
      <c r="U33" s="235"/>
      <c r="V33" s="236"/>
      <c r="W33" s="237"/>
      <c r="X33" s="238"/>
      <c r="Z33" s="119"/>
      <c r="AA33" s="119"/>
      <c r="AD33" s="78"/>
      <c r="AE33" s="34"/>
      <c r="AF33" s="78"/>
      <c r="AG33" s="78"/>
    </row>
    <row r="34" spans="2:33" x14ac:dyDescent="0.3">
      <c r="B34" s="31">
        <v>100</v>
      </c>
      <c r="C34" s="31">
        <v>60</v>
      </c>
      <c r="D34" s="31">
        <f t="shared" si="12"/>
        <v>30</v>
      </c>
      <c r="E34" s="31"/>
      <c r="F34" s="31"/>
      <c r="G34" s="31"/>
      <c r="H34" s="31"/>
      <c r="I34" s="31"/>
      <c r="J34" s="31"/>
      <c r="K34" s="31"/>
      <c r="L34" s="31"/>
    </row>
    <row r="35" spans="2:33" x14ac:dyDescent="0.3">
      <c r="B35" s="31">
        <v>100</v>
      </c>
      <c r="C35" s="31">
        <v>40</v>
      </c>
      <c r="D35" s="31">
        <f t="shared" si="12"/>
        <v>20</v>
      </c>
      <c r="E35" s="31"/>
      <c r="F35" s="31"/>
      <c r="G35" s="31"/>
      <c r="H35" s="31"/>
      <c r="I35" s="31"/>
      <c r="J35" s="31"/>
      <c r="K35" s="31"/>
      <c r="L35" s="31"/>
      <c r="N35" s="407" t="s">
        <v>255</v>
      </c>
      <c r="O35" s="408"/>
      <c r="P35" s="408"/>
      <c r="Q35" s="408"/>
      <c r="R35" s="408"/>
      <c r="S35" s="408"/>
      <c r="T35" s="408"/>
      <c r="U35" s="408"/>
      <c r="V35" s="408"/>
      <c r="W35" s="408"/>
      <c r="X35" s="408"/>
      <c r="Y35" s="408"/>
      <c r="Z35" s="408"/>
      <c r="AA35" s="409"/>
      <c r="AC35" s="404" t="s">
        <v>305</v>
      </c>
      <c r="AD35" s="405"/>
      <c r="AE35" s="406"/>
    </row>
    <row r="36" spans="2:33" x14ac:dyDescent="0.3">
      <c r="B36" s="31">
        <v>100</v>
      </c>
      <c r="C36" s="31">
        <v>20</v>
      </c>
      <c r="D36" s="31">
        <f t="shared" si="12"/>
        <v>10</v>
      </c>
      <c r="E36" s="31"/>
      <c r="F36" s="31"/>
      <c r="G36" s="31"/>
      <c r="H36" s="31"/>
      <c r="I36" s="31"/>
      <c r="J36" s="31"/>
      <c r="K36" s="31"/>
      <c r="L36" s="31"/>
      <c r="N36" s="25" t="s">
        <v>48</v>
      </c>
      <c r="O36" s="25" t="s">
        <v>276</v>
      </c>
      <c r="P36" s="41" t="s">
        <v>277</v>
      </c>
      <c r="Q36" s="24"/>
      <c r="R36" s="24"/>
      <c r="S36" s="42"/>
      <c r="T36" s="49" t="s">
        <v>232</v>
      </c>
      <c r="U36" s="49"/>
      <c r="V36" s="49"/>
      <c r="W36" s="49"/>
      <c r="X36" s="49"/>
      <c r="Y36" s="49"/>
      <c r="Z36" s="49"/>
      <c r="AA36" s="50"/>
      <c r="AC36" s="63" t="s">
        <v>306</v>
      </c>
      <c r="AD36" s="63" t="s">
        <v>303</v>
      </c>
      <c r="AE36" s="63" t="s">
        <v>302</v>
      </c>
    </row>
    <row r="37" spans="2:33" x14ac:dyDescent="0.3">
      <c r="B37" s="31">
        <v>100</v>
      </c>
      <c r="C37" s="31">
        <v>10</v>
      </c>
      <c r="D37" s="31">
        <f t="shared" si="12"/>
        <v>5</v>
      </c>
      <c r="E37" s="31"/>
      <c r="F37" s="31"/>
      <c r="G37" s="31"/>
      <c r="H37" s="31"/>
      <c r="I37" s="31"/>
      <c r="J37" s="31"/>
      <c r="K37" s="31"/>
      <c r="L37" s="31"/>
      <c r="N37" s="48">
        <v>0</v>
      </c>
      <c r="O37" s="54" t="s">
        <v>452</v>
      </c>
      <c r="P37" s="52" t="s">
        <v>412</v>
      </c>
      <c r="Q37" s="22"/>
      <c r="R37" s="22"/>
      <c r="S37" s="51"/>
      <c r="T37" s="53" t="s">
        <v>490</v>
      </c>
      <c r="U37" s="22"/>
      <c r="V37" s="22"/>
      <c r="W37" s="22"/>
      <c r="X37" s="22"/>
      <c r="Y37" s="22"/>
      <c r="Z37" s="22"/>
      <c r="AA37" s="51"/>
      <c r="AC37" s="31">
        <v>0</v>
      </c>
      <c r="AD37" s="31">
        <v>2</v>
      </c>
      <c r="AE37" s="31">
        <v>2</v>
      </c>
    </row>
    <row r="38" spans="2:33" x14ac:dyDescent="0.3">
      <c r="B38" s="31">
        <v>150</v>
      </c>
      <c r="C38" s="31">
        <v>0</v>
      </c>
      <c r="D38" s="31">
        <f t="shared" si="12"/>
        <v>0</v>
      </c>
      <c r="E38" s="31"/>
      <c r="F38" s="31"/>
      <c r="G38" s="31"/>
      <c r="H38" s="31"/>
      <c r="I38" s="31"/>
      <c r="J38" s="31"/>
      <c r="K38" s="31"/>
      <c r="L38" s="31"/>
      <c r="N38" s="48">
        <v>1</v>
      </c>
      <c r="O38" s="54" t="s">
        <v>278</v>
      </c>
      <c r="P38" s="52" t="s">
        <v>256</v>
      </c>
      <c r="Q38" s="22"/>
      <c r="R38" s="22"/>
      <c r="S38" s="51"/>
      <c r="T38" s="53" t="s">
        <v>264</v>
      </c>
      <c r="U38" s="22"/>
      <c r="V38" s="22"/>
      <c r="W38" s="22"/>
      <c r="X38" s="22"/>
      <c r="Y38" s="22"/>
      <c r="Z38" s="22"/>
      <c r="AA38" s="51"/>
      <c r="AC38" s="31">
        <v>1</v>
      </c>
      <c r="AD38" s="31">
        <v>2</v>
      </c>
      <c r="AE38" s="31">
        <v>2</v>
      </c>
    </row>
    <row r="39" spans="2:33" x14ac:dyDescent="0.3">
      <c r="B39" s="31">
        <v>0</v>
      </c>
      <c r="C39" s="31">
        <v>-1</v>
      </c>
      <c r="D39" s="31">
        <f>C39/2</f>
        <v>-0.5</v>
      </c>
      <c r="E39" s="31"/>
      <c r="F39" s="31"/>
      <c r="G39" s="31"/>
      <c r="H39" s="31"/>
      <c r="I39" s="31"/>
      <c r="J39" s="31"/>
      <c r="K39" s="31"/>
      <c r="L39" s="31"/>
      <c r="N39" s="23">
        <v>2</v>
      </c>
      <c r="O39" s="54" t="s">
        <v>278</v>
      </c>
      <c r="P39" s="52" t="s">
        <v>256</v>
      </c>
      <c r="Q39" s="22"/>
      <c r="R39" s="22"/>
      <c r="S39" s="51"/>
      <c r="T39" s="52" t="s">
        <v>263</v>
      </c>
      <c r="U39" s="22"/>
      <c r="V39" s="22"/>
      <c r="W39" s="22"/>
      <c r="X39" s="22"/>
      <c r="Y39" s="22"/>
      <c r="Z39" s="22"/>
      <c r="AA39" s="51"/>
      <c r="AC39" s="31">
        <v>2</v>
      </c>
      <c r="AD39" s="31">
        <v>4</v>
      </c>
      <c r="AE39" s="31">
        <v>4</v>
      </c>
    </row>
    <row r="40" spans="2:33" x14ac:dyDescent="0.3">
      <c r="B40" s="31"/>
      <c r="C40" s="31"/>
      <c r="D40" s="31"/>
      <c r="E40" s="31"/>
      <c r="F40" s="31"/>
      <c r="G40" s="31"/>
      <c r="H40" s="31"/>
      <c r="I40" s="31"/>
      <c r="J40" s="31"/>
      <c r="K40" s="31"/>
      <c r="L40" s="31"/>
      <c r="N40" s="23">
        <v>3</v>
      </c>
      <c r="O40" s="54" t="s">
        <v>278</v>
      </c>
      <c r="P40" s="52" t="s">
        <v>256</v>
      </c>
      <c r="Q40" s="22"/>
      <c r="R40" s="22"/>
      <c r="S40" s="51"/>
      <c r="T40" s="52" t="s">
        <v>262</v>
      </c>
      <c r="U40" s="22"/>
      <c r="V40" s="22"/>
      <c r="W40" s="22"/>
      <c r="X40" s="22"/>
      <c r="Y40" s="22"/>
      <c r="Z40" s="22"/>
      <c r="AA40" s="51"/>
      <c r="AC40" s="31">
        <v>3</v>
      </c>
      <c r="AD40" s="31">
        <v>4</v>
      </c>
      <c r="AE40" s="31">
        <v>4</v>
      </c>
    </row>
    <row r="41" spans="2:33" x14ac:dyDescent="0.3">
      <c r="B41" s="31"/>
      <c r="C41" s="31"/>
      <c r="D41" s="31"/>
      <c r="E41" s="31"/>
      <c r="F41" s="31"/>
      <c r="G41" s="31"/>
      <c r="H41" s="31"/>
      <c r="I41" s="31"/>
      <c r="J41" s="31"/>
      <c r="K41" s="31"/>
      <c r="L41" s="31"/>
      <c r="N41" s="23">
        <v>4</v>
      </c>
      <c r="O41" s="54" t="s">
        <v>278</v>
      </c>
      <c r="P41" s="52" t="s">
        <v>256</v>
      </c>
      <c r="Q41" s="22"/>
      <c r="R41" s="22"/>
      <c r="S41" s="51"/>
      <c r="T41" s="53" t="s">
        <v>274</v>
      </c>
      <c r="U41" s="22"/>
      <c r="V41" s="22"/>
      <c r="W41" s="22"/>
      <c r="X41" s="22"/>
      <c r="Y41" s="22"/>
      <c r="Z41" s="22"/>
      <c r="AA41" s="51"/>
      <c r="AC41" s="31">
        <v>4</v>
      </c>
      <c r="AD41" s="31">
        <v>4</v>
      </c>
      <c r="AE41" s="31">
        <v>4</v>
      </c>
    </row>
    <row r="42" spans="2:33" x14ac:dyDescent="0.3">
      <c r="B42" s="31"/>
      <c r="C42" s="31"/>
      <c r="D42" s="31"/>
      <c r="E42" s="31"/>
      <c r="F42" s="31"/>
      <c r="G42" s="31"/>
      <c r="H42" s="31"/>
      <c r="I42" s="31"/>
      <c r="J42" s="31"/>
      <c r="K42" s="31"/>
      <c r="L42" s="31"/>
      <c r="N42" s="23">
        <v>5</v>
      </c>
      <c r="O42" s="54" t="s">
        <v>278</v>
      </c>
      <c r="P42" s="52" t="s">
        <v>256</v>
      </c>
      <c r="Q42" s="22"/>
      <c r="R42" s="22"/>
      <c r="S42" s="51"/>
      <c r="T42" s="53" t="s">
        <v>273</v>
      </c>
      <c r="U42" s="22"/>
      <c r="V42" s="22"/>
      <c r="W42" s="22"/>
      <c r="X42" s="22"/>
      <c r="Y42" s="22"/>
      <c r="Z42" s="22"/>
      <c r="AA42" s="51"/>
      <c r="AC42" s="31">
        <v>5</v>
      </c>
      <c r="AD42" s="31">
        <v>4</v>
      </c>
      <c r="AE42" s="31">
        <v>4</v>
      </c>
    </row>
    <row r="43" spans="2:33" x14ac:dyDescent="0.3">
      <c r="B43" s="31"/>
      <c r="C43" s="31"/>
      <c r="D43" s="31"/>
      <c r="E43" s="31"/>
      <c r="F43" s="31"/>
      <c r="G43" s="31"/>
      <c r="H43" s="31"/>
      <c r="I43" s="31"/>
      <c r="J43" s="31"/>
      <c r="K43" s="31"/>
      <c r="L43" s="31"/>
      <c r="N43" s="23">
        <v>6</v>
      </c>
      <c r="O43" s="54" t="s">
        <v>278</v>
      </c>
      <c r="P43" s="52" t="s">
        <v>484</v>
      </c>
      <c r="Q43" s="22"/>
      <c r="R43" s="22"/>
      <c r="S43" s="51"/>
      <c r="T43" s="53" t="s">
        <v>483</v>
      </c>
      <c r="U43" s="22"/>
      <c r="V43" s="22"/>
      <c r="W43" s="22"/>
      <c r="X43" s="22"/>
      <c r="Y43" s="22"/>
      <c r="Z43" s="22"/>
      <c r="AA43" s="51"/>
      <c r="AC43" s="31">
        <v>6</v>
      </c>
      <c r="AD43" s="31">
        <v>4</v>
      </c>
      <c r="AE43" s="31">
        <v>4</v>
      </c>
    </row>
    <row r="44" spans="2:33" x14ac:dyDescent="0.3">
      <c r="B44" s="31"/>
      <c r="C44" s="31"/>
      <c r="D44" s="31"/>
      <c r="E44" s="31"/>
      <c r="F44" s="31"/>
      <c r="G44" s="31"/>
      <c r="H44" s="31"/>
      <c r="I44" s="31"/>
      <c r="J44" s="31"/>
      <c r="K44" s="31"/>
      <c r="L44" s="31"/>
      <c r="N44" s="23">
        <v>7</v>
      </c>
      <c r="O44" s="55"/>
      <c r="P44" s="52"/>
      <c r="Q44" s="22"/>
      <c r="R44" s="22"/>
      <c r="S44" s="51"/>
      <c r="T44" s="53"/>
      <c r="U44" s="22"/>
      <c r="V44" s="22"/>
      <c r="W44" s="22"/>
      <c r="X44" s="22"/>
      <c r="Y44" s="22"/>
      <c r="Z44" s="22"/>
      <c r="AA44" s="51"/>
      <c r="AC44" s="31">
        <v>7</v>
      </c>
      <c r="AD44" s="31">
        <v>0</v>
      </c>
      <c r="AE44" s="31">
        <v>4</v>
      </c>
    </row>
    <row r="45" spans="2:33" x14ac:dyDescent="0.3">
      <c r="B45" s="31"/>
      <c r="C45" s="31"/>
      <c r="D45" s="31"/>
      <c r="E45" s="31"/>
      <c r="F45" s="31"/>
      <c r="G45" s="31"/>
      <c r="H45" s="31"/>
      <c r="I45" s="31"/>
      <c r="J45" s="31"/>
      <c r="K45" s="31"/>
      <c r="L45" s="31"/>
      <c r="N45" s="23">
        <v>8</v>
      </c>
      <c r="O45" s="55"/>
      <c r="P45" s="52"/>
      <c r="Q45" s="22"/>
      <c r="R45" s="22"/>
      <c r="S45" s="51"/>
      <c r="T45" s="53"/>
      <c r="U45" s="22"/>
      <c r="V45" s="22"/>
      <c r="W45" s="22"/>
      <c r="X45" s="22"/>
      <c r="Y45" s="22"/>
      <c r="Z45" s="22"/>
      <c r="AA45" s="51"/>
      <c r="AC45" s="31">
        <v>8</v>
      </c>
      <c r="AD45" s="31">
        <v>0</v>
      </c>
      <c r="AE45" s="31">
        <v>4</v>
      </c>
    </row>
    <row r="46" spans="2:33" x14ac:dyDescent="0.3">
      <c r="B46" s="31"/>
      <c r="C46" s="31"/>
      <c r="D46" s="31"/>
      <c r="E46" s="31"/>
      <c r="F46" s="31"/>
      <c r="G46" s="31"/>
      <c r="H46" s="31"/>
      <c r="I46" s="31"/>
      <c r="J46" s="31"/>
      <c r="K46" s="31"/>
      <c r="L46" s="31"/>
      <c r="N46" s="23">
        <v>9</v>
      </c>
      <c r="O46" s="55"/>
      <c r="P46" s="52"/>
      <c r="Q46" s="22"/>
      <c r="R46" s="22"/>
      <c r="S46" s="51"/>
      <c r="T46" s="53"/>
      <c r="U46" s="22"/>
      <c r="V46" s="22"/>
      <c r="W46" s="22"/>
      <c r="X46" s="22"/>
      <c r="Y46" s="22"/>
      <c r="Z46" s="22"/>
      <c r="AA46" s="51"/>
      <c r="AC46" s="31">
        <v>9</v>
      </c>
      <c r="AD46" s="31">
        <v>0</v>
      </c>
      <c r="AE46" s="31">
        <v>4</v>
      </c>
    </row>
    <row r="47" spans="2:33" x14ac:dyDescent="0.3">
      <c r="B47" s="31"/>
      <c r="C47" s="31"/>
      <c r="D47" s="31"/>
      <c r="E47" s="31"/>
      <c r="F47" s="31"/>
      <c r="G47" s="31"/>
      <c r="H47" s="31"/>
      <c r="I47" s="31"/>
      <c r="J47" s="31"/>
      <c r="K47" s="31"/>
      <c r="L47" s="31"/>
      <c r="N47" s="23">
        <v>10</v>
      </c>
      <c r="O47" s="55" t="s">
        <v>279</v>
      </c>
      <c r="P47" s="52" t="s">
        <v>275</v>
      </c>
      <c r="Q47" s="22"/>
      <c r="R47" s="22"/>
      <c r="S47" s="51"/>
      <c r="T47" s="53" t="s">
        <v>261</v>
      </c>
      <c r="U47" s="22"/>
      <c r="V47" s="22"/>
      <c r="W47" s="22"/>
      <c r="X47" s="22"/>
      <c r="Y47" s="22"/>
      <c r="Z47" s="22"/>
      <c r="AA47" s="51"/>
    </row>
    <row r="48" spans="2:33" x14ac:dyDescent="0.3">
      <c r="B48" s="31"/>
      <c r="C48" s="31"/>
      <c r="D48" s="31"/>
      <c r="E48" s="31"/>
      <c r="F48" s="31"/>
      <c r="G48" s="31"/>
      <c r="H48" s="31"/>
      <c r="I48" s="31"/>
      <c r="J48" s="31"/>
      <c r="K48" s="31"/>
      <c r="L48" s="31"/>
      <c r="N48" s="23">
        <v>11</v>
      </c>
      <c r="O48" s="55" t="s">
        <v>279</v>
      </c>
      <c r="P48" s="52" t="s">
        <v>275</v>
      </c>
      <c r="Q48" s="22"/>
      <c r="R48" s="22"/>
      <c r="S48" s="51"/>
      <c r="T48" s="53" t="s">
        <v>260</v>
      </c>
      <c r="U48" s="22"/>
      <c r="V48" s="22"/>
      <c r="W48" s="22"/>
      <c r="X48" s="22"/>
      <c r="Y48" s="22"/>
      <c r="Z48" s="22"/>
      <c r="AA48" s="51"/>
    </row>
    <row r="49" spans="2:33" x14ac:dyDescent="0.3">
      <c r="B49" s="31"/>
      <c r="C49" s="31"/>
      <c r="D49" s="31"/>
      <c r="E49" s="31"/>
      <c r="F49" s="31"/>
      <c r="G49" s="31"/>
      <c r="H49" s="31"/>
      <c r="I49" s="31"/>
      <c r="J49" s="31"/>
      <c r="K49" s="31"/>
      <c r="L49" s="31"/>
      <c r="N49" s="23">
        <v>12</v>
      </c>
      <c r="O49" s="55" t="s">
        <v>279</v>
      </c>
      <c r="P49" s="52" t="s">
        <v>257</v>
      </c>
      <c r="Q49" s="22"/>
      <c r="R49" s="22"/>
      <c r="S49" s="51"/>
      <c r="T49" s="53" t="s">
        <v>259</v>
      </c>
      <c r="U49" s="22"/>
      <c r="V49" s="22"/>
      <c r="W49" s="22"/>
      <c r="X49" s="22"/>
      <c r="Y49" s="22"/>
      <c r="Z49" s="22"/>
      <c r="AA49" s="51"/>
      <c r="AC49" s="415" t="s">
        <v>687</v>
      </c>
      <c r="AD49" s="416"/>
      <c r="AE49" s="417"/>
    </row>
    <row r="50" spans="2:33" x14ac:dyDescent="0.3">
      <c r="B50" s="31"/>
      <c r="C50" s="31"/>
      <c r="D50" s="31"/>
      <c r="E50" s="31"/>
      <c r="F50" s="31"/>
      <c r="G50" s="31"/>
      <c r="H50" s="31"/>
      <c r="I50" s="31"/>
      <c r="J50" s="31"/>
      <c r="K50" s="31"/>
      <c r="L50" s="31"/>
      <c r="N50" s="48">
        <v>13</v>
      </c>
      <c r="O50" s="55" t="s">
        <v>279</v>
      </c>
      <c r="P50" s="52" t="s">
        <v>257</v>
      </c>
      <c r="Q50" s="22"/>
      <c r="R50" s="22"/>
      <c r="S50" s="51"/>
      <c r="T50" s="53" t="s">
        <v>258</v>
      </c>
      <c r="U50" s="22"/>
      <c r="V50" s="22"/>
      <c r="W50" s="22"/>
      <c r="X50" s="22"/>
      <c r="Y50" s="22"/>
      <c r="Z50" s="22"/>
      <c r="AA50" s="51"/>
      <c r="AC50" s="418"/>
      <c r="AD50" s="419"/>
      <c r="AE50" s="420"/>
    </row>
    <row r="51" spans="2:33" x14ac:dyDescent="0.3">
      <c r="B51" s="31"/>
      <c r="C51" s="31"/>
      <c r="D51" s="31"/>
      <c r="E51" s="31"/>
      <c r="F51" s="31"/>
      <c r="G51" s="31"/>
      <c r="H51" s="31"/>
      <c r="I51" s="31"/>
      <c r="J51" s="31"/>
      <c r="K51" s="31"/>
      <c r="L51" s="31"/>
      <c r="N51" s="23">
        <v>14</v>
      </c>
      <c r="O51" s="55" t="s">
        <v>279</v>
      </c>
      <c r="P51" s="52" t="s">
        <v>265</v>
      </c>
      <c r="Q51" s="22"/>
      <c r="R51" s="22"/>
      <c r="S51" s="51"/>
      <c r="T51" s="53" t="s">
        <v>266</v>
      </c>
      <c r="U51" s="22"/>
      <c r="V51" s="22"/>
      <c r="W51" s="22"/>
      <c r="X51" s="22"/>
      <c r="Y51" s="22"/>
      <c r="Z51" s="22"/>
      <c r="AA51" s="51"/>
      <c r="AC51" s="421" t="s">
        <v>689</v>
      </c>
      <c r="AD51" s="422"/>
      <c r="AE51" s="425" t="s">
        <v>688</v>
      </c>
    </row>
    <row r="52" spans="2:33" x14ac:dyDescent="0.3">
      <c r="B52" s="31"/>
      <c r="C52" s="31"/>
      <c r="D52" s="31"/>
      <c r="E52" s="31"/>
      <c r="F52" s="31"/>
      <c r="G52" s="31"/>
      <c r="H52" s="31"/>
      <c r="I52" s="31"/>
      <c r="J52" s="31"/>
      <c r="K52" s="31"/>
      <c r="L52" s="31"/>
      <c r="N52" s="23">
        <v>15</v>
      </c>
      <c r="O52" s="55" t="s">
        <v>279</v>
      </c>
      <c r="P52" s="52" t="s">
        <v>267</v>
      </c>
      <c r="Q52" s="22"/>
      <c r="R52" s="22"/>
      <c r="S52" s="51"/>
      <c r="T52" s="53" t="s">
        <v>268</v>
      </c>
      <c r="U52" s="22"/>
      <c r="V52" s="22"/>
      <c r="W52" s="22"/>
      <c r="X52" s="22"/>
      <c r="Y52" s="22"/>
      <c r="Z52" s="22"/>
      <c r="AA52" s="51"/>
      <c r="AC52" s="423"/>
      <c r="AD52" s="424"/>
      <c r="AE52" s="426"/>
    </row>
    <row r="53" spans="2:33" x14ac:dyDescent="0.3">
      <c r="B53" s="31"/>
      <c r="C53" s="31"/>
      <c r="D53" s="31"/>
      <c r="E53" s="31"/>
      <c r="F53" s="31"/>
      <c r="G53" s="31"/>
      <c r="H53" s="31"/>
      <c r="I53" s="31"/>
      <c r="J53" s="31"/>
      <c r="K53" s="31"/>
      <c r="L53" s="31"/>
      <c r="N53" s="23">
        <v>16</v>
      </c>
      <c r="O53" s="55" t="s">
        <v>279</v>
      </c>
      <c r="P53" s="52" t="s">
        <v>265</v>
      </c>
      <c r="Q53" s="22"/>
      <c r="R53" s="22"/>
      <c r="S53" s="51"/>
      <c r="T53" s="22" t="s">
        <v>269</v>
      </c>
      <c r="U53" s="22"/>
      <c r="V53" s="22"/>
      <c r="W53" s="22"/>
      <c r="X53" s="22"/>
      <c r="Y53" s="22"/>
      <c r="Z53" s="22"/>
      <c r="AA53" s="51"/>
      <c r="AC53" s="427">
        <v>80</v>
      </c>
      <c r="AD53" s="427"/>
      <c r="AE53" s="287">
        <v>12</v>
      </c>
      <c r="AF53" s="430" t="s">
        <v>690</v>
      </c>
      <c r="AG53" s="431"/>
    </row>
    <row r="54" spans="2:33" x14ac:dyDescent="0.3">
      <c r="B54" s="31"/>
      <c r="C54" s="31"/>
      <c r="D54" s="31"/>
      <c r="E54" s="31"/>
      <c r="F54" s="31"/>
      <c r="G54" s="31"/>
      <c r="H54" s="31"/>
      <c r="I54" s="31"/>
      <c r="J54" s="31"/>
      <c r="K54" s="31"/>
      <c r="L54" s="31"/>
      <c r="N54" s="23">
        <v>17</v>
      </c>
      <c r="O54" s="55" t="s">
        <v>279</v>
      </c>
      <c r="P54" s="52" t="s">
        <v>270</v>
      </c>
      <c r="Q54" s="22"/>
      <c r="R54" s="22"/>
      <c r="S54" s="51"/>
      <c r="T54" s="53" t="s">
        <v>271</v>
      </c>
      <c r="U54" s="22"/>
      <c r="V54" s="22"/>
      <c r="W54" s="22"/>
      <c r="X54" s="22"/>
      <c r="Y54" s="22"/>
      <c r="Z54" s="22"/>
      <c r="AA54" s="51"/>
      <c r="AC54" s="428">
        <v>85</v>
      </c>
      <c r="AD54" s="429"/>
      <c r="AE54" s="287">
        <v>10</v>
      </c>
      <c r="AF54" s="430" t="s">
        <v>691</v>
      </c>
      <c r="AG54" s="431"/>
    </row>
    <row r="55" spans="2:33" x14ac:dyDescent="0.3">
      <c r="B55" s="31"/>
      <c r="C55" s="31"/>
      <c r="D55" s="31"/>
      <c r="E55" s="31"/>
      <c r="F55" s="31"/>
      <c r="G55" s="31"/>
      <c r="H55" s="31"/>
      <c r="I55" s="31"/>
      <c r="J55" s="31"/>
      <c r="K55" s="31"/>
      <c r="L55" s="31"/>
      <c r="N55" s="23">
        <v>18</v>
      </c>
      <c r="O55" s="55" t="s">
        <v>279</v>
      </c>
      <c r="P55" s="52" t="s">
        <v>270</v>
      </c>
      <c r="Q55" s="22"/>
      <c r="R55" s="22"/>
      <c r="S55" s="51"/>
      <c r="T55" s="53" t="s">
        <v>272</v>
      </c>
      <c r="U55" s="22"/>
      <c r="V55" s="22"/>
      <c r="W55" s="22"/>
      <c r="X55" s="22"/>
      <c r="Y55" s="22"/>
      <c r="Z55" s="22"/>
      <c r="AA55" s="51"/>
      <c r="AC55" s="427">
        <v>90</v>
      </c>
      <c r="AD55" s="427"/>
      <c r="AE55" s="287">
        <v>8</v>
      </c>
      <c r="AF55" s="430" t="s">
        <v>692</v>
      </c>
      <c r="AG55" s="431"/>
    </row>
    <row r="56" spans="2:33" x14ac:dyDescent="0.3">
      <c r="B56" s="31"/>
      <c r="C56" s="31"/>
      <c r="D56" s="31"/>
      <c r="E56" s="31"/>
      <c r="F56" s="31"/>
      <c r="G56" s="31"/>
      <c r="H56" s="31"/>
      <c r="I56" s="31"/>
      <c r="J56" s="31"/>
      <c r="K56" s="31"/>
      <c r="L56" s="31"/>
      <c r="N56" s="23">
        <v>19</v>
      </c>
      <c r="O56" s="55" t="s">
        <v>279</v>
      </c>
      <c r="P56" s="52" t="s">
        <v>484</v>
      </c>
      <c r="Q56" s="22"/>
      <c r="R56" s="22"/>
      <c r="S56" s="51"/>
      <c r="T56" s="53" t="s">
        <v>483</v>
      </c>
      <c r="U56" s="22"/>
      <c r="V56" s="22"/>
      <c r="W56" s="22"/>
      <c r="X56" s="22"/>
      <c r="Y56" s="22"/>
      <c r="Z56" s="22"/>
      <c r="AA56" s="51"/>
      <c r="AC56" s="427">
        <v>95</v>
      </c>
      <c r="AD56" s="427"/>
      <c r="AE56" s="287">
        <v>6</v>
      </c>
      <c r="AF56" s="430" t="s">
        <v>693</v>
      </c>
      <c r="AG56" s="431"/>
    </row>
    <row r="57" spans="2:33" x14ac:dyDescent="0.3">
      <c r="B57" s="31"/>
      <c r="C57" s="31"/>
      <c r="D57" s="31"/>
      <c r="E57" s="31"/>
      <c r="F57" s="31"/>
      <c r="G57" s="31"/>
      <c r="H57" s="31"/>
      <c r="I57" s="31"/>
      <c r="J57" s="31"/>
      <c r="K57" s="31"/>
      <c r="L57" s="31"/>
      <c r="N57" s="23">
        <v>20</v>
      </c>
      <c r="O57" s="55"/>
      <c r="P57" s="52"/>
      <c r="Q57" s="22"/>
      <c r="R57" s="22"/>
      <c r="S57" s="51"/>
      <c r="T57" s="53"/>
      <c r="U57" s="22"/>
      <c r="V57" s="22"/>
      <c r="W57" s="22"/>
      <c r="X57" s="22"/>
      <c r="Y57" s="22"/>
      <c r="Z57" s="22"/>
      <c r="AA57" s="51"/>
      <c r="AC57" s="427">
        <v>100</v>
      </c>
      <c r="AD57" s="427"/>
      <c r="AE57" s="287">
        <v>2</v>
      </c>
      <c r="AF57" s="430" t="s">
        <v>694</v>
      </c>
      <c r="AG57" s="431"/>
    </row>
    <row r="58" spans="2:33" x14ac:dyDescent="0.3">
      <c r="B58" s="31"/>
      <c r="C58" s="31"/>
      <c r="D58" s="31"/>
      <c r="E58" s="31"/>
      <c r="F58" s="31"/>
      <c r="G58" s="31"/>
      <c r="H58" s="31"/>
      <c r="I58" s="31"/>
      <c r="J58" s="31"/>
      <c r="K58" s="31"/>
      <c r="L58" s="31"/>
      <c r="N58" s="23">
        <v>21</v>
      </c>
      <c r="O58" s="55"/>
      <c r="P58" s="52"/>
      <c r="Q58" s="22"/>
      <c r="R58" s="22"/>
      <c r="S58" s="51"/>
      <c r="T58" s="53"/>
      <c r="U58" s="22"/>
      <c r="V58" s="22"/>
      <c r="W58" s="22"/>
      <c r="X58" s="22"/>
      <c r="Y58" s="22"/>
      <c r="Z58" s="22"/>
      <c r="AA58" s="51"/>
    </row>
    <row r="59" spans="2:33" x14ac:dyDescent="0.3">
      <c r="B59" s="31"/>
      <c r="C59" s="31"/>
      <c r="D59" s="31"/>
      <c r="E59" s="31"/>
      <c r="F59" s="31"/>
      <c r="G59" s="31"/>
      <c r="H59" s="31"/>
      <c r="I59" s="31"/>
      <c r="J59" s="31"/>
      <c r="K59" s="31"/>
      <c r="L59" s="31"/>
      <c r="N59" s="23">
        <v>22</v>
      </c>
      <c r="O59" s="55"/>
      <c r="P59" s="52"/>
      <c r="Q59" s="22"/>
      <c r="R59" s="22"/>
      <c r="S59" s="51"/>
      <c r="T59" s="53"/>
      <c r="U59" s="22"/>
      <c r="V59" s="22"/>
      <c r="W59" s="22"/>
      <c r="X59" s="22"/>
      <c r="Y59" s="22"/>
      <c r="Z59" s="22"/>
      <c r="AA59" s="51"/>
      <c r="AC59" s="435" t="s">
        <v>695</v>
      </c>
      <c r="AD59" s="436"/>
      <c r="AE59" s="431"/>
      <c r="AF59" s="286">
        <v>35</v>
      </c>
    </row>
    <row r="60" spans="2:33" x14ac:dyDescent="0.3">
      <c r="B60" s="31"/>
      <c r="C60" s="31"/>
      <c r="D60" s="31"/>
      <c r="E60" s="31"/>
      <c r="F60" s="31"/>
      <c r="G60" s="31"/>
      <c r="H60" s="31"/>
      <c r="I60" s="31"/>
      <c r="J60" s="31"/>
      <c r="K60" s="31"/>
      <c r="L60" s="31"/>
      <c r="N60" s="23">
        <v>23</v>
      </c>
      <c r="O60" s="55"/>
      <c r="P60" s="52"/>
      <c r="Q60" s="22"/>
      <c r="R60" s="22"/>
      <c r="S60" s="51"/>
      <c r="T60" s="53"/>
      <c r="U60" s="22"/>
      <c r="V60" s="22"/>
      <c r="W60" s="22"/>
      <c r="X60" s="22"/>
      <c r="Y60" s="22"/>
      <c r="Z60" s="22"/>
      <c r="AA60" s="51"/>
      <c r="AC60" t="s">
        <v>696</v>
      </c>
      <c r="AF60" s="288">
        <v>0.15</v>
      </c>
      <c r="AG60" t="s">
        <v>707</v>
      </c>
    </row>
    <row r="61" spans="2:33" x14ac:dyDescent="0.3">
      <c r="B61" s="31"/>
      <c r="C61" s="31"/>
      <c r="D61" s="31"/>
      <c r="E61" s="31"/>
      <c r="F61" s="31"/>
      <c r="G61" s="31"/>
      <c r="H61" s="31"/>
      <c r="I61" s="31"/>
      <c r="J61" s="31"/>
      <c r="K61" s="31"/>
      <c r="L61" s="31"/>
      <c r="N61" s="23">
        <v>24</v>
      </c>
      <c r="O61" s="55"/>
      <c r="P61" s="52"/>
      <c r="Q61" s="22"/>
      <c r="R61" s="22"/>
      <c r="S61" s="51"/>
      <c r="T61" s="53"/>
      <c r="U61" s="22"/>
      <c r="V61" s="22"/>
      <c r="W61" s="22"/>
      <c r="X61" s="22"/>
      <c r="Y61" s="22"/>
      <c r="Z61" s="22"/>
      <c r="AA61" s="51"/>
    </row>
    <row r="62" spans="2:33" x14ac:dyDescent="0.3">
      <c r="B62" s="31"/>
      <c r="C62" s="31"/>
      <c r="D62" s="31"/>
      <c r="E62" s="31"/>
      <c r="F62" s="31"/>
      <c r="G62" s="31"/>
      <c r="H62" s="31"/>
      <c r="I62" s="31"/>
      <c r="J62" s="31"/>
      <c r="K62" s="31"/>
      <c r="L62" s="31"/>
      <c r="N62" s="48">
        <v>25</v>
      </c>
      <c r="O62" s="55"/>
      <c r="P62" s="52"/>
      <c r="Q62" s="22"/>
      <c r="R62" s="22"/>
      <c r="S62" s="51"/>
      <c r="T62" s="53"/>
      <c r="U62" s="22"/>
      <c r="V62" s="22"/>
      <c r="W62" s="22"/>
      <c r="X62" s="22"/>
      <c r="Y62" s="22"/>
      <c r="Z62" s="22"/>
      <c r="AA62" s="51"/>
    </row>
    <row r="63" spans="2:33" x14ac:dyDescent="0.3">
      <c r="B63" s="31"/>
      <c r="C63" s="31"/>
      <c r="D63" s="31"/>
      <c r="E63" s="31"/>
      <c r="F63" s="31"/>
      <c r="G63" s="31"/>
      <c r="H63" s="31"/>
      <c r="I63" s="31"/>
      <c r="J63" s="31"/>
      <c r="K63" s="31"/>
      <c r="L63" s="31"/>
      <c r="N63" s="23">
        <v>26</v>
      </c>
      <c r="O63" s="55"/>
      <c r="P63" s="52"/>
      <c r="Q63" s="22"/>
      <c r="R63" s="22"/>
      <c r="S63" s="51"/>
      <c r="T63" s="53"/>
      <c r="U63" s="22"/>
      <c r="V63" s="22"/>
      <c r="W63" s="22"/>
      <c r="X63" s="22"/>
      <c r="Y63" s="22"/>
      <c r="Z63" s="22"/>
      <c r="AA63" s="51"/>
    </row>
    <row r="64" spans="2:33" x14ac:dyDescent="0.3">
      <c r="B64" s="31"/>
      <c r="C64" s="31"/>
      <c r="D64" s="31"/>
      <c r="E64" s="31"/>
      <c r="F64" s="31"/>
      <c r="G64" s="31"/>
      <c r="H64" s="31"/>
      <c r="I64" s="31"/>
      <c r="J64" s="31"/>
      <c r="K64" s="31"/>
      <c r="L64" s="31"/>
      <c r="N64" s="48">
        <v>27</v>
      </c>
      <c r="O64" s="55"/>
      <c r="P64" s="52"/>
      <c r="Q64" s="22"/>
      <c r="R64" s="22"/>
      <c r="S64" s="51"/>
      <c r="T64" s="53"/>
      <c r="U64" s="22"/>
      <c r="V64" s="22"/>
      <c r="W64" s="22"/>
      <c r="X64" s="22"/>
      <c r="Y64" s="22"/>
      <c r="Z64" s="22"/>
      <c r="AA64" s="51"/>
    </row>
    <row r="65" spans="2:27" x14ac:dyDescent="0.3">
      <c r="B65" s="31"/>
      <c r="C65" s="31"/>
      <c r="D65" s="31"/>
      <c r="E65" s="31"/>
      <c r="F65" s="31"/>
      <c r="G65" s="31"/>
      <c r="H65" s="31"/>
      <c r="I65" s="31"/>
      <c r="J65" s="31"/>
      <c r="K65" s="31"/>
      <c r="L65" s="31"/>
      <c r="N65" s="23">
        <v>28</v>
      </c>
      <c r="O65" s="55"/>
      <c r="P65" s="52"/>
      <c r="Q65" s="22"/>
      <c r="R65" s="22"/>
      <c r="S65" s="51"/>
      <c r="T65" s="53"/>
      <c r="U65" s="22"/>
      <c r="V65" s="22"/>
      <c r="W65" s="22"/>
      <c r="X65" s="22"/>
      <c r="Y65" s="22"/>
      <c r="Z65" s="22"/>
      <c r="AA65" s="51"/>
    </row>
    <row r="66" spans="2:27" x14ac:dyDescent="0.3">
      <c r="B66" s="31"/>
      <c r="C66" s="31"/>
      <c r="D66" s="31"/>
      <c r="E66" s="31"/>
      <c r="F66" s="31"/>
      <c r="G66" s="31"/>
      <c r="H66" s="31"/>
      <c r="I66" s="31"/>
      <c r="J66" s="31"/>
      <c r="K66" s="31"/>
      <c r="L66" s="31"/>
      <c r="N66" s="48">
        <v>29</v>
      </c>
      <c r="O66" s="55"/>
      <c r="P66" s="52"/>
      <c r="Q66" s="22"/>
      <c r="R66" s="22"/>
      <c r="S66" s="51"/>
      <c r="T66" s="53"/>
      <c r="U66" s="22"/>
      <c r="V66" s="22"/>
      <c r="W66" s="22"/>
      <c r="X66" s="22"/>
      <c r="Y66" s="22"/>
      <c r="Z66" s="22"/>
      <c r="AA66" s="51"/>
    </row>
    <row r="67" spans="2:27" x14ac:dyDescent="0.3">
      <c r="B67" s="31"/>
      <c r="C67" s="31"/>
      <c r="D67" s="31"/>
      <c r="E67" s="31"/>
      <c r="F67" s="31"/>
      <c r="G67" s="31"/>
      <c r="H67" s="31"/>
      <c r="I67" s="31"/>
      <c r="J67" s="31"/>
      <c r="K67" s="31"/>
      <c r="L67" s="31"/>
      <c r="N67" s="23">
        <v>30</v>
      </c>
      <c r="O67" s="55" t="s">
        <v>280</v>
      </c>
      <c r="P67" s="52" t="s">
        <v>275</v>
      </c>
      <c r="Q67" s="22"/>
      <c r="R67" s="22"/>
      <c r="S67" s="51"/>
      <c r="T67" s="53" t="s">
        <v>261</v>
      </c>
      <c r="U67" s="22"/>
      <c r="V67" s="22"/>
      <c r="W67" s="22"/>
      <c r="X67" s="22"/>
      <c r="Y67" s="22"/>
      <c r="Z67" s="22"/>
      <c r="AA67" s="51"/>
    </row>
    <row r="68" spans="2:27" x14ac:dyDescent="0.3">
      <c r="B68" s="31"/>
      <c r="C68" s="31"/>
      <c r="D68" s="31"/>
      <c r="E68" s="31"/>
      <c r="F68" s="31"/>
      <c r="G68" s="31"/>
      <c r="H68" s="31"/>
      <c r="I68" s="31"/>
      <c r="J68" s="31"/>
      <c r="K68" s="31"/>
      <c r="L68" s="31"/>
      <c r="N68" s="48">
        <v>31</v>
      </c>
      <c r="O68" s="55" t="s">
        <v>280</v>
      </c>
      <c r="P68" s="52" t="s">
        <v>275</v>
      </c>
      <c r="Q68" s="22"/>
      <c r="R68" s="22"/>
      <c r="S68" s="51"/>
      <c r="T68" s="53" t="s">
        <v>260</v>
      </c>
      <c r="U68" s="22"/>
      <c r="V68" s="22"/>
      <c r="W68" s="22"/>
      <c r="X68" s="22"/>
      <c r="Y68" s="22"/>
      <c r="Z68" s="22"/>
      <c r="AA68" s="51"/>
    </row>
    <row r="69" spans="2:27" x14ac:dyDescent="0.3">
      <c r="B69" s="31"/>
      <c r="C69" s="31"/>
      <c r="D69" s="31"/>
      <c r="E69" s="31"/>
      <c r="F69" s="31"/>
      <c r="G69" s="31"/>
      <c r="H69" s="31"/>
      <c r="I69" s="31"/>
      <c r="J69" s="31"/>
      <c r="K69" s="31"/>
      <c r="L69" s="31"/>
      <c r="N69" s="23">
        <v>32</v>
      </c>
      <c r="O69" s="55" t="s">
        <v>280</v>
      </c>
      <c r="P69" s="52" t="s">
        <v>484</v>
      </c>
      <c r="Q69" s="22"/>
      <c r="R69" s="22"/>
      <c r="S69" s="51"/>
      <c r="T69" s="53" t="s">
        <v>483</v>
      </c>
      <c r="U69" s="22"/>
      <c r="V69" s="22"/>
      <c r="W69" s="22"/>
      <c r="X69" s="22"/>
      <c r="Y69" s="22"/>
      <c r="Z69" s="22"/>
      <c r="AA69" s="51"/>
    </row>
    <row r="70" spans="2:27" x14ac:dyDescent="0.3">
      <c r="B70" s="31"/>
      <c r="C70" s="31"/>
      <c r="D70" s="31"/>
      <c r="E70" s="31"/>
      <c r="F70" s="31"/>
      <c r="G70" s="31"/>
      <c r="H70" s="31"/>
      <c r="I70" s="31"/>
      <c r="J70" s="31"/>
      <c r="K70" s="31"/>
      <c r="L70" s="31"/>
      <c r="N70" s="48">
        <v>33</v>
      </c>
      <c r="O70" s="55" t="s">
        <v>280</v>
      </c>
      <c r="P70" s="52" t="s">
        <v>491</v>
      </c>
      <c r="Q70" s="22"/>
      <c r="R70" s="22"/>
      <c r="S70" s="51"/>
      <c r="T70" s="53" t="s">
        <v>489</v>
      </c>
      <c r="U70" s="22"/>
      <c r="V70" s="22"/>
      <c r="W70" s="22"/>
      <c r="X70" s="22"/>
      <c r="Y70" s="22"/>
      <c r="Z70" s="22"/>
      <c r="AA70" s="51"/>
    </row>
    <row r="71" spans="2:27" x14ac:dyDescent="0.3">
      <c r="B71" s="31"/>
      <c r="C71" s="31"/>
      <c r="D71" s="31"/>
      <c r="E71" s="31"/>
      <c r="F71" s="31"/>
      <c r="G71" s="31"/>
      <c r="H71" s="31"/>
      <c r="I71" s="31"/>
      <c r="J71" s="31"/>
      <c r="K71" s="31"/>
      <c r="L71" s="31"/>
      <c r="N71" s="23">
        <v>34</v>
      </c>
      <c r="O71" s="55" t="s">
        <v>280</v>
      </c>
      <c r="P71" s="52" t="s">
        <v>491</v>
      </c>
      <c r="Q71" s="22"/>
      <c r="R71" s="22"/>
      <c r="S71" s="51"/>
      <c r="T71" s="53" t="s">
        <v>492</v>
      </c>
      <c r="U71" s="22"/>
      <c r="V71" s="22"/>
      <c r="W71" s="22"/>
      <c r="X71" s="22"/>
      <c r="Y71" s="22"/>
      <c r="Z71" s="22"/>
      <c r="AA71" s="51"/>
    </row>
    <row r="72" spans="2:27" x14ac:dyDescent="0.3">
      <c r="N72" s="48">
        <v>35</v>
      </c>
      <c r="O72" s="55" t="s">
        <v>280</v>
      </c>
      <c r="P72" s="52" t="s">
        <v>257</v>
      </c>
      <c r="Q72" s="22"/>
      <c r="R72" s="22"/>
      <c r="S72" s="51"/>
      <c r="T72" s="53" t="s">
        <v>259</v>
      </c>
      <c r="U72" s="22"/>
      <c r="V72" s="22"/>
      <c r="W72" s="22"/>
      <c r="X72" s="22"/>
      <c r="Y72" s="22"/>
      <c r="Z72" s="22"/>
      <c r="AA72" s="51"/>
    </row>
    <row r="73" spans="2:27" x14ac:dyDescent="0.3">
      <c r="B73" s="396" t="s">
        <v>542</v>
      </c>
      <c r="C73" s="397"/>
      <c r="D73" s="399"/>
      <c r="E73" s="399"/>
      <c r="F73" s="399"/>
      <c r="G73" s="399"/>
      <c r="H73" s="399"/>
      <c r="I73" s="399"/>
      <c r="J73" s="399"/>
      <c r="K73" s="399"/>
      <c r="L73" s="400"/>
      <c r="N73" s="23">
        <v>36</v>
      </c>
      <c r="O73" s="55" t="s">
        <v>280</v>
      </c>
      <c r="P73" s="52" t="s">
        <v>257</v>
      </c>
      <c r="Q73" s="22"/>
      <c r="R73" s="22"/>
      <c r="S73" s="51"/>
      <c r="T73" s="53" t="s">
        <v>258</v>
      </c>
      <c r="U73" s="22"/>
      <c r="V73" s="22"/>
      <c r="W73" s="22"/>
      <c r="X73" s="22"/>
      <c r="Y73" s="22"/>
      <c r="Z73" s="22"/>
      <c r="AA73" s="51"/>
    </row>
    <row r="74" spans="2:27" x14ac:dyDescent="0.3">
      <c r="B74" s="28" t="s">
        <v>213</v>
      </c>
      <c r="C74" s="147" t="s">
        <v>475</v>
      </c>
      <c r="D74" s="147" t="s">
        <v>534</v>
      </c>
      <c r="E74" s="150"/>
      <c r="F74" s="150"/>
      <c r="G74" s="150"/>
      <c r="H74" s="150"/>
      <c r="I74" s="150"/>
      <c r="J74" s="150"/>
      <c r="K74" s="150"/>
      <c r="L74" s="151"/>
      <c r="N74" s="48">
        <v>37</v>
      </c>
      <c r="O74" s="55" t="s">
        <v>280</v>
      </c>
      <c r="P74" s="52" t="s">
        <v>265</v>
      </c>
      <c r="Q74" s="22"/>
      <c r="R74" s="22"/>
      <c r="S74" s="51"/>
      <c r="T74" s="53" t="s">
        <v>266</v>
      </c>
      <c r="U74" s="22"/>
      <c r="V74" s="22"/>
      <c r="W74" s="22"/>
      <c r="X74" s="22"/>
      <c r="Y74" s="22"/>
      <c r="Z74" s="22"/>
      <c r="AA74" s="51"/>
    </row>
    <row r="75" spans="2:27" x14ac:dyDescent="0.3">
      <c r="B75" s="31">
        <v>2</v>
      </c>
      <c r="C75" s="143">
        <v>1</v>
      </c>
      <c r="D75" s="152" t="s">
        <v>535</v>
      </c>
      <c r="E75" s="148"/>
      <c r="F75" s="148"/>
      <c r="G75" s="148"/>
      <c r="H75" s="148"/>
      <c r="I75" s="148"/>
      <c r="J75" s="148"/>
      <c r="K75" s="148"/>
      <c r="L75" s="149"/>
      <c r="N75" s="23">
        <v>38</v>
      </c>
      <c r="O75" s="55" t="s">
        <v>280</v>
      </c>
      <c r="P75" s="52" t="s">
        <v>267</v>
      </c>
      <c r="Q75" s="22"/>
      <c r="R75" s="22"/>
      <c r="S75" s="51"/>
      <c r="T75" s="53" t="s">
        <v>268</v>
      </c>
      <c r="U75" s="22"/>
      <c r="V75" s="22"/>
      <c r="W75" s="22"/>
      <c r="X75" s="22"/>
      <c r="Y75" s="22"/>
      <c r="Z75" s="22"/>
      <c r="AA75" s="51"/>
    </row>
    <row r="76" spans="2:27" x14ac:dyDescent="0.3">
      <c r="B76" s="31">
        <v>2</v>
      </c>
      <c r="C76" s="142">
        <v>2</v>
      </c>
      <c r="D76" s="152" t="s">
        <v>536</v>
      </c>
      <c r="E76" s="145"/>
      <c r="F76" s="145"/>
      <c r="G76" s="145"/>
      <c r="H76" s="145"/>
      <c r="I76" s="145"/>
      <c r="J76" s="145"/>
      <c r="K76" s="145"/>
      <c r="L76" s="146"/>
      <c r="N76" s="48">
        <v>39</v>
      </c>
      <c r="O76" s="55" t="s">
        <v>280</v>
      </c>
      <c r="P76" s="52" t="s">
        <v>265</v>
      </c>
      <c r="Q76" s="22"/>
      <c r="R76" s="22"/>
      <c r="S76" s="51"/>
      <c r="T76" s="22" t="s">
        <v>269</v>
      </c>
      <c r="U76" s="22"/>
      <c r="V76" s="22"/>
      <c r="W76" s="22"/>
      <c r="X76" s="22"/>
      <c r="Y76" s="22"/>
      <c r="Z76" s="22"/>
      <c r="AA76" s="51"/>
    </row>
    <row r="77" spans="2:27" x14ac:dyDescent="0.3">
      <c r="B77" s="31">
        <v>2</v>
      </c>
      <c r="C77" s="143">
        <v>3</v>
      </c>
      <c r="D77" s="152" t="s">
        <v>537</v>
      </c>
      <c r="E77" s="145"/>
      <c r="F77" s="145"/>
      <c r="G77" s="145"/>
      <c r="H77" s="145"/>
      <c r="I77" s="145"/>
      <c r="J77" s="145"/>
      <c r="K77" s="145"/>
      <c r="L77" s="146"/>
      <c r="N77" s="23">
        <v>40</v>
      </c>
      <c r="O77" s="55" t="s">
        <v>280</v>
      </c>
      <c r="P77" s="52" t="s">
        <v>591</v>
      </c>
      <c r="Q77" s="22"/>
      <c r="R77" s="22"/>
      <c r="S77" s="51"/>
      <c r="T77" s="22" t="s">
        <v>269</v>
      </c>
      <c r="U77" s="22"/>
      <c r="V77" s="22"/>
      <c r="W77" s="22"/>
      <c r="X77" s="22"/>
      <c r="Y77" s="22"/>
      <c r="Z77" s="22"/>
      <c r="AA77" s="51"/>
    </row>
    <row r="78" spans="2:27" x14ac:dyDescent="0.3">
      <c r="B78" s="31">
        <v>2</v>
      </c>
      <c r="C78" s="142">
        <v>4</v>
      </c>
      <c r="D78" s="152" t="s">
        <v>538</v>
      </c>
      <c r="E78" s="145"/>
      <c r="F78" s="145"/>
      <c r="G78" s="145"/>
      <c r="H78" s="145"/>
      <c r="I78" s="145"/>
      <c r="J78" s="145"/>
      <c r="K78" s="145"/>
      <c r="L78" s="146"/>
      <c r="N78" s="48">
        <v>41</v>
      </c>
      <c r="O78" s="23"/>
      <c r="P78" s="52"/>
      <c r="Q78" s="22"/>
      <c r="R78" s="22"/>
      <c r="S78" s="51"/>
      <c r="T78" s="22"/>
      <c r="U78" s="22"/>
      <c r="V78" s="22"/>
      <c r="W78" s="22"/>
      <c r="X78" s="22"/>
      <c r="Y78" s="22"/>
      <c r="Z78" s="22"/>
      <c r="AA78" s="51"/>
    </row>
    <row r="79" spans="2:27" x14ac:dyDescent="0.3">
      <c r="B79" s="31">
        <v>2</v>
      </c>
      <c r="C79" s="143">
        <v>5</v>
      </c>
      <c r="D79" s="152" t="s">
        <v>539</v>
      </c>
      <c r="E79" s="145"/>
      <c r="F79" s="145"/>
      <c r="G79" s="145"/>
      <c r="H79" s="145"/>
      <c r="I79" s="145"/>
      <c r="J79" s="145"/>
      <c r="K79" s="145"/>
      <c r="L79" s="146"/>
      <c r="N79" s="23">
        <v>42</v>
      </c>
      <c r="O79" s="55"/>
      <c r="P79" s="52"/>
      <c r="Q79" s="22"/>
      <c r="R79" s="22"/>
      <c r="S79" s="51"/>
      <c r="T79" s="22"/>
      <c r="U79" s="22"/>
      <c r="V79" s="22"/>
      <c r="W79" s="22"/>
      <c r="X79" s="22"/>
      <c r="Y79" s="22"/>
      <c r="Z79" s="22"/>
      <c r="AA79" s="51"/>
    </row>
    <row r="80" spans="2:27" x14ac:dyDescent="0.3">
      <c r="B80" s="31">
        <v>2</v>
      </c>
      <c r="C80" s="142">
        <v>6</v>
      </c>
      <c r="D80" s="152" t="s">
        <v>540</v>
      </c>
      <c r="E80" s="145"/>
      <c r="F80" s="145"/>
      <c r="G80" s="145"/>
      <c r="H80" s="145"/>
      <c r="I80" s="145"/>
      <c r="J80" s="145"/>
      <c r="K80" s="145"/>
      <c r="L80" s="146"/>
      <c r="N80" s="48">
        <v>43</v>
      </c>
      <c r="O80" s="55" t="s">
        <v>593</v>
      </c>
      <c r="P80" s="52" t="s">
        <v>594</v>
      </c>
      <c r="Q80" s="22"/>
      <c r="R80" s="22"/>
      <c r="S80" s="51"/>
      <c r="T80" s="53" t="s">
        <v>595</v>
      </c>
      <c r="U80" s="22"/>
      <c r="V80" s="22"/>
      <c r="W80" s="22"/>
      <c r="X80" s="22"/>
      <c r="Y80" s="22"/>
      <c r="Z80" s="22"/>
      <c r="AA80" s="51"/>
    </row>
    <row r="81" spans="2:27" x14ac:dyDescent="0.3">
      <c r="B81" s="31"/>
      <c r="C81" s="31">
        <v>-1</v>
      </c>
      <c r="D81" s="144"/>
      <c r="E81" s="145"/>
      <c r="F81" s="145"/>
      <c r="G81" s="145"/>
      <c r="H81" s="145"/>
      <c r="I81" s="145"/>
      <c r="J81" s="145"/>
      <c r="K81" s="145"/>
      <c r="L81" s="146"/>
      <c r="N81" s="23">
        <v>44</v>
      </c>
      <c r="O81" s="55" t="s">
        <v>289</v>
      </c>
      <c r="P81" s="52" t="s">
        <v>290</v>
      </c>
      <c r="Q81" s="22"/>
      <c r="R81" s="22"/>
      <c r="S81" s="51"/>
      <c r="T81" s="53" t="s">
        <v>493</v>
      </c>
      <c r="U81" s="22"/>
      <c r="V81" s="22"/>
      <c r="W81" s="22"/>
      <c r="X81" s="22"/>
      <c r="Y81" s="22"/>
      <c r="Z81" s="22"/>
      <c r="AA81" s="51"/>
    </row>
    <row r="82" spans="2:27" x14ac:dyDescent="0.3">
      <c r="B82" s="31"/>
      <c r="C82" s="31"/>
      <c r="D82" s="144"/>
      <c r="E82" s="145"/>
      <c r="F82" s="145"/>
      <c r="G82" s="145"/>
      <c r="H82" s="145"/>
      <c r="I82" s="145"/>
      <c r="J82" s="145"/>
      <c r="K82" s="145"/>
      <c r="L82" s="146"/>
      <c r="N82" s="48">
        <v>45</v>
      </c>
      <c r="O82" s="55" t="s">
        <v>289</v>
      </c>
      <c r="P82" s="52" t="s">
        <v>290</v>
      </c>
      <c r="Q82" s="22"/>
      <c r="R82" s="22"/>
      <c r="S82" s="51"/>
      <c r="T82" s="53" t="s">
        <v>494</v>
      </c>
      <c r="U82" s="22"/>
      <c r="V82" s="22"/>
      <c r="W82" s="22"/>
      <c r="X82" s="22"/>
      <c r="Y82" s="22"/>
      <c r="Z82" s="22"/>
      <c r="AA82" s="51"/>
    </row>
    <row r="83" spans="2:27" x14ac:dyDescent="0.3">
      <c r="B83" s="31"/>
      <c r="C83" s="31"/>
      <c r="D83" s="144"/>
      <c r="E83" s="145"/>
      <c r="F83" s="145"/>
      <c r="G83" s="145"/>
      <c r="H83" s="145"/>
      <c r="I83" s="145"/>
      <c r="J83" s="145"/>
      <c r="K83" s="145"/>
      <c r="L83" s="146"/>
      <c r="N83" s="23">
        <v>46</v>
      </c>
      <c r="O83" s="55" t="s">
        <v>289</v>
      </c>
      <c r="P83" s="52" t="s">
        <v>290</v>
      </c>
      <c r="Q83" s="22"/>
      <c r="R83" s="22"/>
      <c r="S83" s="51"/>
      <c r="T83" s="53" t="s">
        <v>495</v>
      </c>
      <c r="U83" s="22"/>
      <c r="V83" s="22"/>
      <c r="W83" s="22"/>
      <c r="X83" s="22"/>
      <c r="Y83" s="22"/>
      <c r="Z83" s="22"/>
      <c r="AA83" s="51"/>
    </row>
    <row r="84" spans="2:27" x14ac:dyDescent="0.3">
      <c r="B84" s="31"/>
      <c r="C84" s="31"/>
      <c r="D84" s="144"/>
      <c r="E84" s="145"/>
      <c r="F84" s="145"/>
      <c r="G84" s="145"/>
      <c r="H84" s="145"/>
      <c r="I84" s="145"/>
      <c r="J84" s="145"/>
      <c r="K84" s="145"/>
      <c r="L84" s="146"/>
      <c r="N84" s="48">
        <v>47</v>
      </c>
      <c r="O84" s="55" t="s">
        <v>289</v>
      </c>
      <c r="P84" s="52" t="s">
        <v>290</v>
      </c>
      <c r="Q84" s="22"/>
      <c r="R84" s="22"/>
      <c r="S84" s="51"/>
      <c r="T84" s="53" t="s">
        <v>496</v>
      </c>
      <c r="U84" s="22"/>
      <c r="V84" s="22"/>
      <c r="W84" s="22"/>
      <c r="X84" s="22"/>
      <c r="Y84" s="22"/>
      <c r="Z84" s="22"/>
      <c r="AA84" s="51"/>
    </row>
    <row r="85" spans="2:27" x14ac:dyDescent="0.3">
      <c r="B85" s="31"/>
      <c r="C85" s="31"/>
      <c r="D85" s="144"/>
      <c r="E85" s="145"/>
      <c r="F85" s="145"/>
      <c r="G85" s="145"/>
      <c r="H85" s="145"/>
      <c r="I85" s="145"/>
      <c r="J85" s="145"/>
      <c r="K85" s="145"/>
      <c r="L85" s="146"/>
      <c r="N85" s="23">
        <v>48</v>
      </c>
      <c r="O85" s="55" t="s">
        <v>289</v>
      </c>
      <c r="P85" s="52" t="s">
        <v>290</v>
      </c>
      <c r="Q85" s="22"/>
      <c r="R85" s="22"/>
      <c r="S85" s="51"/>
      <c r="T85" s="53" t="s">
        <v>497</v>
      </c>
      <c r="U85" s="22"/>
      <c r="V85" s="22"/>
      <c r="W85" s="22"/>
      <c r="X85" s="22"/>
      <c r="Y85" s="22"/>
      <c r="Z85" s="22"/>
      <c r="AA85" s="51"/>
    </row>
    <row r="86" spans="2:27" x14ac:dyDescent="0.3">
      <c r="B86" s="31"/>
      <c r="C86" s="31"/>
      <c r="D86" s="144"/>
      <c r="E86" s="145"/>
      <c r="F86" s="145"/>
      <c r="G86" s="145"/>
      <c r="H86" s="145"/>
      <c r="I86" s="145"/>
      <c r="J86" s="145"/>
      <c r="K86" s="145"/>
      <c r="L86" s="146"/>
      <c r="N86" s="48">
        <v>49</v>
      </c>
      <c r="O86" s="55" t="s">
        <v>289</v>
      </c>
      <c r="P86" s="52" t="s">
        <v>290</v>
      </c>
      <c r="Q86" s="22"/>
      <c r="R86" s="22"/>
      <c r="S86" s="51"/>
      <c r="T86" s="53" t="s">
        <v>498</v>
      </c>
      <c r="U86" s="22"/>
      <c r="V86" s="22"/>
      <c r="W86" s="22"/>
      <c r="X86" s="22"/>
      <c r="Y86" s="22"/>
      <c r="Z86" s="22"/>
      <c r="AA86" s="51"/>
    </row>
    <row r="87" spans="2:27" x14ac:dyDescent="0.3">
      <c r="B87" s="31"/>
      <c r="C87" s="31"/>
      <c r="D87" s="144"/>
      <c r="E87" s="145"/>
      <c r="F87" s="145"/>
      <c r="G87" s="145"/>
      <c r="H87" s="145"/>
      <c r="I87" s="145"/>
      <c r="J87" s="145"/>
      <c r="K87" s="145"/>
      <c r="L87" s="146"/>
      <c r="N87" s="23">
        <v>50</v>
      </c>
      <c r="O87" s="55" t="s">
        <v>281</v>
      </c>
      <c r="P87" s="52" t="s">
        <v>270</v>
      </c>
      <c r="Q87" s="22"/>
      <c r="R87" s="22"/>
      <c r="S87" s="51"/>
      <c r="T87" s="53" t="s">
        <v>271</v>
      </c>
      <c r="U87" s="22"/>
      <c r="V87" s="22"/>
      <c r="W87" s="22"/>
      <c r="X87" s="22"/>
      <c r="Y87" s="22"/>
      <c r="Z87" s="22"/>
      <c r="AA87" s="51"/>
    </row>
    <row r="88" spans="2:27" x14ac:dyDescent="0.3">
      <c r="B88" s="31"/>
      <c r="C88" s="31"/>
      <c r="D88" s="144"/>
      <c r="E88" s="145"/>
      <c r="F88" s="145"/>
      <c r="G88" s="145"/>
      <c r="H88" s="145"/>
      <c r="I88" s="145"/>
      <c r="J88" s="145"/>
      <c r="K88" s="145"/>
      <c r="L88" s="146"/>
      <c r="N88" s="48">
        <v>51</v>
      </c>
      <c r="O88" s="55" t="s">
        <v>281</v>
      </c>
      <c r="P88" s="52" t="s">
        <v>270</v>
      </c>
      <c r="Q88" s="22"/>
      <c r="R88" s="22"/>
      <c r="S88" s="51"/>
      <c r="T88" s="53" t="s">
        <v>272</v>
      </c>
      <c r="U88" s="22"/>
      <c r="V88" s="22"/>
      <c r="W88" s="22"/>
      <c r="X88" s="22"/>
      <c r="Y88" s="22"/>
      <c r="Z88" s="22"/>
      <c r="AA88" s="51"/>
    </row>
    <row r="89" spans="2:27" x14ac:dyDescent="0.3">
      <c r="B89" s="31"/>
      <c r="C89" s="31"/>
      <c r="D89" s="144"/>
      <c r="E89" s="145"/>
      <c r="F89" s="145"/>
      <c r="G89" s="145"/>
      <c r="H89" s="145"/>
      <c r="I89" s="145"/>
      <c r="J89" s="145"/>
      <c r="K89" s="145"/>
      <c r="L89" s="146"/>
      <c r="N89" s="23">
        <v>52</v>
      </c>
      <c r="O89" s="55" t="s">
        <v>281</v>
      </c>
      <c r="P89" s="52" t="s">
        <v>257</v>
      </c>
      <c r="Q89" s="22"/>
      <c r="R89" s="22"/>
      <c r="S89" s="51"/>
      <c r="T89" s="53" t="s">
        <v>441</v>
      </c>
      <c r="U89" s="22"/>
      <c r="V89" s="22"/>
      <c r="W89" s="22"/>
      <c r="X89" s="22"/>
      <c r="Y89" s="22"/>
      <c r="Z89" s="22"/>
      <c r="AA89" s="51"/>
    </row>
    <row r="90" spans="2:27" x14ac:dyDescent="0.3">
      <c r="N90" s="48">
        <v>53</v>
      </c>
      <c r="O90" s="55" t="s">
        <v>281</v>
      </c>
      <c r="P90" s="52" t="s">
        <v>257</v>
      </c>
      <c r="Q90" s="22"/>
      <c r="R90" s="22"/>
      <c r="S90" s="51"/>
      <c r="T90" s="53" t="s">
        <v>442</v>
      </c>
      <c r="U90" s="22"/>
      <c r="V90" s="22"/>
      <c r="W90" s="22"/>
      <c r="X90" s="22"/>
      <c r="Y90" s="22"/>
      <c r="Z90" s="22"/>
      <c r="AA90" s="51"/>
    </row>
    <row r="91" spans="2:27" x14ac:dyDescent="0.3">
      <c r="B91" s="396" t="s">
        <v>670</v>
      </c>
      <c r="C91" s="397"/>
      <c r="D91" s="397"/>
      <c r="E91" s="397"/>
      <c r="F91" s="397"/>
      <c r="G91" s="397"/>
      <c r="H91" s="397"/>
      <c r="I91" s="397"/>
      <c r="J91" s="397"/>
      <c r="K91" s="397"/>
      <c r="L91" s="398"/>
      <c r="N91" s="23">
        <v>54</v>
      </c>
      <c r="O91" s="55" t="s">
        <v>281</v>
      </c>
      <c r="P91" s="52" t="s">
        <v>282</v>
      </c>
      <c r="Q91" s="22"/>
      <c r="R91" s="22"/>
      <c r="S91" s="51"/>
      <c r="T91" s="53" t="s">
        <v>283</v>
      </c>
      <c r="U91" s="22"/>
      <c r="V91" s="22"/>
      <c r="W91" s="22"/>
      <c r="X91" s="22"/>
      <c r="Y91" s="22"/>
      <c r="Z91" s="22"/>
      <c r="AA91" s="51"/>
    </row>
    <row r="92" spans="2:27" x14ac:dyDescent="0.3">
      <c r="B92" s="28" t="s">
        <v>213</v>
      </c>
      <c r="C92" s="28" t="s">
        <v>195</v>
      </c>
      <c r="D92" s="28">
        <v>5000</v>
      </c>
      <c r="E92" s="28" t="s">
        <v>196</v>
      </c>
      <c r="F92" s="28" t="s">
        <v>196</v>
      </c>
      <c r="G92" s="28" t="s">
        <v>196</v>
      </c>
      <c r="H92" s="28" t="s">
        <v>196</v>
      </c>
      <c r="I92" s="28" t="s">
        <v>196</v>
      </c>
      <c r="J92" s="28" t="s">
        <v>196</v>
      </c>
      <c r="K92" s="28" t="s">
        <v>196</v>
      </c>
      <c r="L92" s="28" t="s">
        <v>196</v>
      </c>
      <c r="N92" s="48">
        <v>55</v>
      </c>
      <c r="O92" s="55" t="s">
        <v>281</v>
      </c>
      <c r="P92" s="52" t="s">
        <v>282</v>
      </c>
      <c r="Q92" s="22"/>
      <c r="R92" s="22"/>
      <c r="S92" s="51"/>
      <c r="T92" s="53" t="s">
        <v>284</v>
      </c>
      <c r="U92" s="22"/>
      <c r="V92" s="22"/>
      <c r="W92" s="22"/>
      <c r="X92" s="22"/>
      <c r="Y92" s="22"/>
      <c r="Z92" s="22"/>
      <c r="AA92" s="51"/>
    </row>
    <row r="93" spans="2:27" x14ac:dyDescent="0.3">
      <c r="B93" s="30"/>
      <c r="C93" s="30"/>
      <c r="D93" s="30"/>
      <c r="E93" s="30"/>
      <c r="F93" s="30"/>
      <c r="G93" s="30"/>
      <c r="H93" s="30"/>
      <c r="I93" s="30"/>
      <c r="J93" s="30"/>
      <c r="K93" s="30"/>
      <c r="L93" s="30"/>
      <c r="N93" s="23">
        <v>56</v>
      </c>
      <c r="O93" s="55" t="s">
        <v>281</v>
      </c>
      <c r="P93" s="52" t="s">
        <v>282</v>
      </c>
      <c r="Q93" s="22"/>
      <c r="R93" s="22"/>
      <c r="S93" s="51"/>
      <c r="T93" s="53" t="s">
        <v>285</v>
      </c>
      <c r="U93" s="22"/>
      <c r="V93" s="22"/>
      <c r="W93" s="22"/>
      <c r="X93" s="22"/>
      <c r="Y93" s="22"/>
      <c r="Z93" s="22"/>
      <c r="AA93" s="51"/>
    </row>
    <row r="94" spans="2:27" x14ac:dyDescent="0.3">
      <c r="B94" s="31">
        <v>150</v>
      </c>
      <c r="C94" s="31">
        <v>0</v>
      </c>
      <c r="D94" s="31">
        <f>C94/2</f>
        <v>0</v>
      </c>
      <c r="E94" s="31"/>
      <c r="F94" s="31"/>
      <c r="G94" s="31"/>
      <c r="H94" s="31"/>
      <c r="I94" s="31"/>
      <c r="J94" s="31"/>
      <c r="K94" s="31"/>
      <c r="L94" s="31"/>
      <c r="N94" s="48">
        <v>57</v>
      </c>
      <c r="O94" s="55" t="s">
        <v>281</v>
      </c>
      <c r="P94" s="52" t="s">
        <v>265</v>
      </c>
      <c r="Q94" s="22"/>
      <c r="R94" s="22"/>
      <c r="S94" s="51"/>
      <c r="T94" s="53" t="s">
        <v>286</v>
      </c>
      <c r="U94" s="22"/>
      <c r="V94" s="22"/>
      <c r="W94" s="22"/>
      <c r="X94" s="22"/>
      <c r="Y94" s="22"/>
      <c r="Z94" s="22"/>
      <c r="AA94" s="51"/>
    </row>
    <row r="95" spans="2:27" x14ac:dyDescent="0.3">
      <c r="B95" s="31">
        <v>100</v>
      </c>
      <c r="C95" s="31">
        <v>10</v>
      </c>
      <c r="D95" s="31">
        <f t="shared" ref="D95" si="13">C95/2</f>
        <v>5</v>
      </c>
      <c r="E95" s="31"/>
      <c r="F95" s="31"/>
      <c r="G95" s="31"/>
      <c r="H95" s="31"/>
      <c r="I95" s="31"/>
      <c r="J95" s="31"/>
      <c r="K95" s="31"/>
      <c r="L95" s="31"/>
      <c r="N95" s="23">
        <v>58</v>
      </c>
      <c r="O95" s="55" t="s">
        <v>281</v>
      </c>
      <c r="P95" s="52" t="s">
        <v>275</v>
      </c>
      <c r="Q95" s="22"/>
      <c r="R95" s="22"/>
      <c r="S95" s="51"/>
      <c r="T95" s="53" t="s">
        <v>261</v>
      </c>
      <c r="U95" s="22"/>
      <c r="V95" s="22"/>
      <c r="W95" s="22"/>
      <c r="X95" s="22"/>
      <c r="Y95" s="22"/>
      <c r="Z95" s="22"/>
      <c r="AA95" s="51"/>
    </row>
    <row r="96" spans="2:27" x14ac:dyDescent="0.3">
      <c r="B96" s="31">
        <v>100</v>
      </c>
      <c r="C96" s="31">
        <v>20</v>
      </c>
      <c r="D96" s="31">
        <f t="shared" ref="D96:D97" si="14">C96/2</f>
        <v>10</v>
      </c>
      <c r="E96" s="31"/>
      <c r="F96" s="31"/>
      <c r="G96" s="31"/>
      <c r="H96" s="31"/>
      <c r="I96" s="31"/>
      <c r="J96" s="31"/>
      <c r="K96" s="31"/>
      <c r="L96" s="31"/>
      <c r="N96" s="48">
        <v>59</v>
      </c>
      <c r="O96" s="55" t="s">
        <v>281</v>
      </c>
      <c r="P96" s="52" t="s">
        <v>275</v>
      </c>
      <c r="Q96" s="22"/>
      <c r="R96" s="22"/>
      <c r="S96" s="51"/>
      <c r="T96" s="53" t="s">
        <v>260</v>
      </c>
      <c r="U96" s="22"/>
      <c r="V96" s="22"/>
      <c r="W96" s="22"/>
      <c r="X96" s="22"/>
      <c r="Y96" s="22"/>
      <c r="Z96" s="22"/>
      <c r="AA96" s="51"/>
    </row>
    <row r="97" spans="2:27" x14ac:dyDescent="0.3">
      <c r="B97" s="31">
        <v>100</v>
      </c>
      <c r="C97" s="31">
        <v>40</v>
      </c>
      <c r="D97" s="31">
        <f t="shared" si="14"/>
        <v>20</v>
      </c>
      <c r="E97" s="31"/>
      <c r="F97" s="31"/>
      <c r="G97" s="31"/>
      <c r="H97" s="31"/>
      <c r="I97" s="31"/>
      <c r="J97" s="31"/>
      <c r="K97" s="31"/>
      <c r="L97" s="31"/>
      <c r="N97" s="23">
        <v>60</v>
      </c>
      <c r="O97" s="55" t="s">
        <v>281</v>
      </c>
      <c r="P97" s="52" t="s">
        <v>287</v>
      </c>
      <c r="Q97" s="22"/>
      <c r="R97" s="22"/>
      <c r="S97" s="51"/>
      <c r="T97" s="53" t="s">
        <v>288</v>
      </c>
      <c r="U97" s="22"/>
      <c r="V97" s="22"/>
      <c r="W97" s="22"/>
      <c r="X97" s="22"/>
      <c r="Y97" s="22"/>
      <c r="Z97" s="22"/>
      <c r="AA97" s="51"/>
    </row>
    <row r="98" spans="2:27" x14ac:dyDescent="0.3">
      <c r="B98" s="31">
        <v>100</v>
      </c>
      <c r="C98" s="31">
        <v>60</v>
      </c>
      <c r="D98" s="31">
        <f t="shared" ref="D98" si="15">C98/2</f>
        <v>30</v>
      </c>
      <c r="E98" s="31"/>
      <c r="F98" s="31"/>
      <c r="G98" s="31"/>
      <c r="H98" s="31"/>
      <c r="I98" s="31"/>
      <c r="J98" s="31"/>
      <c r="K98" s="31"/>
      <c r="L98" s="31"/>
      <c r="N98" s="48">
        <v>61</v>
      </c>
      <c r="O98" s="55" t="s">
        <v>281</v>
      </c>
      <c r="P98" s="52" t="s">
        <v>484</v>
      </c>
      <c r="Q98" s="22"/>
      <c r="R98" s="22"/>
      <c r="S98" s="51"/>
      <c r="T98" s="53" t="s">
        <v>483</v>
      </c>
      <c r="U98" s="22"/>
      <c r="V98" s="22"/>
      <c r="W98" s="22"/>
      <c r="X98" s="22"/>
      <c r="Y98" s="22"/>
      <c r="Z98" s="22"/>
      <c r="AA98" s="51"/>
    </row>
    <row r="99" spans="2:27" x14ac:dyDescent="0.3">
      <c r="B99" s="31">
        <v>100</v>
      </c>
      <c r="C99" s="31">
        <v>80</v>
      </c>
      <c r="D99" s="31">
        <f t="shared" ref="D99" si="16">C99/2</f>
        <v>40</v>
      </c>
      <c r="E99" s="31"/>
      <c r="F99" s="31"/>
      <c r="G99" s="31"/>
      <c r="H99" s="31"/>
      <c r="I99" s="31"/>
      <c r="J99" s="31"/>
      <c r="K99" s="31"/>
      <c r="L99" s="31"/>
      <c r="N99" s="23">
        <v>62</v>
      </c>
      <c r="O99" s="55" t="s">
        <v>281</v>
      </c>
      <c r="P99" s="52" t="s">
        <v>267</v>
      </c>
      <c r="Q99" s="22"/>
      <c r="R99" s="22"/>
      <c r="S99" s="51"/>
      <c r="T99" s="53" t="s">
        <v>268</v>
      </c>
      <c r="U99" s="22"/>
      <c r="V99" s="22"/>
      <c r="W99" s="22"/>
      <c r="X99" s="22"/>
      <c r="Y99" s="22"/>
      <c r="Z99" s="22"/>
      <c r="AA99" s="51"/>
    </row>
    <row r="100" spans="2:27" x14ac:dyDescent="0.3">
      <c r="B100" s="31">
        <v>0</v>
      </c>
      <c r="C100" s="31">
        <v>-1</v>
      </c>
      <c r="D100" s="31">
        <f t="shared" ref="D100" si="17">C100/2</f>
        <v>-0.5</v>
      </c>
      <c r="E100" s="31"/>
      <c r="F100" s="31"/>
      <c r="G100" s="31"/>
      <c r="H100" s="31"/>
      <c r="I100" s="31"/>
      <c r="J100" s="31"/>
      <c r="K100" s="31"/>
      <c r="L100" s="31"/>
      <c r="N100" s="48">
        <v>63</v>
      </c>
      <c r="O100" s="55" t="s">
        <v>281</v>
      </c>
      <c r="P100" s="52" t="s">
        <v>265</v>
      </c>
      <c r="Q100" s="22"/>
      <c r="R100" s="22"/>
      <c r="S100" s="51"/>
      <c r="T100" s="53" t="s">
        <v>269</v>
      </c>
      <c r="U100" s="22"/>
      <c r="V100" s="22"/>
      <c r="W100" s="22"/>
      <c r="X100" s="22"/>
      <c r="Y100" s="22"/>
      <c r="Z100" s="22"/>
      <c r="AA100" s="51"/>
    </row>
    <row r="101" spans="2:27" x14ac:dyDescent="0.3">
      <c r="B101" s="31"/>
      <c r="C101" s="31"/>
      <c r="D101" s="31"/>
      <c r="E101" s="31"/>
      <c r="F101" s="31"/>
      <c r="G101" s="31"/>
      <c r="H101" s="31"/>
      <c r="I101" s="31"/>
      <c r="J101" s="31"/>
      <c r="K101" s="31"/>
      <c r="L101" s="31"/>
      <c r="N101" s="23">
        <v>64</v>
      </c>
      <c r="O101" s="55" t="s">
        <v>281</v>
      </c>
      <c r="P101" s="52" t="s">
        <v>282</v>
      </c>
      <c r="Q101" s="22"/>
      <c r="R101" s="22"/>
      <c r="S101" s="51"/>
      <c r="T101" s="53" t="s">
        <v>533</v>
      </c>
      <c r="U101" s="22"/>
      <c r="V101" s="22"/>
      <c r="W101" s="22"/>
      <c r="X101" s="22"/>
      <c r="Y101" s="22"/>
      <c r="Z101" s="22"/>
      <c r="AA101" s="51"/>
    </row>
    <row r="102" spans="2:27" x14ac:dyDescent="0.3">
      <c r="B102" s="31"/>
      <c r="C102" s="31"/>
      <c r="D102" s="31"/>
      <c r="E102" s="31"/>
      <c r="F102" s="31"/>
      <c r="G102" s="31"/>
      <c r="H102" s="31"/>
      <c r="I102" s="31"/>
      <c r="J102" s="31"/>
      <c r="K102" s="31"/>
      <c r="L102" s="31"/>
      <c r="N102" s="48">
        <v>65</v>
      </c>
      <c r="O102" s="55" t="s">
        <v>281</v>
      </c>
      <c r="P102" s="52"/>
      <c r="Q102" s="22"/>
      <c r="R102" s="22"/>
      <c r="S102" s="51"/>
      <c r="T102" s="53"/>
      <c r="U102" s="22"/>
      <c r="V102" s="22"/>
      <c r="W102" s="22"/>
      <c r="X102" s="22"/>
      <c r="Y102" s="22"/>
      <c r="Z102" s="22"/>
      <c r="AA102" s="51"/>
    </row>
    <row r="103" spans="2:27" x14ac:dyDescent="0.3">
      <c r="B103" s="31"/>
      <c r="C103" s="31"/>
      <c r="D103" s="31"/>
      <c r="E103" s="31"/>
      <c r="F103" s="31"/>
      <c r="G103" s="31"/>
      <c r="H103" s="31"/>
      <c r="I103" s="31"/>
      <c r="J103" s="31"/>
      <c r="K103" s="31"/>
      <c r="L103" s="31"/>
      <c r="N103" s="23">
        <v>66</v>
      </c>
      <c r="O103" s="55" t="s">
        <v>281</v>
      </c>
      <c r="P103" s="52" t="s">
        <v>618</v>
      </c>
      <c r="Q103" s="22"/>
      <c r="R103" s="22"/>
      <c r="S103" s="51"/>
      <c r="T103" s="53" t="s">
        <v>624</v>
      </c>
      <c r="U103" s="22"/>
      <c r="V103" s="22"/>
      <c r="W103" s="22"/>
      <c r="X103" s="22"/>
      <c r="Y103" s="22"/>
      <c r="Z103" s="22"/>
      <c r="AA103" s="51"/>
    </row>
    <row r="104" spans="2:27" x14ac:dyDescent="0.3">
      <c r="B104" s="31"/>
      <c r="C104" s="31"/>
      <c r="D104" s="31"/>
      <c r="E104" s="31"/>
      <c r="F104" s="31"/>
      <c r="G104" s="31"/>
      <c r="H104" s="31"/>
      <c r="I104" s="31"/>
      <c r="J104" s="31"/>
      <c r="K104" s="31"/>
      <c r="L104" s="31"/>
      <c r="N104" s="48">
        <v>67</v>
      </c>
      <c r="O104" s="55" t="s">
        <v>281</v>
      </c>
      <c r="P104" s="52" t="s">
        <v>619</v>
      </c>
      <c r="Q104" s="22"/>
      <c r="R104" s="22"/>
      <c r="S104" s="51"/>
      <c r="T104" s="53" t="s">
        <v>625</v>
      </c>
      <c r="U104" s="22"/>
      <c r="V104" s="22"/>
      <c r="W104" s="22"/>
      <c r="X104" s="22"/>
      <c r="Y104" s="22"/>
      <c r="Z104" s="22"/>
      <c r="AA104" s="51"/>
    </row>
    <row r="105" spans="2:27" x14ac:dyDescent="0.3">
      <c r="B105" s="31"/>
      <c r="C105" s="31"/>
      <c r="D105" s="31"/>
      <c r="E105" s="31"/>
      <c r="F105" s="31"/>
      <c r="G105" s="31"/>
      <c r="H105" s="31"/>
      <c r="I105" s="31"/>
      <c r="J105" s="31"/>
      <c r="K105" s="31"/>
      <c r="L105" s="31"/>
      <c r="N105" s="23">
        <v>68</v>
      </c>
      <c r="O105" s="55" t="s">
        <v>281</v>
      </c>
      <c r="P105" s="52" t="s">
        <v>620</v>
      </c>
      <c r="Q105" s="22"/>
      <c r="R105" s="22"/>
      <c r="S105" s="51"/>
      <c r="T105" s="53" t="s">
        <v>626</v>
      </c>
      <c r="U105" s="22"/>
      <c r="V105" s="22"/>
      <c r="W105" s="22"/>
      <c r="X105" s="22"/>
      <c r="Y105" s="22"/>
      <c r="Z105" s="22"/>
      <c r="AA105" s="51"/>
    </row>
    <row r="106" spans="2:27" x14ac:dyDescent="0.3">
      <c r="B106" s="31"/>
      <c r="C106" s="31"/>
      <c r="D106" s="31"/>
      <c r="E106" s="31"/>
      <c r="F106" s="31"/>
      <c r="G106" s="31"/>
      <c r="H106" s="31"/>
      <c r="I106" s="31"/>
      <c r="J106" s="31"/>
      <c r="K106" s="31"/>
      <c r="L106" s="31"/>
      <c r="N106" s="48">
        <v>69</v>
      </c>
      <c r="O106" s="55" t="s">
        <v>281</v>
      </c>
      <c r="P106" s="52" t="s">
        <v>621</v>
      </c>
      <c r="Q106" s="22"/>
      <c r="R106" s="22"/>
      <c r="S106" s="51"/>
      <c r="T106" s="53" t="s">
        <v>627</v>
      </c>
      <c r="U106" s="22"/>
      <c r="V106" s="22"/>
      <c r="W106" s="22"/>
      <c r="X106" s="22"/>
      <c r="Y106" s="22"/>
      <c r="Z106" s="22"/>
      <c r="AA106" s="51"/>
    </row>
    <row r="107" spans="2:27" x14ac:dyDescent="0.3">
      <c r="B107" s="31"/>
      <c r="C107" s="31"/>
      <c r="D107" s="31"/>
      <c r="E107" s="31"/>
      <c r="F107" s="31"/>
      <c r="G107" s="31"/>
      <c r="H107" s="31"/>
      <c r="I107" s="31"/>
      <c r="J107" s="31"/>
      <c r="K107" s="31"/>
      <c r="L107" s="31"/>
      <c r="N107" s="23">
        <v>70</v>
      </c>
      <c r="O107" s="55" t="s">
        <v>281</v>
      </c>
      <c r="P107" s="52" t="s">
        <v>622</v>
      </c>
      <c r="Q107" s="22"/>
      <c r="R107" s="22"/>
      <c r="S107" s="51"/>
      <c r="T107" s="53" t="s">
        <v>628</v>
      </c>
      <c r="U107" s="22"/>
      <c r="V107" s="169"/>
      <c r="W107" s="169"/>
      <c r="X107" s="169"/>
      <c r="Y107" s="169"/>
      <c r="Z107" s="169"/>
      <c r="AA107" s="170"/>
    </row>
    <row r="108" spans="2:27" x14ac:dyDescent="0.3">
      <c r="B108" s="31"/>
      <c r="C108" s="31"/>
      <c r="D108" s="31"/>
      <c r="E108" s="31"/>
      <c r="F108" s="31"/>
      <c r="G108" s="31"/>
      <c r="H108" s="31"/>
      <c r="I108" s="31"/>
      <c r="J108" s="31"/>
      <c r="K108" s="31"/>
      <c r="L108" s="31"/>
      <c r="N108" s="48">
        <v>71</v>
      </c>
      <c r="O108" s="55" t="s">
        <v>281</v>
      </c>
      <c r="P108" s="52" t="s">
        <v>623</v>
      </c>
      <c r="Q108" s="22"/>
      <c r="R108" s="22"/>
      <c r="S108" s="51"/>
      <c r="T108" s="53" t="s">
        <v>629</v>
      </c>
      <c r="U108" s="22"/>
      <c r="V108" s="169"/>
      <c r="W108" s="169"/>
      <c r="X108" s="169"/>
      <c r="Y108" s="169"/>
      <c r="Z108" s="169"/>
      <c r="AA108" s="170"/>
    </row>
    <row r="109" spans="2:27" x14ac:dyDescent="0.3">
      <c r="N109" s="23">
        <v>72</v>
      </c>
      <c r="O109" s="206" t="s">
        <v>281</v>
      </c>
      <c r="P109" s="207" t="s">
        <v>631</v>
      </c>
      <c r="Q109" s="169"/>
      <c r="R109" s="169"/>
      <c r="S109" s="170"/>
      <c r="T109" s="208" t="s">
        <v>632</v>
      </c>
      <c r="U109" s="169"/>
      <c r="V109" s="169"/>
      <c r="W109" s="169"/>
      <c r="X109" s="169"/>
      <c r="Y109" s="169"/>
      <c r="Z109" s="169"/>
      <c r="AA109" s="170"/>
    </row>
    <row r="110" spans="2:27" x14ac:dyDescent="0.3">
      <c r="N110" s="48">
        <v>73</v>
      </c>
      <c r="O110" s="206" t="s">
        <v>281</v>
      </c>
      <c r="P110" s="207" t="s">
        <v>633</v>
      </c>
      <c r="Q110" s="169"/>
      <c r="R110" s="169"/>
      <c r="S110" s="170"/>
      <c r="T110" s="208" t="s">
        <v>638</v>
      </c>
      <c r="U110" s="169"/>
      <c r="V110" s="169"/>
      <c r="W110" s="169"/>
      <c r="X110" s="169"/>
      <c r="Y110" s="169"/>
      <c r="Z110" s="169"/>
      <c r="AA110" s="170"/>
    </row>
    <row r="111" spans="2:27" x14ac:dyDescent="0.3">
      <c r="N111" s="23">
        <v>74</v>
      </c>
      <c r="O111" s="206" t="s">
        <v>281</v>
      </c>
      <c r="P111" s="207" t="s">
        <v>634</v>
      </c>
      <c r="Q111" s="169"/>
      <c r="R111" s="169"/>
      <c r="S111" s="170"/>
      <c r="T111" s="208" t="s">
        <v>639</v>
      </c>
      <c r="U111" s="169"/>
      <c r="V111" s="169"/>
      <c r="W111" s="169"/>
      <c r="X111" s="169"/>
      <c r="Y111" s="169"/>
      <c r="Z111" s="169"/>
      <c r="AA111" s="170"/>
    </row>
    <row r="112" spans="2:27" x14ac:dyDescent="0.3">
      <c r="N112" s="48">
        <v>75</v>
      </c>
      <c r="O112" s="206" t="s">
        <v>281</v>
      </c>
      <c r="P112" s="207" t="s">
        <v>635</v>
      </c>
      <c r="Q112" s="169"/>
      <c r="R112" s="169"/>
      <c r="S112" s="170"/>
      <c r="T112" s="208" t="s">
        <v>640</v>
      </c>
      <c r="U112" s="169"/>
      <c r="V112" s="169"/>
      <c r="W112" s="169"/>
      <c r="X112" s="169"/>
      <c r="Y112" s="169"/>
      <c r="Z112" s="169"/>
      <c r="AA112" s="170"/>
    </row>
    <row r="113" spans="14:27" x14ac:dyDescent="0.3">
      <c r="N113" s="23">
        <v>76</v>
      </c>
      <c r="O113" s="206" t="s">
        <v>281</v>
      </c>
      <c r="P113" s="207" t="s">
        <v>636</v>
      </c>
      <c r="Q113" s="169"/>
      <c r="R113" s="169"/>
      <c r="S113" s="170"/>
      <c r="T113" s="208" t="s">
        <v>641</v>
      </c>
      <c r="U113" s="169"/>
      <c r="V113" s="169"/>
      <c r="W113" s="169"/>
      <c r="X113" s="169"/>
      <c r="Y113" s="169"/>
      <c r="Z113" s="169"/>
      <c r="AA113" s="170"/>
    </row>
    <row r="114" spans="14:27" x14ac:dyDescent="0.3">
      <c r="N114" s="48">
        <v>77</v>
      </c>
      <c r="O114" s="206" t="s">
        <v>281</v>
      </c>
      <c r="P114" s="207" t="s">
        <v>637</v>
      </c>
      <c r="Q114" s="169"/>
      <c r="R114" s="169"/>
      <c r="S114" s="170"/>
      <c r="T114" s="208" t="s">
        <v>642</v>
      </c>
      <c r="U114" s="169"/>
      <c r="V114" s="169"/>
      <c r="W114" s="169"/>
      <c r="X114" s="169"/>
      <c r="Y114" s="169"/>
      <c r="Z114" s="169"/>
      <c r="AA114" s="170"/>
    </row>
    <row r="115" spans="14:27" x14ac:dyDescent="0.3">
      <c r="N115" s="23">
        <v>78</v>
      </c>
      <c r="O115" s="206"/>
      <c r="P115" s="207"/>
      <c r="Q115" s="169"/>
      <c r="R115" s="169"/>
      <c r="S115" s="170"/>
      <c r="T115" s="208"/>
      <c r="U115" s="169"/>
      <c r="V115" s="169"/>
      <c r="W115" s="169"/>
      <c r="X115" s="169"/>
      <c r="Y115" s="169"/>
      <c r="Z115" s="169"/>
      <c r="AA115" s="170"/>
    </row>
    <row r="116" spans="14:27" x14ac:dyDescent="0.3">
      <c r="N116" s="218">
        <v>79</v>
      </c>
      <c r="O116" s="206" t="s">
        <v>663</v>
      </c>
      <c r="P116" s="207" t="s">
        <v>672</v>
      </c>
      <c r="Q116" s="169"/>
      <c r="R116" s="169"/>
      <c r="S116" s="170"/>
      <c r="T116" s="208" t="s">
        <v>673</v>
      </c>
      <c r="U116" s="169"/>
      <c r="V116" s="169"/>
      <c r="W116" s="169"/>
      <c r="X116" s="169"/>
      <c r="Y116" s="169"/>
      <c r="Z116" s="169"/>
      <c r="AA116" s="170"/>
    </row>
    <row r="117" spans="14:27" x14ac:dyDescent="0.3">
      <c r="N117" s="231">
        <v>80</v>
      </c>
      <c r="O117" s="269" t="s">
        <v>663</v>
      </c>
      <c r="P117" s="392" t="s">
        <v>752</v>
      </c>
      <c r="Q117" s="392"/>
      <c r="R117" s="392"/>
      <c r="S117" s="392"/>
      <c r="T117" s="393" t="s">
        <v>797</v>
      </c>
      <c r="U117" s="394"/>
      <c r="V117" s="394"/>
      <c r="W117" s="394"/>
      <c r="X117" s="394"/>
      <c r="Y117" s="394"/>
      <c r="Z117" s="394"/>
      <c r="AA117" s="395"/>
    </row>
    <row r="118" spans="14:27" x14ac:dyDescent="0.3">
      <c r="N118" s="231">
        <v>81</v>
      </c>
      <c r="O118" s="269" t="s">
        <v>663</v>
      </c>
      <c r="P118" s="392" t="s">
        <v>753</v>
      </c>
      <c r="Q118" s="392"/>
      <c r="R118" s="392"/>
      <c r="S118" s="392"/>
      <c r="T118" s="393" t="s">
        <v>798</v>
      </c>
      <c r="U118" s="394"/>
      <c r="V118" s="394"/>
      <c r="W118" s="394"/>
      <c r="X118" s="394"/>
      <c r="Y118" s="394"/>
      <c r="Z118" s="394"/>
      <c r="AA118" s="395"/>
    </row>
    <row r="119" spans="14:27" x14ac:dyDescent="0.3">
      <c r="N119" s="231">
        <v>82</v>
      </c>
      <c r="O119" s="269" t="s">
        <v>663</v>
      </c>
      <c r="P119" s="392" t="s">
        <v>752</v>
      </c>
      <c r="Q119" s="392"/>
      <c r="R119" s="392"/>
      <c r="S119" s="392"/>
      <c r="T119" s="393" t="s">
        <v>773</v>
      </c>
      <c r="U119" s="394"/>
      <c r="V119" s="394"/>
      <c r="W119" s="394"/>
      <c r="X119" s="394"/>
      <c r="Y119" s="394"/>
      <c r="Z119" s="394"/>
      <c r="AA119" s="395"/>
    </row>
    <row r="120" spans="14:27" x14ac:dyDescent="0.3">
      <c r="N120" s="231">
        <v>83</v>
      </c>
      <c r="O120" s="269" t="s">
        <v>663</v>
      </c>
      <c r="P120" s="392" t="s">
        <v>753</v>
      </c>
      <c r="Q120" s="392"/>
      <c r="R120" s="392"/>
      <c r="S120" s="392"/>
      <c r="T120" s="393" t="s">
        <v>774</v>
      </c>
      <c r="U120" s="394"/>
      <c r="V120" s="394"/>
      <c r="W120" s="394"/>
      <c r="X120" s="394"/>
      <c r="Y120" s="394"/>
      <c r="Z120" s="394"/>
      <c r="AA120" s="395"/>
    </row>
    <row r="121" spans="14:27" x14ac:dyDescent="0.3">
      <c r="N121" s="231">
        <v>82</v>
      </c>
      <c r="O121" s="336" t="s">
        <v>663</v>
      </c>
      <c r="P121" s="392" t="s">
        <v>752</v>
      </c>
      <c r="Q121" s="392"/>
      <c r="R121" s="392"/>
      <c r="S121" s="392"/>
      <c r="T121" s="393" t="s">
        <v>754</v>
      </c>
      <c r="U121" s="394"/>
      <c r="V121" s="394"/>
      <c r="W121" s="394"/>
      <c r="X121" s="394"/>
      <c r="Y121" s="394"/>
      <c r="Z121" s="394"/>
      <c r="AA121" s="395"/>
    </row>
    <row r="122" spans="14:27" x14ac:dyDescent="0.3">
      <c r="N122" s="231">
        <v>83</v>
      </c>
      <c r="O122" s="336" t="s">
        <v>663</v>
      </c>
      <c r="P122" s="392" t="s">
        <v>753</v>
      </c>
      <c r="Q122" s="392"/>
      <c r="R122" s="392"/>
      <c r="S122" s="392"/>
      <c r="T122" s="393" t="s">
        <v>755</v>
      </c>
      <c r="U122" s="394"/>
      <c r="V122" s="394"/>
      <c r="W122" s="394"/>
      <c r="X122" s="394"/>
      <c r="Y122" s="394"/>
      <c r="Z122" s="394"/>
      <c r="AA122" s="395"/>
    </row>
    <row r="123" spans="14:27" x14ac:dyDescent="0.3">
      <c r="N123" s="231">
        <v>82</v>
      </c>
      <c r="O123" s="336" t="s">
        <v>663</v>
      </c>
      <c r="P123" s="392" t="s">
        <v>752</v>
      </c>
      <c r="Q123" s="392"/>
      <c r="R123" s="392"/>
      <c r="S123" s="392"/>
      <c r="T123" s="393" t="s">
        <v>775</v>
      </c>
      <c r="U123" s="394"/>
      <c r="V123" s="394"/>
      <c r="W123" s="394"/>
      <c r="X123" s="394"/>
      <c r="Y123" s="394"/>
      <c r="Z123" s="394"/>
      <c r="AA123" s="395"/>
    </row>
    <row r="124" spans="14:27" x14ac:dyDescent="0.3">
      <c r="N124" s="231">
        <v>83</v>
      </c>
      <c r="O124" s="336" t="s">
        <v>663</v>
      </c>
      <c r="P124" s="392" t="s">
        <v>753</v>
      </c>
      <c r="Q124" s="392"/>
      <c r="R124" s="392"/>
      <c r="S124" s="392"/>
      <c r="T124" s="393" t="s">
        <v>776</v>
      </c>
      <c r="U124" s="394"/>
      <c r="V124" s="394"/>
      <c r="W124" s="394"/>
      <c r="X124" s="394"/>
      <c r="Y124" s="394"/>
      <c r="Z124" s="394"/>
      <c r="AA124" s="395"/>
    </row>
    <row r="125" spans="14:27" x14ac:dyDescent="0.3">
      <c r="N125" s="231">
        <v>84</v>
      </c>
      <c r="O125" s="336" t="s">
        <v>663</v>
      </c>
      <c r="P125" s="392" t="s">
        <v>752</v>
      </c>
      <c r="Q125" s="392"/>
      <c r="R125" s="392"/>
      <c r="S125" s="392"/>
      <c r="T125" s="393" t="s">
        <v>756</v>
      </c>
      <c r="U125" s="394"/>
      <c r="V125" s="394"/>
      <c r="W125" s="394"/>
      <c r="X125" s="394"/>
      <c r="Y125" s="394"/>
      <c r="Z125" s="394"/>
      <c r="AA125" s="395"/>
    </row>
    <row r="126" spans="14:27" x14ac:dyDescent="0.3">
      <c r="N126" s="231">
        <v>85</v>
      </c>
      <c r="O126" s="336" t="s">
        <v>663</v>
      </c>
      <c r="P126" s="392" t="s">
        <v>753</v>
      </c>
      <c r="Q126" s="392"/>
      <c r="R126" s="392"/>
      <c r="S126" s="392"/>
      <c r="T126" s="393" t="s">
        <v>757</v>
      </c>
      <c r="U126" s="394"/>
      <c r="V126" s="394"/>
      <c r="W126" s="394"/>
      <c r="X126" s="394"/>
      <c r="Y126" s="394"/>
      <c r="Z126" s="394"/>
      <c r="AA126" s="395"/>
    </row>
    <row r="127" spans="14:27" x14ac:dyDescent="0.3">
      <c r="N127" s="231">
        <v>90</v>
      </c>
      <c r="O127" s="268" t="s">
        <v>663</v>
      </c>
      <c r="P127" s="392" t="s">
        <v>671</v>
      </c>
      <c r="Q127" s="392"/>
      <c r="R127" s="392"/>
      <c r="S127" s="392"/>
      <c r="T127" s="392" t="s">
        <v>676</v>
      </c>
      <c r="U127" s="392"/>
      <c r="V127" s="392"/>
      <c r="W127" s="392"/>
      <c r="X127" s="392"/>
      <c r="Y127" s="392"/>
      <c r="Z127" s="392"/>
      <c r="AA127" s="392"/>
    </row>
    <row r="128" spans="14:27" x14ac:dyDescent="0.3">
      <c r="N128" s="231">
        <v>91</v>
      </c>
      <c r="O128" s="336" t="s">
        <v>663</v>
      </c>
      <c r="P128" s="392" t="s">
        <v>664</v>
      </c>
      <c r="Q128" s="392"/>
      <c r="R128" s="392"/>
      <c r="S128" s="392"/>
      <c r="T128" s="393" t="s">
        <v>799</v>
      </c>
      <c r="U128" s="394"/>
      <c r="V128" s="394"/>
      <c r="W128" s="394"/>
      <c r="X128" s="394"/>
      <c r="Y128" s="394"/>
      <c r="Z128" s="394"/>
      <c r="AA128" s="395"/>
    </row>
    <row r="129" spans="14:27" x14ac:dyDescent="0.3">
      <c r="N129" s="231">
        <v>92</v>
      </c>
      <c r="O129" s="268" t="s">
        <v>663</v>
      </c>
      <c r="P129" s="392" t="s">
        <v>665</v>
      </c>
      <c r="Q129" s="392"/>
      <c r="R129" s="392"/>
      <c r="S129" s="392"/>
      <c r="T129" s="393" t="s">
        <v>800</v>
      </c>
      <c r="U129" s="394"/>
      <c r="V129" s="394"/>
      <c r="W129" s="394"/>
      <c r="X129" s="394"/>
      <c r="Y129" s="394"/>
      <c r="Z129" s="394"/>
      <c r="AA129" s="395"/>
    </row>
    <row r="130" spans="14:27" x14ac:dyDescent="0.3">
      <c r="N130" s="231">
        <v>91</v>
      </c>
      <c r="O130" s="336" t="s">
        <v>663</v>
      </c>
      <c r="P130" s="392" t="s">
        <v>664</v>
      </c>
      <c r="Q130" s="392"/>
      <c r="R130" s="392"/>
      <c r="S130" s="392"/>
      <c r="T130" s="393" t="s">
        <v>769</v>
      </c>
      <c r="U130" s="394"/>
      <c r="V130" s="394"/>
      <c r="W130" s="394"/>
      <c r="X130" s="394"/>
      <c r="Y130" s="394"/>
      <c r="Z130" s="394"/>
      <c r="AA130" s="395"/>
    </row>
    <row r="131" spans="14:27" x14ac:dyDescent="0.3">
      <c r="N131" s="231">
        <v>92</v>
      </c>
      <c r="O131" s="268" t="s">
        <v>663</v>
      </c>
      <c r="P131" s="392" t="s">
        <v>665</v>
      </c>
      <c r="Q131" s="392"/>
      <c r="R131" s="392"/>
      <c r="S131" s="392"/>
      <c r="T131" s="393" t="s">
        <v>770</v>
      </c>
      <c r="U131" s="394"/>
      <c r="V131" s="394"/>
      <c r="W131" s="394"/>
      <c r="X131" s="394"/>
      <c r="Y131" s="394"/>
      <c r="Z131" s="394"/>
      <c r="AA131" s="395"/>
    </row>
    <row r="132" spans="14:27" x14ac:dyDescent="0.3">
      <c r="N132" s="231">
        <v>91</v>
      </c>
      <c r="O132" s="336" t="s">
        <v>663</v>
      </c>
      <c r="P132" s="392" t="s">
        <v>664</v>
      </c>
      <c r="Q132" s="392"/>
      <c r="R132" s="392"/>
      <c r="S132" s="392"/>
      <c r="T132" s="393" t="s">
        <v>669</v>
      </c>
      <c r="U132" s="394"/>
      <c r="V132" s="394"/>
      <c r="W132" s="394"/>
      <c r="X132" s="394"/>
      <c r="Y132" s="394"/>
      <c r="Z132" s="394"/>
      <c r="AA132" s="395"/>
    </row>
    <row r="133" spans="14:27" x14ac:dyDescent="0.3">
      <c r="N133" s="231">
        <v>92</v>
      </c>
      <c r="O133" s="268" t="s">
        <v>663</v>
      </c>
      <c r="P133" s="392" t="s">
        <v>665</v>
      </c>
      <c r="Q133" s="392"/>
      <c r="R133" s="392"/>
      <c r="S133" s="392"/>
      <c r="T133" s="393" t="s">
        <v>666</v>
      </c>
      <c r="U133" s="394"/>
      <c r="V133" s="394"/>
      <c r="W133" s="394"/>
      <c r="X133" s="394"/>
      <c r="Y133" s="394"/>
      <c r="Z133" s="394"/>
      <c r="AA133" s="395"/>
    </row>
    <row r="134" spans="14:27" x14ac:dyDescent="0.3">
      <c r="N134" s="231">
        <v>91</v>
      </c>
      <c r="O134" s="336" t="s">
        <v>663</v>
      </c>
      <c r="P134" s="392" t="s">
        <v>664</v>
      </c>
      <c r="Q134" s="392"/>
      <c r="R134" s="392"/>
      <c r="S134" s="392"/>
      <c r="T134" s="393" t="s">
        <v>771</v>
      </c>
      <c r="U134" s="394"/>
      <c r="V134" s="394"/>
      <c r="W134" s="394"/>
      <c r="X134" s="394"/>
      <c r="Y134" s="394"/>
      <c r="Z134" s="394"/>
      <c r="AA134" s="395"/>
    </row>
    <row r="135" spans="14:27" x14ac:dyDescent="0.3">
      <c r="N135" s="231">
        <v>92</v>
      </c>
      <c r="O135" s="268" t="s">
        <v>663</v>
      </c>
      <c r="P135" s="392" t="s">
        <v>665</v>
      </c>
      <c r="Q135" s="392"/>
      <c r="R135" s="392"/>
      <c r="S135" s="392"/>
      <c r="T135" s="393" t="s">
        <v>772</v>
      </c>
      <c r="U135" s="394"/>
      <c r="V135" s="394"/>
      <c r="W135" s="394"/>
      <c r="X135" s="394"/>
      <c r="Y135" s="394"/>
      <c r="Z135" s="394"/>
      <c r="AA135" s="395"/>
    </row>
    <row r="136" spans="14:27" x14ac:dyDescent="0.3">
      <c r="N136" s="231">
        <v>91</v>
      </c>
      <c r="O136" s="336" t="s">
        <v>663</v>
      </c>
      <c r="P136" s="392" t="s">
        <v>664</v>
      </c>
      <c r="Q136" s="392"/>
      <c r="R136" s="392"/>
      <c r="S136" s="392"/>
      <c r="T136" s="393" t="s">
        <v>667</v>
      </c>
      <c r="U136" s="394"/>
      <c r="V136" s="394"/>
      <c r="W136" s="394"/>
      <c r="X136" s="394"/>
      <c r="Y136" s="394"/>
      <c r="Z136" s="394"/>
      <c r="AA136" s="395"/>
    </row>
    <row r="137" spans="14:27" x14ac:dyDescent="0.3">
      <c r="N137" s="231">
        <v>92</v>
      </c>
      <c r="O137" s="268" t="s">
        <v>663</v>
      </c>
      <c r="P137" s="392" t="s">
        <v>665</v>
      </c>
      <c r="Q137" s="392"/>
      <c r="R137" s="392"/>
      <c r="S137" s="392"/>
      <c r="T137" s="393" t="s">
        <v>668</v>
      </c>
      <c r="U137" s="394"/>
      <c r="V137" s="394"/>
      <c r="W137" s="394"/>
      <c r="X137" s="394"/>
      <c r="Y137" s="394"/>
      <c r="Z137" s="394"/>
      <c r="AA137" s="395"/>
    </row>
    <row r="138" spans="14:27" x14ac:dyDescent="0.3">
      <c r="N138" s="231">
        <v>101</v>
      </c>
      <c r="O138" s="336" t="s">
        <v>663</v>
      </c>
      <c r="P138" s="391"/>
      <c r="Q138" s="391"/>
      <c r="R138" s="391"/>
      <c r="S138" s="391"/>
      <c r="T138" s="391"/>
      <c r="U138" s="391"/>
      <c r="V138" s="391"/>
      <c r="W138" s="391"/>
      <c r="X138" s="391"/>
      <c r="Y138" s="391"/>
      <c r="Z138" s="391"/>
      <c r="AA138" s="391"/>
    </row>
    <row r="139" spans="14:27" x14ac:dyDescent="0.3">
      <c r="N139" s="231">
        <v>102</v>
      </c>
      <c r="O139" s="336" t="s">
        <v>663</v>
      </c>
      <c r="P139" s="391"/>
      <c r="Q139" s="391"/>
      <c r="R139" s="391"/>
      <c r="S139" s="391"/>
      <c r="T139" s="391"/>
      <c r="U139" s="391"/>
      <c r="V139" s="391"/>
      <c r="W139" s="391"/>
      <c r="X139" s="391"/>
      <c r="Y139" s="391"/>
      <c r="Z139" s="391"/>
      <c r="AA139" s="391"/>
    </row>
    <row r="140" spans="14:27" x14ac:dyDescent="0.3">
      <c r="N140" s="231">
        <v>103</v>
      </c>
      <c r="O140" s="336" t="s">
        <v>663</v>
      </c>
      <c r="P140" s="391"/>
      <c r="Q140" s="391"/>
      <c r="R140" s="391"/>
      <c r="S140" s="391"/>
      <c r="T140" s="391"/>
      <c r="U140" s="391"/>
      <c r="V140" s="391"/>
      <c r="W140" s="391"/>
      <c r="X140" s="391"/>
      <c r="Y140" s="391"/>
      <c r="Z140" s="391"/>
      <c r="AA140" s="391"/>
    </row>
    <row r="141" spans="14:27" x14ac:dyDescent="0.3">
      <c r="N141" s="231">
        <v>104</v>
      </c>
      <c r="O141" s="336" t="s">
        <v>663</v>
      </c>
      <c r="P141" s="391"/>
      <c r="Q141" s="391"/>
      <c r="R141" s="391"/>
      <c r="S141" s="391"/>
      <c r="T141" s="391"/>
      <c r="U141" s="391"/>
      <c r="V141" s="391"/>
      <c r="W141" s="391"/>
      <c r="X141" s="391"/>
      <c r="Y141" s="391"/>
      <c r="Z141" s="391"/>
      <c r="AA141" s="391"/>
    </row>
  </sheetData>
  <mergeCells count="75">
    <mergeCell ref="P130:S130"/>
    <mergeCell ref="T130:AA130"/>
    <mergeCell ref="P127:S127"/>
    <mergeCell ref="T127:AA127"/>
    <mergeCell ref="P128:S128"/>
    <mergeCell ref="T128:AA128"/>
    <mergeCell ref="P129:S129"/>
    <mergeCell ref="T129:AA129"/>
    <mergeCell ref="AF55:AG55"/>
    <mergeCell ref="AF56:AG56"/>
    <mergeCell ref="AF57:AG57"/>
    <mergeCell ref="B2:AE2"/>
    <mergeCell ref="AC59:AE59"/>
    <mergeCell ref="AC55:AD55"/>
    <mergeCell ref="AC56:AD56"/>
    <mergeCell ref="AC57:AD57"/>
    <mergeCell ref="B73:L73"/>
    <mergeCell ref="S18:X18"/>
    <mergeCell ref="AC35:AE35"/>
    <mergeCell ref="N35:AA35"/>
    <mergeCell ref="B18:L18"/>
    <mergeCell ref="N18:Q18"/>
    <mergeCell ref="Z26:AB26"/>
    <mergeCell ref="Z18:AB18"/>
    <mergeCell ref="AD18:AG18"/>
    <mergeCell ref="AC49:AE50"/>
    <mergeCell ref="AC51:AD52"/>
    <mergeCell ref="AE51:AE52"/>
    <mergeCell ref="AC53:AD53"/>
    <mergeCell ref="AC54:AD54"/>
    <mergeCell ref="AF53:AG53"/>
    <mergeCell ref="AF54:AG54"/>
    <mergeCell ref="P126:S126"/>
    <mergeCell ref="P117:S117"/>
    <mergeCell ref="P118:S118"/>
    <mergeCell ref="P119:S119"/>
    <mergeCell ref="P120:S120"/>
    <mergeCell ref="P121:S121"/>
    <mergeCell ref="T126:AA126"/>
    <mergeCell ref="T117:AA117"/>
    <mergeCell ref="T118:AA118"/>
    <mergeCell ref="T119:AA119"/>
    <mergeCell ref="T120:AA120"/>
    <mergeCell ref="T121:AA121"/>
    <mergeCell ref="B91:L91"/>
    <mergeCell ref="T122:AA122"/>
    <mergeCell ref="T123:AA123"/>
    <mergeCell ref="T124:AA124"/>
    <mergeCell ref="T125:AA125"/>
    <mergeCell ref="P122:S122"/>
    <mergeCell ref="P123:S123"/>
    <mergeCell ref="P124:S124"/>
    <mergeCell ref="P125:S125"/>
    <mergeCell ref="P131:S131"/>
    <mergeCell ref="T131:AA131"/>
    <mergeCell ref="P132:S132"/>
    <mergeCell ref="T132:AA132"/>
    <mergeCell ref="P133:S133"/>
    <mergeCell ref="T133:AA133"/>
    <mergeCell ref="P134:S134"/>
    <mergeCell ref="T134:AA134"/>
    <mergeCell ref="P135:S135"/>
    <mergeCell ref="T135:AA135"/>
    <mergeCell ref="P136:S136"/>
    <mergeCell ref="T136:AA136"/>
    <mergeCell ref="P140:S140"/>
    <mergeCell ref="T140:AA140"/>
    <mergeCell ref="P141:S141"/>
    <mergeCell ref="T141:AA141"/>
    <mergeCell ref="P137:S137"/>
    <mergeCell ref="T137:AA137"/>
    <mergeCell ref="P138:S138"/>
    <mergeCell ref="T138:AA138"/>
    <mergeCell ref="P139:S139"/>
    <mergeCell ref="T139:AA13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defaultSize="0" autoFill="0" autoLine="0" autoPict="0">
                <anchor moveWithCells="1">
                  <from>
                    <xdr:col>14</xdr:col>
                    <xdr:colOff>0</xdr:colOff>
                    <xdr:row>18</xdr:row>
                    <xdr:rowOff>182880</xdr:rowOff>
                  </from>
                  <to>
                    <xdr:col>14</xdr:col>
                    <xdr:colOff>411480</xdr:colOff>
                    <xdr:row>20</xdr:row>
                    <xdr:rowOff>76200</xdr:rowOff>
                  </to>
                </anchor>
              </controlPr>
            </control>
          </mc:Choice>
        </mc:AlternateContent>
        <mc:AlternateContent xmlns:mc="http://schemas.openxmlformats.org/markup-compatibility/2006">
          <mc:Choice Requires="x14">
            <control shapeId="2050" r:id="rId4" name="Check Box 2">
              <controlPr defaultSize="0" autoFill="0" autoLine="0" autoPict="0">
                <anchor moveWithCells="1">
                  <from>
                    <xdr:col>14</xdr:col>
                    <xdr:colOff>0</xdr:colOff>
                    <xdr:row>19</xdr:row>
                    <xdr:rowOff>182880</xdr:rowOff>
                  </from>
                  <to>
                    <xdr:col>14</xdr:col>
                    <xdr:colOff>411480</xdr:colOff>
                    <xdr:row>21</xdr:row>
                    <xdr:rowOff>76200</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14</xdr:col>
                    <xdr:colOff>0</xdr:colOff>
                    <xdr:row>20</xdr:row>
                    <xdr:rowOff>182880</xdr:rowOff>
                  </from>
                  <to>
                    <xdr:col>14</xdr:col>
                    <xdr:colOff>411480</xdr:colOff>
                    <xdr:row>22</xdr:row>
                    <xdr:rowOff>76200</xdr:rowOff>
                  </to>
                </anchor>
              </controlPr>
            </control>
          </mc:Choice>
        </mc:AlternateContent>
        <mc:AlternateContent xmlns:mc="http://schemas.openxmlformats.org/markup-compatibility/2006">
          <mc:Choice Requires="x14">
            <control shapeId="2052" r:id="rId6" name="Check Box 4">
              <controlPr defaultSize="0" autoFill="0" autoLine="0" autoPict="0">
                <anchor moveWithCells="1">
                  <from>
                    <xdr:col>14</xdr:col>
                    <xdr:colOff>0</xdr:colOff>
                    <xdr:row>21</xdr:row>
                    <xdr:rowOff>182880</xdr:rowOff>
                  </from>
                  <to>
                    <xdr:col>14</xdr:col>
                    <xdr:colOff>411480</xdr:colOff>
                    <xdr:row>23</xdr:row>
                    <xdr:rowOff>68580</xdr:rowOff>
                  </to>
                </anchor>
              </controlPr>
            </control>
          </mc:Choice>
        </mc:AlternateContent>
        <mc:AlternateContent xmlns:mc="http://schemas.openxmlformats.org/markup-compatibility/2006">
          <mc:Choice Requires="x14">
            <control shapeId="2053" r:id="rId7" name="Check Box 5">
              <controlPr defaultSize="0" autoFill="0" autoLine="0" autoPict="0">
                <anchor moveWithCells="1">
                  <from>
                    <xdr:col>14</xdr:col>
                    <xdr:colOff>0</xdr:colOff>
                    <xdr:row>22</xdr:row>
                    <xdr:rowOff>182880</xdr:rowOff>
                  </from>
                  <to>
                    <xdr:col>14</xdr:col>
                    <xdr:colOff>411480</xdr:colOff>
                    <xdr:row>24</xdr:row>
                    <xdr:rowOff>76200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14</xdr:col>
                    <xdr:colOff>0</xdr:colOff>
                    <xdr:row>23</xdr:row>
                    <xdr:rowOff>182880</xdr:rowOff>
                  </from>
                  <to>
                    <xdr:col>14</xdr:col>
                    <xdr:colOff>411480</xdr:colOff>
                    <xdr:row>25</xdr:row>
                    <xdr:rowOff>68580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14</xdr:col>
                    <xdr:colOff>0</xdr:colOff>
                    <xdr:row>24</xdr:row>
                    <xdr:rowOff>182880</xdr:rowOff>
                  </from>
                  <to>
                    <xdr:col>14</xdr:col>
                    <xdr:colOff>411480</xdr:colOff>
                    <xdr:row>26</xdr:row>
                    <xdr:rowOff>68580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14</xdr:col>
                    <xdr:colOff>0</xdr:colOff>
                    <xdr:row>25</xdr:row>
                    <xdr:rowOff>182880</xdr:rowOff>
                  </from>
                  <to>
                    <xdr:col>14</xdr:col>
                    <xdr:colOff>411480</xdr:colOff>
                    <xdr:row>27</xdr:row>
                    <xdr:rowOff>68580</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14</xdr:col>
                    <xdr:colOff>0</xdr:colOff>
                    <xdr:row>26</xdr:row>
                    <xdr:rowOff>182880</xdr:rowOff>
                  </from>
                  <to>
                    <xdr:col>14</xdr:col>
                    <xdr:colOff>411480</xdr:colOff>
                    <xdr:row>28</xdr:row>
                    <xdr:rowOff>68580</xdr:rowOff>
                  </to>
                </anchor>
              </controlPr>
            </control>
          </mc:Choice>
        </mc:AlternateContent>
        <mc:AlternateContent xmlns:mc="http://schemas.openxmlformats.org/markup-compatibility/2006">
          <mc:Choice Requires="x14">
            <control shapeId="2058" r:id="rId12" name="Check Box 10">
              <controlPr defaultSize="0" autoFill="0" autoLine="0" autoPict="0">
                <anchor moveWithCells="1">
                  <from>
                    <xdr:col>14</xdr:col>
                    <xdr:colOff>0</xdr:colOff>
                    <xdr:row>27</xdr:row>
                    <xdr:rowOff>182880</xdr:rowOff>
                  </from>
                  <to>
                    <xdr:col>14</xdr:col>
                    <xdr:colOff>411480</xdr:colOff>
                    <xdr:row>29</xdr:row>
                    <xdr:rowOff>60960</xdr:rowOff>
                  </to>
                </anchor>
              </controlPr>
            </control>
          </mc:Choice>
        </mc:AlternateContent>
        <mc:AlternateContent xmlns:mc="http://schemas.openxmlformats.org/markup-compatibility/2006">
          <mc:Choice Requires="x14">
            <control shapeId="2059" r:id="rId13" name="Check Box 11">
              <controlPr defaultSize="0" autoFill="0" autoLine="0" autoPict="0">
                <anchor moveWithCells="1">
                  <from>
                    <xdr:col>14</xdr:col>
                    <xdr:colOff>0</xdr:colOff>
                    <xdr:row>28</xdr:row>
                    <xdr:rowOff>182880</xdr:rowOff>
                  </from>
                  <to>
                    <xdr:col>14</xdr:col>
                    <xdr:colOff>411480</xdr:colOff>
                    <xdr:row>30</xdr:row>
                    <xdr:rowOff>60960</xdr:rowOff>
                  </to>
                </anchor>
              </controlPr>
            </control>
          </mc:Choice>
        </mc:AlternateContent>
        <mc:AlternateContent xmlns:mc="http://schemas.openxmlformats.org/markup-compatibility/2006">
          <mc:Choice Requires="x14">
            <control shapeId="2060" r:id="rId14" name="Check Box 12">
              <controlPr defaultSize="0" autoFill="0" autoLine="0" autoPict="0">
                <anchor moveWithCells="1">
                  <from>
                    <xdr:col>14</xdr:col>
                    <xdr:colOff>0</xdr:colOff>
                    <xdr:row>29</xdr:row>
                    <xdr:rowOff>182880</xdr:rowOff>
                  </from>
                  <to>
                    <xdr:col>14</xdr:col>
                    <xdr:colOff>411480</xdr:colOff>
                    <xdr:row>31</xdr:row>
                    <xdr:rowOff>68580</xdr:rowOff>
                  </to>
                </anchor>
              </controlPr>
            </control>
          </mc:Choice>
        </mc:AlternateContent>
        <mc:AlternateContent xmlns:mc="http://schemas.openxmlformats.org/markup-compatibility/2006">
          <mc:Choice Requires="x14">
            <control shapeId="2061" r:id="rId15" name="Check Box 13">
              <controlPr defaultSize="0" autoFill="0" autoLine="0" autoPict="0">
                <anchor moveWithCells="1">
                  <from>
                    <xdr:col>14</xdr:col>
                    <xdr:colOff>0</xdr:colOff>
                    <xdr:row>30</xdr:row>
                    <xdr:rowOff>182880</xdr:rowOff>
                  </from>
                  <to>
                    <xdr:col>14</xdr:col>
                    <xdr:colOff>411480</xdr:colOff>
                    <xdr:row>32</xdr:row>
                    <xdr:rowOff>68580</xdr:rowOff>
                  </to>
                </anchor>
              </controlPr>
            </control>
          </mc:Choice>
        </mc:AlternateContent>
        <mc:AlternateContent xmlns:mc="http://schemas.openxmlformats.org/markup-compatibility/2006">
          <mc:Choice Requires="x14">
            <control shapeId="2062" r:id="rId16" name="Check Box 14">
              <controlPr defaultSize="0" autoFill="0" autoLine="0" autoPict="0">
                <anchor moveWithCells="1">
                  <from>
                    <xdr:col>14</xdr:col>
                    <xdr:colOff>0</xdr:colOff>
                    <xdr:row>18</xdr:row>
                    <xdr:rowOff>182880</xdr:rowOff>
                  </from>
                  <to>
                    <xdr:col>14</xdr:col>
                    <xdr:colOff>411480</xdr:colOff>
                    <xdr:row>20</xdr:row>
                    <xdr:rowOff>76200</xdr:rowOff>
                  </to>
                </anchor>
              </controlPr>
            </control>
          </mc:Choice>
        </mc:AlternateContent>
        <mc:AlternateContent xmlns:mc="http://schemas.openxmlformats.org/markup-compatibility/2006">
          <mc:Choice Requires="x14">
            <control shapeId="2063" r:id="rId17" name="Check Box 15">
              <controlPr defaultSize="0" autoFill="0" autoLine="0" autoPict="0">
                <anchor moveWithCells="1">
                  <from>
                    <xdr:col>14</xdr:col>
                    <xdr:colOff>0</xdr:colOff>
                    <xdr:row>19</xdr:row>
                    <xdr:rowOff>182880</xdr:rowOff>
                  </from>
                  <to>
                    <xdr:col>14</xdr:col>
                    <xdr:colOff>411480</xdr:colOff>
                    <xdr:row>21</xdr:row>
                    <xdr:rowOff>76200</xdr:rowOff>
                  </to>
                </anchor>
              </controlPr>
            </control>
          </mc:Choice>
        </mc:AlternateContent>
        <mc:AlternateContent xmlns:mc="http://schemas.openxmlformats.org/markup-compatibility/2006">
          <mc:Choice Requires="x14">
            <control shapeId="2064" r:id="rId18" name="Check Box 16">
              <controlPr defaultSize="0" autoFill="0" autoLine="0" autoPict="0">
                <anchor moveWithCells="1">
                  <from>
                    <xdr:col>14</xdr:col>
                    <xdr:colOff>0</xdr:colOff>
                    <xdr:row>31</xdr:row>
                    <xdr:rowOff>182880</xdr:rowOff>
                  </from>
                  <to>
                    <xdr:col>14</xdr:col>
                    <xdr:colOff>411480</xdr:colOff>
                    <xdr:row>33</xdr:row>
                    <xdr:rowOff>68580</xdr:rowOff>
                  </to>
                </anchor>
              </controlPr>
            </control>
          </mc:Choice>
        </mc:AlternateContent>
        <mc:AlternateContent xmlns:mc="http://schemas.openxmlformats.org/markup-compatibility/2006">
          <mc:Choice Requires="x14">
            <control shapeId="2065" r:id="rId19" name="Check Box 17">
              <controlPr defaultSize="0" autoFill="0" autoLine="0" autoPict="0">
                <anchor moveWithCells="1">
                  <from>
                    <xdr:col>30</xdr:col>
                    <xdr:colOff>0</xdr:colOff>
                    <xdr:row>18</xdr:row>
                    <xdr:rowOff>182880</xdr:rowOff>
                  </from>
                  <to>
                    <xdr:col>30</xdr:col>
                    <xdr:colOff>411480</xdr:colOff>
                    <xdr:row>20</xdr:row>
                    <xdr:rowOff>76200</xdr:rowOff>
                  </to>
                </anchor>
              </controlPr>
            </control>
          </mc:Choice>
        </mc:AlternateContent>
        <mc:AlternateContent xmlns:mc="http://schemas.openxmlformats.org/markup-compatibility/2006">
          <mc:Choice Requires="x14">
            <control shapeId="2066" r:id="rId20" name="Check Box 18">
              <controlPr defaultSize="0" autoFill="0" autoLine="0" autoPict="0">
                <anchor moveWithCells="1">
                  <from>
                    <xdr:col>30</xdr:col>
                    <xdr:colOff>0</xdr:colOff>
                    <xdr:row>19</xdr:row>
                    <xdr:rowOff>182880</xdr:rowOff>
                  </from>
                  <to>
                    <xdr:col>30</xdr:col>
                    <xdr:colOff>411480</xdr:colOff>
                    <xdr:row>21</xdr:row>
                    <xdr:rowOff>76200</xdr:rowOff>
                  </to>
                </anchor>
              </controlPr>
            </control>
          </mc:Choice>
        </mc:AlternateContent>
        <mc:AlternateContent xmlns:mc="http://schemas.openxmlformats.org/markup-compatibility/2006">
          <mc:Choice Requires="x14">
            <control shapeId="2067" r:id="rId21" name="Check Box 19">
              <controlPr defaultSize="0" autoFill="0" autoLine="0" autoPict="0">
                <anchor moveWithCells="1">
                  <from>
                    <xdr:col>30</xdr:col>
                    <xdr:colOff>0</xdr:colOff>
                    <xdr:row>20</xdr:row>
                    <xdr:rowOff>182880</xdr:rowOff>
                  </from>
                  <to>
                    <xdr:col>30</xdr:col>
                    <xdr:colOff>411480</xdr:colOff>
                    <xdr:row>22</xdr:row>
                    <xdr:rowOff>76200</xdr:rowOff>
                  </to>
                </anchor>
              </controlPr>
            </control>
          </mc:Choice>
        </mc:AlternateContent>
        <mc:AlternateContent xmlns:mc="http://schemas.openxmlformats.org/markup-compatibility/2006">
          <mc:Choice Requires="x14">
            <control shapeId="2068" r:id="rId22" name="Check Box 20">
              <controlPr defaultSize="0" autoFill="0" autoLine="0" autoPict="0">
                <anchor moveWithCells="1">
                  <from>
                    <xdr:col>30</xdr:col>
                    <xdr:colOff>0</xdr:colOff>
                    <xdr:row>21</xdr:row>
                    <xdr:rowOff>182880</xdr:rowOff>
                  </from>
                  <to>
                    <xdr:col>30</xdr:col>
                    <xdr:colOff>411480</xdr:colOff>
                    <xdr:row>23</xdr:row>
                    <xdr:rowOff>68580</xdr:rowOff>
                  </to>
                </anchor>
              </controlPr>
            </control>
          </mc:Choice>
        </mc:AlternateContent>
        <mc:AlternateContent xmlns:mc="http://schemas.openxmlformats.org/markup-compatibility/2006">
          <mc:Choice Requires="x14">
            <control shapeId="2069" r:id="rId23" name="Check Box 21">
              <controlPr defaultSize="0" autoFill="0" autoLine="0" autoPict="0">
                <anchor moveWithCells="1">
                  <from>
                    <xdr:col>30</xdr:col>
                    <xdr:colOff>0</xdr:colOff>
                    <xdr:row>22</xdr:row>
                    <xdr:rowOff>182880</xdr:rowOff>
                  </from>
                  <to>
                    <xdr:col>30</xdr:col>
                    <xdr:colOff>411480</xdr:colOff>
                    <xdr:row>24</xdr:row>
                    <xdr:rowOff>76200</xdr:rowOff>
                  </to>
                </anchor>
              </controlPr>
            </control>
          </mc:Choice>
        </mc:AlternateContent>
        <mc:AlternateContent xmlns:mc="http://schemas.openxmlformats.org/markup-compatibility/2006">
          <mc:Choice Requires="x14">
            <control shapeId="2070" r:id="rId24" name="Check Box 22">
              <controlPr defaultSize="0" autoFill="0" autoLine="0" autoPict="0">
                <anchor moveWithCells="1">
                  <from>
                    <xdr:col>30</xdr:col>
                    <xdr:colOff>0</xdr:colOff>
                    <xdr:row>23</xdr:row>
                    <xdr:rowOff>182880</xdr:rowOff>
                  </from>
                  <to>
                    <xdr:col>30</xdr:col>
                    <xdr:colOff>411480</xdr:colOff>
                    <xdr:row>25</xdr:row>
                    <xdr:rowOff>68580</xdr:rowOff>
                  </to>
                </anchor>
              </controlPr>
            </control>
          </mc:Choice>
        </mc:AlternateContent>
        <mc:AlternateContent xmlns:mc="http://schemas.openxmlformats.org/markup-compatibility/2006">
          <mc:Choice Requires="x14">
            <control shapeId="2071" r:id="rId25" name="Check Box 23">
              <controlPr defaultSize="0" autoFill="0" autoLine="0" autoPict="0">
                <anchor moveWithCells="1">
                  <from>
                    <xdr:col>30</xdr:col>
                    <xdr:colOff>0</xdr:colOff>
                    <xdr:row>24</xdr:row>
                    <xdr:rowOff>182880</xdr:rowOff>
                  </from>
                  <to>
                    <xdr:col>30</xdr:col>
                    <xdr:colOff>411480</xdr:colOff>
                    <xdr:row>26</xdr:row>
                    <xdr:rowOff>68580</xdr:rowOff>
                  </to>
                </anchor>
              </controlPr>
            </control>
          </mc:Choice>
        </mc:AlternateContent>
        <mc:AlternateContent xmlns:mc="http://schemas.openxmlformats.org/markup-compatibility/2006">
          <mc:Choice Requires="x14">
            <control shapeId="2072" r:id="rId26" name="Check Box 24">
              <controlPr defaultSize="0" autoFill="0" autoLine="0" autoPict="0">
                <anchor moveWithCells="1">
                  <from>
                    <xdr:col>30</xdr:col>
                    <xdr:colOff>0</xdr:colOff>
                    <xdr:row>25</xdr:row>
                    <xdr:rowOff>182880</xdr:rowOff>
                  </from>
                  <to>
                    <xdr:col>30</xdr:col>
                    <xdr:colOff>411480</xdr:colOff>
                    <xdr:row>27</xdr:row>
                    <xdr:rowOff>68580</xdr:rowOff>
                  </to>
                </anchor>
              </controlPr>
            </control>
          </mc:Choice>
        </mc:AlternateContent>
        <mc:AlternateContent xmlns:mc="http://schemas.openxmlformats.org/markup-compatibility/2006">
          <mc:Choice Requires="x14">
            <control shapeId="2073" r:id="rId27" name="Check Box 25">
              <controlPr defaultSize="0" autoFill="0" autoLine="0" autoPict="0">
                <anchor moveWithCells="1">
                  <from>
                    <xdr:col>30</xdr:col>
                    <xdr:colOff>0</xdr:colOff>
                    <xdr:row>26</xdr:row>
                    <xdr:rowOff>182880</xdr:rowOff>
                  </from>
                  <to>
                    <xdr:col>30</xdr:col>
                    <xdr:colOff>411480</xdr:colOff>
                    <xdr:row>28</xdr:row>
                    <xdr:rowOff>68580</xdr:rowOff>
                  </to>
                </anchor>
              </controlPr>
            </control>
          </mc:Choice>
        </mc:AlternateContent>
        <mc:AlternateContent xmlns:mc="http://schemas.openxmlformats.org/markup-compatibility/2006">
          <mc:Choice Requires="x14">
            <control shapeId="2074" r:id="rId28" name="Check Box 26">
              <controlPr defaultSize="0" autoFill="0" autoLine="0" autoPict="0">
                <anchor moveWithCells="1">
                  <from>
                    <xdr:col>30</xdr:col>
                    <xdr:colOff>0</xdr:colOff>
                    <xdr:row>27</xdr:row>
                    <xdr:rowOff>182880</xdr:rowOff>
                  </from>
                  <to>
                    <xdr:col>30</xdr:col>
                    <xdr:colOff>411480</xdr:colOff>
                    <xdr:row>29</xdr:row>
                    <xdr:rowOff>60960</xdr:rowOff>
                  </to>
                </anchor>
              </controlPr>
            </control>
          </mc:Choice>
        </mc:AlternateContent>
        <mc:AlternateContent xmlns:mc="http://schemas.openxmlformats.org/markup-compatibility/2006">
          <mc:Choice Requires="x14">
            <control shapeId="2075" r:id="rId29" name="Check Box 27">
              <controlPr defaultSize="0" autoFill="0" autoLine="0" autoPict="0">
                <anchor moveWithCells="1">
                  <from>
                    <xdr:col>30</xdr:col>
                    <xdr:colOff>0</xdr:colOff>
                    <xdr:row>28</xdr:row>
                    <xdr:rowOff>182880</xdr:rowOff>
                  </from>
                  <to>
                    <xdr:col>30</xdr:col>
                    <xdr:colOff>411480</xdr:colOff>
                    <xdr:row>30</xdr:row>
                    <xdr:rowOff>60960</xdr:rowOff>
                  </to>
                </anchor>
              </controlPr>
            </control>
          </mc:Choice>
        </mc:AlternateContent>
        <mc:AlternateContent xmlns:mc="http://schemas.openxmlformats.org/markup-compatibility/2006">
          <mc:Choice Requires="x14">
            <control shapeId="2076" r:id="rId30" name="Check Box 28">
              <controlPr defaultSize="0" autoFill="0" autoLine="0" autoPict="0">
                <anchor moveWithCells="1">
                  <from>
                    <xdr:col>30</xdr:col>
                    <xdr:colOff>0</xdr:colOff>
                    <xdr:row>29</xdr:row>
                    <xdr:rowOff>182880</xdr:rowOff>
                  </from>
                  <to>
                    <xdr:col>30</xdr:col>
                    <xdr:colOff>411480</xdr:colOff>
                    <xdr:row>31</xdr:row>
                    <xdr:rowOff>68580</xdr:rowOff>
                  </to>
                </anchor>
              </controlPr>
            </control>
          </mc:Choice>
        </mc:AlternateContent>
        <mc:AlternateContent xmlns:mc="http://schemas.openxmlformats.org/markup-compatibility/2006">
          <mc:Choice Requires="x14">
            <control shapeId="2077" r:id="rId31" name="Check Box 29">
              <controlPr defaultSize="0" autoFill="0" autoLine="0" autoPict="0">
                <anchor moveWithCells="1">
                  <from>
                    <xdr:col>30</xdr:col>
                    <xdr:colOff>0</xdr:colOff>
                    <xdr:row>30</xdr:row>
                    <xdr:rowOff>182880</xdr:rowOff>
                  </from>
                  <to>
                    <xdr:col>30</xdr:col>
                    <xdr:colOff>411480</xdr:colOff>
                    <xdr:row>32</xdr:row>
                    <xdr:rowOff>68580</xdr:rowOff>
                  </to>
                </anchor>
              </controlPr>
            </control>
          </mc:Choice>
        </mc:AlternateContent>
        <mc:AlternateContent xmlns:mc="http://schemas.openxmlformats.org/markup-compatibility/2006">
          <mc:Choice Requires="x14">
            <control shapeId="2078" r:id="rId32" name="Check Box 30">
              <controlPr defaultSize="0" autoFill="0" autoLine="0" autoPict="0">
                <anchor moveWithCells="1">
                  <from>
                    <xdr:col>30</xdr:col>
                    <xdr:colOff>0</xdr:colOff>
                    <xdr:row>18</xdr:row>
                    <xdr:rowOff>182880</xdr:rowOff>
                  </from>
                  <to>
                    <xdr:col>30</xdr:col>
                    <xdr:colOff>411480</xdr:colOff>
                    <xdr:row>20</xdr:row>
                    <xdr:rowOff>76200</xdr:rowOff>
                  </to>
                </anchor>
              </controlPr>
            </control>
          </mc:Choice>
        </mc:AlternateContent>
        <mc:AlternateContent xmlns:mc="http://schemas.openxmlformats.org/markup-compatibility/2006">
          <mc:Choice Requires="x14">
            <control shapeId="2079" r:id="rId33" name="Check Box 31">
              <controlPr defaultSize="0" autoFill="0" autoLine="0" autoPict="0">
                <anchor moveWithCells="1">
                  <from>
                    <xdr:col>30</xdr:col>
                    <xdr:colOff>0</xdr:colOff>
                    <xdr:row>19</xdr:row>
                    <xdr:rowOff>182880</xdr:rowOff>
                  </from>
                  <to>
                    <xdr:col>30</xdr:col>
                    <xdr:colOff>411480</xdr:colOff>
                    <xdr:row>21</xdr:row>
                    <xdr:rowOff>76200</xdr:rowOff>
                  </to>
                </anchor>
              </controlPr>
            </control>
          </mc:Choice>
        </mc:AlternateContent>
        <mc:AlternateContent xmlns:mc="http://schemas.openxmlformats.org/markup-compatibility/2006">
          <mc:Choice Requires="x14">
            <control shapeId="2080" r:id="rId34" name="Check Box 32">
              <controlPr defaultSize="0" autoFill="0" autoLine="0" autoPict="0">
                <anchor moveWithCells="1">
                  <from>
                    <xdr:col>30</xdr:col>
                    <xdr:colOff>0</xdr:colOff>
                    <xdr:row>31</xdr:row>
                    <xdr:rowOff>182880</xdr:rowOff>
                  </from>
                  <to>
                    <xdr:col>30</xdr:col>
                    <xdr:colOff>411480</xdr:colOff>
                    <xdr:row>33</xdr:row>
                    <xdr:rowOff>68580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AF141"/>
  <sheetViews>
    <sheetView topLeftCell="A103" workbookViewId="0">
      <selection activeCell="R114" sqref="R114"/>
    </sheetView>
  </sheetViews>
  <sheetFormatPr defaultColWidth="8.5546875" defaultRowHeight="14.4" x14ac:dyDescent="0.3"/>
  <cols>
    <col min="17" max="32" width="5.5546875" customWidth="1"/>
  </cols>
  <sheetData>
    <row r="2" spans="2:32" x14ac:dyDescent="0.3">
      <c r="B2" t="s">
        <v>309</v>
      </c>
      <c r="I2" t="s">
        <v>310</v>
      </c>
      <c r="P2" t="s">
        <v>397</v>
      </c>
    </row>
    <row r="3" spans="2:32" x14ac:dyDescent="0.3">
      <c r="B3" s="29" t="s">
        <v>233</v>
      </c>
      <c r="C3" s="29" t="s">
        <v>231</v>
      </c>
      <c r="D3" s="29" t="s">
        <v>193</v>
      </c>
      <c r="E3" s="37" t="s">
        <v>232</v>
      </c>
      <c r="F3" s="38"/>
      <c r="G3" s="39"/>
      <c r="I3" s="29" t="s">
        <v>233</v>
      </c>
      <c r="J3" s="29" t="s">
        <v>231</v>
      </c>
      <c r="K3" s="29" t="s">
        <v>193</v>
      </c>
      <c r="L3" s="37" t="s">
        <v>232</v>
      </c>
      <c r="M3" s="38"/>
      <c r="N3" s="39"/>
      <c r="P3" s="78" t="s">
        <v>325</v>
      </c>
      <c r="Q3" s="78" t="s">
        <v>326</v>
      </c>
      <c r="R3" s="78" t="s">
        <v>327</v>
      </c>
      <c r="S3" s="78" t="s">
        <v>328</v>
      </c>
      <c r="T3" s="78" t="s">
        <v>329</v>
      </c>
      <c r="U3" s="78" t="s">
        <v>330</v>
      </c>
      <c r="V3" s="78" t="s">
        <v>331</v>
      </c>
      <c r="W3" s="78" t="s">
        <v>332</v>
      </c>
      <c r="X3" s="78" t="s">
        <v>333</v>
      </c>
      <c r="Y3" s="78" t="s">
        <v>334</v>
      </c>
      <c r="Z3" s="78" t="s">
        <v>335</v>
      </c>
      <c r="AA3" s="78" t="s">
        <v>336</v>
      </c>
      <c r="AB3" s="78" t="s">
        <v>337</v>
      </c>
      <c r="AC3" s="78" t="s">
        <v>338</v>
      </c>
      <c r="AD3" s="78" t="s">
        <v>339</v>
      </c>
      <c r="AE3" s="78" t="s">
        <v>340</v>
      </c>
      <c r="AF3" s="78" t="s">
        <v>341</v>
      </c>
    </row>
    <row r="4" spans="2:32" x14ac:dyDescent="0.3">
      <c r="B4" s="40">
        <v>0</v>
      </c>
      <c r="C4" s="40" t="str">
        <f>CONCATENATE("0x",DEC2HEX(B4,3))</f>
        <v>0x000</v>
      </c>
      <c r="D4" s="64" t="s">
        <v>49</v>
      </c>
      <c r="E4" s="43" t="s">
        <v>50</v>
      </c>
      <c r="F4" s="44"/>
      <c r="G4" s="45"/>
      <c r="I4" s="40">
        <v>0</v>
      </c>
      <c r="J4" s="40" t="str">
        <f>CONCATENATE("0x",DEC2HEX(I4,3))</f>
        <v>0x000</v>
      </c>
      <c r="K4" s="64" t="s">
        <v>49</v>
      </c>
      <c r="L4" s="43" t="s">
        <v>50</v>
      </c>
      <c r="M4" s="44"/>
      <c r="N4" s="45"/>
      <c r="P4" s="78" t="s">
        <v>326</v>
      </c>
      <c r="Q4" s="79">
        <v>0</v>
      </c>
      <c r="R4" s="79">
        <f>Q4+1</f>
        <v>1</v>
      </c>
      <c r="S4" s="79">
        <f t="shared" ref="S4:AF4" si="0">R4+1</f>
        <v>2</v>
      </c>
      <c r="T4" s="79">
        <f t="shared" si="0"/>
        <v>3</v>
      </c>
      <c r="U4" s="79">
        <f t="shared" si="0"/>
        <v>4</v>
      </c>
      <c r="V4" s="79">
        <f t="shared" si="0"/>
        <v>5</v>
      </c>
      <c r="W4" s="79">
        <f t="shared" si="0"/>
        <v>6</v>
      </c>
      <c r="X4" s="79">
        <f t="shared" si="0"/>
        <v>7</v>
      </c>
      <c r="Y4" s="79">
        <f t="shared" si="0"/>
        <v>8</v>
      </c>
      <c r="Z4" s="79">
        <f t="shared" si="0"/>
        <v>9</v>
      </c>
      <c r="AA4" s="79">
        <f t="shared" si="0"/>
        <v>10</v>
      </c>
      <c r="AB4" s="79">
        <f t="shared" si="0"/>
        <v>11</v>
      </c>
      <c r="AC4" s="79">
        <f t="shared" si="0"/>
        <v>12</v>
      </c>
      <c r="AD4" s="79">
        <f t="shared" si="0"/>
        <v>13</v>
      </c>
      <c r="AE4" s="79">
        <f t="shared" si="0"/>
        <v>14</v>
      </c>
      <c r="AF4" s="79">
        <f t="shared" si="0"/>
        <v>15</v>
      </c>
    </row>
    <row r="5" spans="2:32" x14ac:dyDescent="0.3">
      <c r="B5" s="40">
        <v>1</v>
      </c>
      <c r="C5" s="40" t="str">
        <f t="shared" ref="C5:C68" si="1">CONCATENATE("0x",DEC2HEX(B5,3))</f>
        <v>0x001</v>
      </c>
      <c r="D5" s="64" t="s">
        <v>51</v>
      </c>
      <c r="E5" s="43" t="s">
        <v>52</v>
      </c>
      <c r="F5" s="44"/>
      <c r="G5" s="45"/>
      <c r="I5" s="40">
        <v>1</v>
      </c>
      <c r="J5" s="40" t="str">
        <f t="shared" ref="J5:J68" si="2">CONCATENATE("0x",DEC2HEX(I5,3))</f>
        <v>0x001</v>
      </c>
      <c r="K5" s="64" t="s">
        <v>51</v>
      </c>
      <c r="L5" s="43" t="s">
        <v>52</v>
      </c>
      <c r="M5" s="44"/>
      <c r="N5" s="45"/>
      <c r="P5" s="78" t="s">
        <v>342</v>
      </c>
      <c r="Q5" s="79">
        <f>AF4+1</f>
        <v>16</v>
      </c>
      <c r="R5" s="79">
        <f t="shared" ref="R5:AF5" si="3">Q5+1</f>
        <v>17</v>
      </c>
      <c r="S5" s="79">
        <f t="shared" si="3"/>
        <v>18</v>
      </c>
      <c r="T5" s="79">
        <f t="shared" si="3"/>
        <v>19</v>
      </c>
      <c r="U5" s="79">
        <f t="shared" si="3"/>
        <v>20</v>
      </c>
      <c r="V5" s="79">
        <f t="shared" si="3"/>
        <v>21</v>
      </c>
      <c r="W5" s="79">
        <f t="shared" si="3"/>
        <v>22</v>
      </c>
      <c r="X5" s="79">
        <f t="shared" si="3"/>
        <v>23</v>
      </c>
      <c r="Y5" s="79">
        <f t="shared" si="3"/>
        <v>24</v>
      </c>
      <c r="Z5" s="79">
        <f t="shared" si="3"/>
        <v>25</v>
      </c>
      <c r="AA5" s="79">
        <f t="shared" si="3"/>
        <v>26</v>
      </c>
      <c r="AB5" s="79">
        <f t="shared" si="3"/>
        <v>27</v>
      </c>
      <c r="AC5" s="79">
        <f t="shared" si="3"/>
        <v>28</v>
      </c>
      <c r="AD5" s="79">
        <f t="shared" si="3"/>
        <v>29</v>
      </c>
      <c r="AE5" s="79">
        <f t="shared" si="3"/>
        <v>30</v>
      </c>
      <c r="AF5" s="79">
        <f t="shared" si="3"/>
        <v>31</v>
      </c>
    </row>
    <row r="6" spans="2:32" x14ac:dyDescent="0.3">
      <c r="B6" s="40">
        <v>2</v>
      </c>
      <c r="C6" s="40" t="str">
        <f t="shared" si="1"/>
        <v>0x002</v>
      </c>
      <c r="D6" s="64" t="s">
        <v>51</v>
      </c>
      <c r="E6" s="43" t="s">
        <v>53</v>
      </c>
      <c r="F6" s="44"/>
      <c r="G6" s="45"/>
      <c r="I6" s="40">
        <v>2</v>
      </c>
      <c r="J6" s="40" t="str">
        <f t="shared" si="2"/>
        <v>0x002</v>
      </c>
      <c r="K6" s="64" t="s">
        <v>51</v>
      </c>
      <c r="L6" s="43" t="s">
        <v>53</v>
      </c>
      <c r="M6" s="44"/>
      <c r="N6" s="45"/>
      <c r="P6" s="78" t="s">
        <v>343</v>
      </c>
      <c r="Q6" s="79">
        <f t="shared" ref="Q6:Q19" si="4">AF5+1</f>
        <v>32</v>
      </c>
      <c r="R6" s="79">
        <f t="shared" ref="R6:AF6" si="5">Q6+1</f>
        <v>33</v>
      </c>
      <c r="S6" s="79">
        <f t="shared" si="5"/>
        <v>34</v>
      </c>
      <c r="T6" s="79">
        <f t="shared" si="5"/>
        <v>35</v>
      </c>
      <c r="U6" s="79">
        <f t="shared" si="5"/>
        <v>36</v>
      </c>
      <c r="V6" s="79">
        <f t="shared" si="5"/>
        <v>37</v>
      </c>
      <c r="W6" s="79">
        <f t="shared" si="5"/>
        <v>38</v>
      </c>
      <c r="X6" s="79">
        <f t="shared" si="5"/>
        <v>39</v>
      </c>
      <c r="Y6" s="79">
        <f t="shared" si="5"/>
        <v>40</v>
      </c>
      <c r="Z6" s="79">
        <f t="shared" si="5"/>
        <v>41</v>
      </c>
      <c r="AA6" s="79">
        <f t="shared" si="5"/>
        <v>42</v>
      </c>
      <c r="AB6" s="79">
        <f t="shared" si="5"/>
        <v>43</v>
      </c>
      <c r="AC6" s="79">
        <f t="shared" si="5"/>
        <v>44</v>
      </c>
      <c r="AD6" s="79">
        <f t="shared" si="5"/>
        <v>45</v>
      </c>
      <c r="AE6" s="79">
        <f t="shared" si="5"/>
        <v>46</v>
      </c>
      <c r="AF6" s="79">
        <f t="shared" si="5"/>
        <v>47</v>
      </c>
    </row>
    <row r="7" spans="2:32" x14ac:dyDescent="0.3">
      <c r="B7" s="40">
        <v>3</v>
      </c>
      <c r="C7" s="40" t="str">
        <f t="shared" si="1"/>
        <v>0x003</v>
      </c>
      <c r="D7" s="64" t="s">
        <v>51</v>
      </c>
      <c r="E7" s="43" t="s">
        <v>54</v>
      </c>
      <c r="F7" s="44"/>
      <c r="G7" s="45"/>
      <c r="I7" s="40">
        <v>3</v>
      </c>
      <c r="J7" s="40" t="str">
        <f t="shared" si="2"/>
        <v>0x003</v>
      </c>
      <c r="K7" s="64" t="s">
        <v>51</v>
      </c>
      <c r="L7" s="43" t="s">
        <v>54</v>
      </c>
      <c r="M7" s="44"/>
      <c r="N7" s="45"/>
      <c r="P7" s="78" t="s">
        <v>344</v>
      </c>
      <c r="Q7" s="79">
        <f t="shared" si="4"/>
        <v>48</v>
      </c>
      <c r="R7" s="79">
        <f t="shared" ref="R7:AF7" si="6">Q7+1</f>
        <v>49</v>
      </c>
      <c r="S7" s="79">
        <f t="shared" si="6"/>
        <v>50</v>
      </c>
      <c r="T7" s="79">
        <f t="shared" si="6"/>
        <v>51</v>
      </c>
      <c r="U7" s="79">
        <f t="shared" si="6"/>
        <v>52</v>
      </c>
      <c r="V7" s="79">
        <f t="shared" si="6"/>
        <v>53</v>
      </c>
      <c r="W7" s="79">
        <f t="shared" si="6"/>
        <v>54</v>
      </c>
      <c r="X7" s="79">
        <f t="shared" si="6"/>
        <v>55</v>
      </c>
      <c r="Y7" s="79">
        <f t="shared" si="6"/>
        <v>56</v>
      </c>
      <c r="Z7" s="79">
        <f t="shared" si="6"/>
        <v>57</v>
      </c>
      <c r="AA7" s="79">
        <f t="shared" si="6"/>
        <v>58</v>
      </c>
      <c r="AB7" s="79">
        <f t="shared" si="6"/>
        <v>59</v>
      </c>
      <c r="AC7" s="79">
        <f t="shared" si="6"/>
        <v>60</v>
      </c>
      <c r="AD7" s="79">
        <f t="shared" si="6"/>
        <v>61</v>
      </c>
      <c r="AE7" s="79">
        <f t="shared" si="6"/>
        <v>62</v>
      </c>
      <c r="AF7" s="79">
        <f t="shared" si="6"/>
        <v>63</v>
      </c>
    </row>
    <row r="8" spans="2:32" x14ac:dyDescent="0.3">
      <c r="B8" s="40">
        <v>4</v>
      </c>
      <c r="C8" s="40" t="str">
        <f t="shared" si="1"/>
        <v>0x004</v>
      </c>
      <c r="D8" s="64" t="s">
        <v>51</v>
      </c>
      <c r="E8" s="43" t="s">
        <v>55</v>
      </c>
      <c r="F8" s="44"/>
      <c r="G8" s="45"/>
      <c r="I8" s="40">
        <v>4</v>
      </c>
      <c r="J8" s="40" t="str">
        <f t="shared" si="2"/>
        <v>0x004</v>
      </c>
      <c r="K8" s="64" t="s">
        <v>51</v>
      </c>
      <c r="L8" s="43" t="s">
        <v>55</v>
      </c>
      <c r="M8" s="44"/>
      <c r="N8" s="45"/>
      <c r="P8" s="78" t="s">
        <v>346</v>
      </c>
      <c r="Q8" s="79">
        <f t="shared" si="4"/>
        <v>64</v>
      </c>
      <c r="R8" s="79">
        <f t="shared" ref="R8:AF8" si="7">Q8+1</f>
        <v>65</v>
      </c>
      <c r="S8" s="79">
        <f t="shared" si="7"/>
        <v>66</v>
      </c>
      <c r="T8" s="79">
        <f t="shared" si="7"/>
        <v>67</v>
      </c>
      <c r="U8" s="79">
        <f t="shared" si="7"/>
        <v>68</v>
      </c>
      <c r="V8" s="79">
        <f t="shared" si="7"/>
        <v>69</v>
      </c>
      <c r="W8" s="79">
        <f t="shared" si="7"/>
        <v>70</v>
      </c>
      <c r="X8" s="79">
        <f t="shared" si="7"/>
        <v>71</v>
      </c>
      <c r="Y8" s="79">
        <f t="shared" si="7"/>
        <v>72</v>
      </c>
      <c r="Z8" s="79">
        <f t="shared" si="7"/>
        <v>73</v>
      </c>
      <c r="AA8" s="79">
        <f t="shared" si="7"/>
        <v>74</v>
      </c>
      <c r="AB8" s="79">
        <f t="shared" si="7"/>
        <v>75</v>
      </c>
      <c r="AC8" s="79">
        <f t="shared" si="7"/>
        <v>76</v>
      </c>
      <c r="AD8" s="79">
        <f t="shared" si="7"/>
        <v>77</v>
      </c>
      <c r="AE8" s="79">
        <f t="shared" si="7"/>
        <v>78</v>
      </c>
      <c r="AF8" s="79">
        <f t="shared" si="7"/>
        <v>79</v>
      </c>
    </row>
    <row r="9" spans="2:32" x14ac:dyDescent="0.3">
      <c r="B9" s="40">
        <v>5</v>
      </c>
      <c r="C9" s="40" t="str">
        <f t="shared" si="1"/>
        <v>0x005</v>
      </c>
      <c r="D9" s="64" t="s">
        <v>51</v>
      </c>
      <c r="E9" s="43" t="s">
        <v>56</v>
      </c>
      <c r="F9" s="44"/>
      <c r="G9" s="45"/>
      <c r="I9" s="40">
        <v>5</v>
      </c>
      <c r="J9" s="40" t="str">
        <f t="shared" si="2"/>
        <v>0x005</v>
      </c>
      <c r="K9" s="64" t="s">
        <v>51</v>
      </c>
      <c r="L9" s="43" t="s">
        <v>56</v>
      </c>
      <c r="M9" s="44"/>
      <c r="N9" s="45"/>
      <c r="P9" s="78" t="s">
        <v>347</v>
      </c>
      <c r="Q9" s="79">
        <f t="shared" si="4"/>
        <v>80</v>
      </c>
      <c r="R9" s="79">
        <f t="shared" ref="R9:AF9" si="8">Q9+1</f>
        <v>81</v>
      </c>
      <c r="S9" s="79">
        <f t="shared" si="8"/>
        <v>82</v>
      </c>
      <c r="T9" s="79">
        <f t="shared" si="8"/>
        <v>83</v>
      </c>
      <c r="U9" s="79">
        <f t="shared" si="8"/>
        <v>84</v>
      </c>
      <c r="V9" s="79">
        <f t="shared" si="8"/>
        <v>85</v>
      </c>
      <c r="W9" s="79">
        <f t="shared" si="8"/>
        <v>86</v>
      </c>
      <c r="X9" s="79">
        <f t="shared" si="8"/>
        <v>87</v>
      </c>
      <c r="Y9" s="79">
        <f t="shared" si="8"/>
        <v>88</v>
      </c>
      <c r="Z9" s="79">
        <f t="shared" si="8"/>
        <v>89</v>
      </c>
      <c r="AA9" s="79">
        <f t="shared" si="8"/>
        <v>90</v>
      </c>
      <c r="AB9" s="79">
        <f t="shared" si="8"/>
        <v>91</v>
      </c>
      <c r="AC9" s="79">
        <f t="shared" si="8"/>
        <v>92</v>
      </c>
      <c r="AD9" s="79">
        <f t="shared" si="8"/>
        <v>93</v>
      </c>
      <c r="AE9" s="79">
        <f t="shared" si="8"/>
        <v>94</v>
      </c>
      <c r="AF9" s="79">
        <f t="shared" si="8"/>
        <v>95</v>
      </c>
    </row>
    <row r="10" spans="2:32" x14ac:dyDescent="0.3">
      <c r="B10" s="40">
        <v>6</v>
      </c>
      <c r="C10" s="40" t="str">
        <f t="shared" si="1"/>
        <v>0x006</v>
      </c>
      <c r="D10" s="64" t="s">
        <v>51</v>
      </c>
      <c r="E10" s="43" t="s">
        <v>57</v>
      </c>
      <c r="F10" s="44"/>
      <c r="G10" s="45"/>
      <c r="I10" s="40">
        <v>6</v>
      </c>
      <c r="J10" s="40" t="str">
        <f t="shared" si="2"/>
        <v>0x006</v>
      </c>
      <c r="K10" s="64" t="s">
        <v>51</v>
      </c>
      <c r="L10" s="43" t="s">
        <v>57</v>
      </c>
      <c r="M10" s="44"/>
      <c r="N10" s="45"/>
      <c r="P10" s="78" t="s">
        <v>348</v>
      </c>
      <c r="Q10" s="79">
        <f t="shared" si="4"/>
        <v>96</v>
      </c>
      <c r="R10" s="79">
        <f t="shared" ref="R10:AF12" si="9">Q10+1</f>
        <v>97</v>
      </c>
      <c r="S10" s="79">
        <f t="shared" si="9"/>
        <v>98</v>
      </c>
      <c r="T10" s="79">
        <f t="shared" si="9"/>
        <v>99</v>
      </c>
      <c r="U10" s="79">
        <f t="shared" si="9"/>
        <v>100</v>
      </c>
      <c r="V10" s="79">
        <f t="shared" si="9"/>
        <v>101</v>
      </c>
      <c r="W10" s="79">
        <f t="shared" si="9"/>
        <v>102</v>
      </c>
      <c r="X10" s="79">
        <f t="shared" si="9"/>
        <v>103</v>
      </c>
      <c r="Y10" s="79">
        <f t="shared" si="9"/>
        <v>104</v>
      </c>
      <c r="Z10" s="79">
        <f t="shared" si="9"/>
        <v>105</v>
      </c>
      <c r="AA10" s="79">
        <f t="shared" si="9"/>
        <v>106</v>
      </c>
      <c r="AB10" s="79">
        <f t="shared" si="9"/>
        <v>107</v>
      </c>
      <c r="AC10" s="79">
        <f t="shared" si="9"/>
        <v>108</v>
      </c>
      <c r="AD10" s="79">
        <f t="shared" si="9"/>
        <v>109</v>
      </c>
      <c r="AE10" s="79">
        <f t="shared" si="9"/>
        <v>110</v>
      </c>
      <c r="AF10" s="79">
        <f t="shared" si="9"/>
        <v>111</v>
      </c>
    </row>
    <row r="11" spans="2:32" x14ac:dyDescent="0.3">
      <c r="B11" s="40">
        <v>7</v>
      </c>
      <c r="C11" s="40" t="str">
        <f t="shared" si="1"/>
        <v>0x007</v>
      </c>
      <c r="D11" s="64" t="s">
        <v>51</v>
      </c>
      <c r="E11" s="43" t="s">
        <v>58</v>
      </c>
      <c r="F11" s="44"/>
      <c r="G11" s="45"/>
      <c r="I11" s="40">
        <v>7</v>
      </c>
      <c r="J11" s="40" t="str">
        <f t="shared" si="2"/>
        <v>0x007</v>
      </c>
      <c r="K11" s="64" t="s">
        <v>51</v>
      </c>
      <c r="L11" s="43" t="s">
        <v>58</v>
      </c>
      <c r="M11" s="44"/>
      <c r="N11" s="45"/>
      <c r="P11" s="78" t="s">
        <v>349</v>
      </c>
      <c r="Q11" s="79">
        <f t="shared" si="4"/>
        <v>112</v>
      </c>
      <c r="R11" s="79">
        <f t="shared" ref="R11:AF18" si="10">Q11+1</f>
        <v>113</v>
      </c>
      <c r="S11" s="79">
        <f t="shared" si="10"/>
        <v>114</v>
      </c>
      <c r="T11" s="79">
        <f t="shared" si="10"/>
        <v>115</v>
      </c>
      <c r="U11" s="79">
        <f t="shared" si="10"/>
        <v>116</v>
      </c>
      <c r="V11" s="79">
        <v>117</v>
      </c>
      <c r="W11" s="79">
        <f>AF9</f>
        <v>95</v>
      </c>
      <c r="X11" s="79">
        <f>W11+1</f>
        <v>96</v>
      </c>
      <c r="Y11" s="79">
        <f t="shared" si="9"/>
        <v>97</v>
      </c>
      <c r="Z11" s="79">
        <f t="shared" si="9"/>
        <v>98</v>
      </c>
      <c r="AA11" s="79">
        <f t="shared" si="9"/>
        <v>99</v>
      </c>
      <c r="AB11" s="79">
        <f t="shared" si="9"/>
        <v>100</v>
      </c>
      <c r="AC11" s="79">
        <f t="shared" si="9"/>
        <v>101</v>
      </c>
      <c r="AD11" s="79">
        <f t="shared" si="9"/>
        <v>102</v>
      </c>
      <c r="AE11" s="79">
        <f t="shared" si="9"/>
        <v>103</v>
      </c>
      <c r="AF11" s="79">
        <f t="shared" si="9"/>
        <v>104</v>
      </c>
    </row>
    <row r="12" spans="2:32" x14ac:dyDescent="0.3">
      <c r="B12" s="40">
        <v>8</v>
      </c>
      <c r="C12" s="40" t="str">
        <f t="shared" si="1"/>
        <v>0x008</v>
      </c>
      <c r="D12" s="64" t="s">
        <v>59</v>
      </c>
      <c r="E12" s="43" t="s">
        <v>60</v>
      </c>
      <c r="F12" s="44"/>
      <c r="G12" s="45"/>
      <c r="I12" s="40">
        <v>8</v>
      </c>
      <c r="J12" s="40" t="str">
        <f t="shared" si="2"/>
        <v>0x008</v>
      </c>
      <c r="K12" s="64" t="s">
        <v>51</v>
      </c>
      <c r="L12" s="43" t="s">
        <v>234</v>
      </c>
      <c r="M12" s="44"/>
      <c r="N12" s="45"/>
      <c r="P12" s="78" t="s">
        <v>350</v>
      </c>
      <c r="Q12" s="79">
        <f t="shared" si="4"/>
        <v>105</v>
      </c>
      <c r="R12" s="79">
        <f t="shared" si="10"/>
        <v>106</v>
      </c>
      <c r="S12" s="79">
        <f t="shared" si="10"/>
        <v>107</v>
      </c>
      <c r="T12" s="79">
        <f t="shared" si="10"/>
        <v>108</v>
      </c>
      <c r="U12" s="79">
        <f t="shared" si="10"/>
        <v>109</v>
      </c>
      <c r="V12" s="79">
        <f t="shared" si="10"/>
        <v>110</v>
      </c>
      <c r="W12" s="79">
        <f t="shared" si="10"/>
        <v>111</v>
      </c>
      <c r="X12" s="79">
        <f t="shared" si="10"/>
        <v>112</v>
      </c>
      <c r="Y12" s="79">
        <f t="shared" si="10"/>
        <v>113</v>
      </c>
      <c r="Z12" s="79">
        <f t="shared" si="10"/>
        <v>114</v>
      </c>
      <c r="AA12" s="79">
        <f t="shared" si="10"/>
        <v>115</v>
      </c>
      <c r="AB12" s="79">
        <f t="shared" si="10"/>
        <v>116</v>
      </c>
      <c r="AC12" s="79">
        <v>140</v>
      </c>
      <c r="AD12" s="79">
        <f>AF9</f>
        <v>95</v>
      </c>
      <c r="AE12" s="79">
        <f t="shared" si="9"/>
        <v>96</v>
      </c>
      <c r="AF12" s="79">
        <f t="shared" si="9"/>
        <v>97</v>
      </c>
    </row>
    <row r="13" spans="2:32" x14ac:dyDescent="0.3">
      <c r="B13" s="40">
        <v>9</v>
      </c>
      <c r="C13" s="40" t="str">
        <f t="shared" si="1"/>
        <v>0x009</v>
      </c>
      <c r="D13" s="64" t="s">
        <v>61</v>
      </c>
      <c r="E13" s="43" t="s">
        <v>62</v>
      </c>
      <c r="F13" s="44"/>
      <c r="G13" s="45"/>
      <c r="I13" s="40">
        <v>9</v>
      </c>
      <c r="J13" s="40" t="str">
        <f t="shared" si="2"/>
        <v>0x009</v>
      </c>
      <c r="K13" s="64" t="s">
        <v>51</v>
      </c>
      <c r="L13" s="43" t="s">
        <v>234</v>
      </c>
      <c r="M13" s="44"/>
      <c r="N13" s="45"/>
      <c r="P13" s="78" t="s">
        <v>351</v>
      </c>
      <c r="Q13" s="79">
        <f t="shared" si="4"/>
        <v>98</v>
      </c>
      <c r="R13" s="79">
        <f t="shared" si="10"/>
        <v>99</v>
      </c>
      <c r="S13" s="79">
        <f t="shared" si="10"/>
        <v>100</v>
      </c>
      <c r="T13" s="79">
        <f t="shared" si="10"/>
        <v>101</v>
      </c>
      <c r="U13" s="79">
        <f t="shared" si="10"/>
        <v>102</v>
      </c>
      <c r="V13" s="79">
        <f t="shared" si="10"/>
        <v>103</v>
      </c>
      <c r="W13" s="79">
        <f t="shared" si="10"/>
        <v>104</v>
      </c>
      <c r="X13" s="79">
        <f t="shared" si="10"/>
        <v>105</v>
      </c>
      <c r="Y13" s="79">
        <f t="shared" si="10"/>
        <v>106</v>
      </c>
      <c r="Z13" s="79">
        <f t="shared" si="10"/>
        <v>107</v>
      </c>
      <c r="AA13" s="79">
        <f t="shared" si="10"/>
        <v>108</v>
      </c>
      <c r="AB13" s="79">
        <f t="shared" si="10"/>
        <v>109</v>
      </c>
      <c r="AC13" s="79">
        <f t="shared" si="10"/>
        <v>110</v>
      </c>
      <c r="AD13" s="79">
        <f t="shared" si="10"/>
        <v>111</v>
      </c>
      <c r="AE13" s="79">
        <f t="shared" si="10"/>
        <v>112</v>
      </c>
      <c r="AF13" s="79">
        <f t="shared" si="10"/>
        <v>113</v>
      </c>
    </row>
    <row r="14" spans="2:32" x14ac:dyDescent="0.3">
      <c r="B14" s="40">
        <v>10</v>
      </c>
      <c r="C14" s="40" t="str">
        <f t="shared" si="1"/>
        <v>0x00A</v>
      </c>
      <c r="D14" s="64" t="s">
        <v>63</v>
      </c>
      <c r="E14" s="43" t="s">
        <v>64</v>
      </c>
      <c r="F14" s="44"/>
      <c r="G14" s="45"/>
      <c r="I14" s="40">
        <v>10</v>
      </c>
      <c r="J14" s="40" t="str">
        <f t="shared" si="2"/>
        <v>0x00A</v>
      </c>
      <c r="K14" s="64" t="s">
        <v>67</v>
      </c>
      <c r="L14" s="43" t="s">
        <v>235</v>
      </c>
      <c r="M14" s="44"/>
      <c r="N14" s="45"/>
      <c r="P14" s="78" t="s">
        <v>352</v>
      </c>
      <c r="Q14" s="79">
        <f t="shared" si="4"/>
        <v>114</v>
      </c>
      <c r="R14" s="79">
        <f t="shared" si="10"/>
        <v>115</v>
      </c>
      <c r="S14" s="79">
        <f t="shared" si="10"/>
        <v>116</v>
      </c>
      <c r="T14" s="79">
        <v>163</v>
      </c>
      <c r="U14" s="79">
        <f>AF9</f>
        <v>95</v>
      </c>
      <c r="V14" s="79">
        <f t="shared" si="10"/>
        <v>96</v>
      </c>
      <c r="W14" s="79">
        <f t="shared" si="10"/>
        <v>97</v>
      </c>
      <c r="X14" s="79">
        <f t="shared" si="10"/>
        <v>98</v>
      </c>
      <c r="Y14" s="79">
        <f t="shared" si="10"/>
        <v>99</v>
      </c>
      <c r="Z14" s="79">
        <f t="shared" si="10"/>
        <v>100</v>
      </c>
      <c r="AA14" s="79">
        <f t="shared" si="10"/>
        <v>101</v>
      </c>
      <c r="AB14" s="79">
        <f t="shared" si="10"/>
        <v>102</v>
      </c>
      <c r="AC14" s="79">
        <f t="shared" si="10"/>
        <v>103</v>
      </c>
      <c r="AD14" s="79">
        <f t="shared" si="10"/>
        <v>104</v>
      </c>
      <c r="AE14" s="79">
        <f t="shared" si="10"/>
        <v>105</v>
      </c>
      <c r="AF14" s="79">
        <f t="shared" si="10"/>
        <v>106</v>
      </c>
    </row>
    <row r="15" spans="2:32" x14ac:dyDescent="0.3">
      <c r="B15" s="40">
        <v>11</v>
      </c>
      <c r="C15" s="40" t="str">
        <f t="shared" si="1"/>
        <v>0x00B</v>
      </c>
      <c r="D15" s="64" t="s">
        <v>65</v>
      </c>
      <c r="E15" s="43" t="s">
        <v>66</v>
      </c>
      <c r="F15" s="44"/>
      <c r="G15" s="45"/>
      <c r="I15" s="40">
        <v>11</v>
      </c>
      <c r="J15" s="40" t="str">
        <f t="shared" si="2"/>
        <v>0x00B</v>
      </c>
      <c r="K15" s="64" t="s">
        <v>311</v>
      </c>
      <c r="L15" s="43" t="s">
        <v>236</v>
      </c>
      <c r="M15" s="44"/>
      <c r="N15" s="45"/>
      <c r="P15" s="78" t="s">
        <v>353</v>
      </c>
      <c r="Q15" s="79">
        <f t="shared" si="4"/>
        <v>107</v>
      </c>
      <c r="R15" s="79">
        <f t="shared" si="10"/>
        <v>108</v>
      </c>
      <c r="S15" s="79">
        <f t="shared" si="10"/>
        <v>109</v>
      </c>
      <c r="T15" s="79">
        <f t="shared" si="10"/>
        <v>110</v>
      </c>
      <c r="U15" s="79">
        <f t="shared" si="10"/>
        <v>111</v>
      </c>
      <c r="V15" s="79">
        <f t="shared" si="10"/>
        <v>112</v>
      </c>
      <c r="W15" s="79">
        <f t="shared" si="10"/>
        <v>113</v>
      </c>
      <c r="X15" s="79">
        <f t="shared" si="10"/>
        <v>114</v>
      </c>
      <c r="Y15" s="79">
        <f t="shared" si="10"/>
        <v>115</v>
      </c>
      <c r="Z15" s="79">
        <f t="shared" si="10"/>
        <v>116</v>
      </c>
      <c r="AA15" s="79">
        <v>186</v>
      </c>
      <c r="AB15" s="79">
        <f>AF9</f>
        <v>95</v>
      </c>
      <c r="AC15" s="79">
        <f t="shared" si="10"/>
        <v>96</v>
      </c>
      <c r="AD15" s="79">
        <f t="shared" si="10"/>
        <v>97</v>
      </c>
      <c r="AE15" s="79">
        <f t="shared" si="10"/>
        <v>98</v>
      </c>
      <c r="AF15" s="79">
        <f t="shared" si="10"/>
        <v>99</v>
      </c>
    </row>
    <row r="16" spans="2:32" x14ac:dyDescent="0.3">
      <c r="B16" s="40">
        <v>12</v>
      </c>
      <c r="C16" s="40" t="str">
        <f t="shared" si="1"/>
        <v>0x00C</v>
      </c>
      <c r="D16" s="64" t="s">
        <v>67</v>
      </c>
      <c r="E16" s="43" t="s">
        <v>68</v>
      </c>
      <c r="F16" s="44"/>
      <c r="G16" s="45"/>
      <c r="I16" s="40">
        <v>12</v>
      </c>
      <c r="J16" s="40" t="str">
        <f t="shared" si="2"/>
        <v>0x00C</v>
      </c>
      <c r="K16" s="64" t="s">
        <v>98</v>
      </c>
      <c r="L16" s="43" t="s">
        <v>237</v>
      </c>
      <c r="M16" s="44"/>
      <c r="N16" s="45"/>
      <c r="P16" s="78" t="s">
        <v>354</v>
      </c>
      <c r="Q16" s="79">
        <f t="shared" si="4"/>
        <v>100</v>
      </c>
      <c r="R16" s="79">
        <f t="shared" si="10"/>
        <v>101</v>
      </c>
      <c r="S16" s="79">
        <f t="shared" si="10"/>
        <v>102</v>
      </c>
      <c r="T16" s="79">
        <f t="shared" si="10"/>
        <v>103</v>
      </c>
      <c r="U16" s="79">
        <f t="shared" si="10"/>
        <v>104</v>
      </c>
      <c r="V16" s="79">
        <f t="shared" si="10"/>
        <v>105</v>
      </c>
      <c r="W16" s="79">
        <f t="shared" si="10"/>
        <v>106</v>
      </c>
      <c r="X16" s="79">
        <f t="shared" si="10"/>
        <v>107</v>
      </c>
      <c r="Y16" s="79">
        <f t="shared" si="10"/>
        <v>108</v>
      </c>
      <c r="Z16" s="79">
        <f t="shared" si="10"/>
        <v>109</v>
      </c>
      <c r="AA16" s="79">
        <f t="shared" si="10"/>
        <v>110</v>
      </c>
      <c r="AB16" s="79">
        <f t="shared" si="10"/>
        <v>111</v>
      </c>
      <c r="AC16" s="79">
        <f t="shared" si="10"/>
        <v>112</v>
      </c>
      <c r="AD16" s="79">
        <f t="shared" si="10"/>
        <v>113</v>
      </c>
      <c r="AE16" s="79">
        <f t="shared" si="10"/>
        <v>114</v>
      </c>
      <c r="AF16" s="79">
        <f t="shared" si="10"/>
        <v>115</v>
      </c>
    </row>
    <row r="17" spans="2:32" x14ac:dyDescent="0.3">
      <c r="B17" s="40">
        <v>13</v>
      </c>
      <c r="C17" s="40" t="str">
        <f t="shared" si="1"/>
        <v>0x00D</v>
      </c>
      <c r="D17" s="64" t="s">
        <v>51</v>
      </c>
      <c r="E17" s="43" t="s">
        <v>69</v>
      </c>
      <c r="F17" s="44"/>
      <c r="G17" s="45"/>
      <c r="I17" s="40">
        <v>13</v>
      </c>
      <c r="J17" s="40" t="str">
        <f t="shared" si="2"/>
        <v>0x00D</v>
      </c>
      <c r="K17" s="64" t="s">
        <v>312</v>
      </c>
      <c r="L17" s="43" t="s">
        <v>238</v>
      </c>
      <c r="M17" s="44"/>
      <c r="N17" s="45"/>
      <c r="P17" s="78" t="s">
        <v>355</v>
      </c>
      <c r="Q17" s="79">
        <f t="shared" si="4"/>
        <v>116</v>
      </c>
      <c r="R17" s="79">
        <v>209</v>
      </c>
      <c r="S17" s="79">
        <f>AF9</f>
        <v>95</v>
      </c>
      <c r="T17" s="79">
        <f t="shared" si="10"/>
        <v>96</v>
      </c>
      <c r="U17" s="79">
        <f t="shared" si="10"/>
        <v>97</v>
      </c>
      <c r="V17" s="79">
        <f t="shared" si="10"/>
        <v>98</v>
      </c>
      <c r="W17" s="79">
        <f t="shared" si="10"/>
        <v>99</v>
      </c>
      <c r="X17" s="79">
        <f t="shared" si="10"/>
        <v>100</v>
      </c>
      <c r="Y17" s="79">
        <f t="shared" si="10"/>
        <v>101</v>
      </c>
      <c r="Z17" s="79">
        <f t="shared" si="10"/>
        <v>102</v>
      </c>
      <c r="AA17" s="79">
        <f t="shared" si="10"/>
        <v>103</v>
      </c>
      <c r="AB17" s="79">
        <f t="shared" si="10"/>
        <v>104</v>
      </c>
      <c r="AC17" s="79">
        <f t="shared" si="10"/>
        <v>105</v>
      </c>
      <c r="AD17" s="79">
        <f t="shared" si="10"/>
        <v>106</v>
      </c>
      <c r="AE17" s="79">
        <f t="shared" si="10"/>
        <v>107</v>
      </c>
      <c r="AF17" s="79">
        <f t="shared" si="10"/>
        <v>108</v>
      </c>
    </row>
    <row r="18" spans="2:32" x14ac:dyDescent="0.3">
      <c r="B18" s="40">
        <v>14</v>
      </c>
      <c r="C18" s="40" t="str">
        <f t="shared" si="1"/>
        <v>0x00E</v>
      </c>
      <c r="D18" s="64" t="s">
        <v>70</v>
      </c>
      <c r="E18" s="43" t="s">
        <v>71</v>
      </c>
      <c r="F18" s="44"/>
      <c r="G18" s="45"/>
      <c r="I18" s="40">
        <v>14</v>
      </c>
      <c r="J18" s="40" t="str">
        <f t="shared" si="2"/>
        <v>0x00E</v>
      </c>
      <c r="K18" s="64" t="s">
        <v>313</v>
      </c>
      <c r="L18" s="43" t="s">
        <v>239</v>
      </c>
      <c r="M18" s="44"/>
      <c r="N18" s="45"/>
      <c r="P18" s="78" t="s">
        <v>356</v>
      </c>
      <c r="Q18" s="79">
        <f t="shared" si="4"/>
        <v>109</v>
      </c>
      <c r="R18" s="79">
        <f t="shared" ref="R18:R29" si="11">Q18+1</f>
        <v>110</v>
      </c>
      <c r="S18" s="79">
        <f t="shared" ref="S18:X18" si="12">R18+1</f>
        <v>111</v>
      </c>
      <c r="T18" s="79">
        <f t="shared" si="12"/>
        <v>112</v>
      </c>
      <c r="U18" s="79">
        <f t="shared" si="12"/>
        <v>113</v>
      </c>
      <c r="V18" s="79">
        <f t="shared" si="12"/>
        <v>114</v>
      </c>
      <c r="W18" s="79">
        <f>V18+1</f>
        <v>115</v>
      </c>
      <c r="X18" s="79">
        <f t="shared" si="12"/>
        <v>116</v>
      </c>
      <c r="Y18" s="79">
        <v>232</v>
      </c>
      <c r="Z18" s="79">
        <f>AF9</f>
        <v>95</v>
      </c>
      <c r="AA18" s="79">
        <f t="shared" si="10"/>
        <v>96</v>
      </c>
      <c r="AB18" s="79">
        <f t="shared" si="10"/>
        <v>97</v>
      </c>
      <c r="AC18" s="79">
        <f t="shared" si="10"/>
        <v>98</v>
      </c>
      <c r="AD18" s="79">
        <f t="shared" si="10"/>
        <v>99</v>
      </c>
      <c r="AE18" s="79">
        <f t="shared" si="10"/>
        <v>100</v>
      </c>
      <c r="AF18" s="79">
        <f t="shared" si="10"/>
        <v>101</v>
      </c>
    </row>
    <row r="19" spans="2:32" x14ac:dyDescent="0.3">
      <c r="B19" s="40">
        <v>15</v>
      </c>
      <c r="C19" s="40" t="str">
        <f t="shared" si="1"/>
        <v>0x00F</v>
      </c>
      <c r="D19" s="64" t="s">
        <v>51</v>
      </c>
      <c r="E19" s="43" t="s">
        <v>72</v>
      </c>
      <c r="F19" s="44"/>
      <c r="G19" s="45"/>
      <c r="I19" s="40">
        <v>15</v>
      </c>
      <c r="J19" s="40" t="str">
        <f t="shared" si="2"/>
        <v>0x00F</v>
      </c>
      <c r="K19" s="64" t="s">
        <v>314</v>
      </c>
      <c r="L19" s="43" t="s">
        <v>73</v>
      </c>
      <c r="M19" s="44"/>
      <c r="N19" s="45"/>
      <c r="P19" s="78" t="s">
        <v>357</v>
      </c>
      <c r="Q19" s="79">
        <f t="shared" si="4"/>
        <v>102</v>
      </c>
      <c r="R19" s="79">
        <f t="shared" si="11"/>
        <v>103</v>
      </c>
      <c r="S19" s="79">
        <f t="shared" ref="S19:AF22" si="13">R19+1</f>
        <v>104</v>
      </c>
      <c r="T19" s="79">
        <f t="shared" si="13"/>
        <v>105</v>
      </c>
      <c r="U19" s="79">
        <f t="shared" si="13"/>
        <v>106</v>
      </c>
      <c r="V19" s="79">
        <f t="shared" si="13"/>
        <v>107</v>
      </c>
      <c r="W19" s="79">
        <f t="shared" si="13"/>
        <v>108</v>
      </c>
      <c r="X19" s="79">
        <f t="shared" si="13"/>
        <v>109</v>
      </c>
      <c r="Y19" s="79">
        <f t="shared" si="13"/>
        <v>110</v>
      </c>
      <c r="Z19" s="79">
        <f t="shared" si="13"/>
        <v>111</v>
      </c>
      <c r="AA19" s="79">
        <f t="shared" si="13"/>
        <v>112</v>
      </c>
      <c r="AB19" s="79">
        <f t="shared" si="13"/>
        <v>113</v>
      </c>
      <c r="AC19" s="79">
        <f t="shared" si="13"/>
        <v>114</v>
      </c>
      <c r="AD19" s="79">
        <f>AC19+1</f>
        <v>115</v>
      </c>
      <c r="AE19" s="79">
        <f t="shared" si="13"/>
        <v>116</v>
      </c>
      <c r="AF19" s="79">
        <v>255</v>
      </c>
    </row>
    <row r="20" spans="2:32" x14ac:dyDescent="0.3">
      <c r="B20" s="40">
        <v>16</v>
      </c>
      <c r="C20" s="40" t="str">
        <f t="shared" si="1"/>
        <v>0x010</v>
      </c>
      <c r="D20" s="65"/>
      <c r="E20" s="43" t="s">
        <v>73</v>
      </c>
      <c r="F20" s="44"/>
      <c r="G20" s="45"/>
      <c r="I20" s="40">
        <v>16</v>
      </c>
      <c r="J20" s="40" t="str">
        <f t="shared" si="2"/>
        <v>0x010</v>
      </c>
      <c r="K20" s="64" t="s">
        <v>315</v>
      </c>
      <c r="L20" s="43" t="s">
        <v>240</v>
      </c>
      <c r="M20" s="44"/>
      <c r="N20" s="45"/>
      <c r="P20" s="78" t="s">
        <v>358</v>
      </c>
      <c r="Q20" s="79">
        <f>AF9</f>
        <v>95</v>
      </c>
      <c r="R20" s="79">
        <f t="shared" si="11"/>
        <v>96</v>
      </c>
      <c r="S20" s="79">
        <f t="shared" si="13"/>
        <v>97</v>
      </c>
      <c r="T20" s="79">
        <f t="shared" si="13"/>
        <v>98</v>
      </c>
      <c r="U20" s="79">
        <f t="shared" si="13"/>
        <v>99</v>
      </c>
      <c r="V20" s="79">
        <f t="shared" si="13"/>
        <v>100</v>
      </c>
      <c r="W20" s="79">
        <f t="shared" si="13"/>
        <v>101</v>
      </c>
      <c r="X20" s="79">
        <f t="shared" si="13"/>
        <v>102</v>
      </c>
      <c r="Y20" s="79">
        <f t="shared" si="13"/>
        <v>103</v>
      </c>
      <c r="Z20" s="79">
        <f t="shared" si="13"/>
        <v>104</v>
      </c>
      <c r="AA20" s="79">
        <f t="shared" si="13"/>
        <v>105</v>
      </c>
      <c r="AB20" s="79">
        <f t="shared" si="13"/>
        <v>106</v>
      </c>
      <c r="AC20" s="79">
        <f t="shared" si="13"/>
        <v>107</v>
      </c>
      <c r="AD20" s="79">
        <f>AC20+1</f>
        <v>108</v>
      </c>
      <c r="AE20" s="79">
        <f t="shared" si="13"/>
        <v>109</v>
      </c>
      <c r="AF20" s="79">
        <f t="shared" si="13"/>
        <v>110</v>
      </c>
    </row>
    <row r="21" spans="2:32" x14ac:dyDescent="0.3">
      <c r="B21" s="40">
        <v>17</v>
      </c>
      <c r="C21" s="40" t="str">
        <f t="shared" si="1"/>
        <v>0x011</v>
      </c>
      <c r="D21" s="64" t="s">
        <v>51</v>
      </c>
      <c r="E21" s="43" t="s">
        <v>74</v>
      </c>
      <c r="F21" s="44"/>
      <c r="G21" s="45"/>
      <c r="I21" s="40">
        <v>17</v>
      </c>
      <c r="J21" s="40" t="str">
        <f t="shared" si="2"/>
        <v>0x011</v>
      </c>
      <c r="K21" s="64" t="s">
        <v>316</v>
      </c>
      <c r="L21" s="43" t="s">
        <v>241</v>
      </c>
      <c r="M21" s="44"/>
      <c r="N21" s="45"/>
      <c r="P21" s="78" t="s">
        <v>359</v>
      </c>
      <c r="Q21" s="79">
        <f t="shared" ref="Q21:Q29" si="14">AF20+1</f>
        <v>111</v>
      </c>
      <c r="R21" s="79">
        <f t="shared" si="11"/>
        <v>112</v>
      </c>
      <c r="S21" s="79">
        <f t="shared" si="13"/>
        <v>113</v>
      </c>
      <c r="T21" s="79">
        <f t="shared" si="13"/>
        <v>114</v>
      </c>
      <c r="U21" s="79">
        <f t="shared" si="13"/>
        <v>115</v>
      </c>
      <c r="V21" s="79">
        <f t="shared" si="13"/>
        <v>116</v>
      </c>
      <c r="W21" s="79">
        <v>278</v>
      </c>
      <c r="X21" s="79">
        <f>AF9</f>
        <v>95</v>
      </c>
      <c r="Y21" s="79">
        <f t="shared" si="13"/>
        <v>96</v>
      </c>
      <c r="Z21" s="79">
        <f t="shared" si="13"/>
        <v>97</v>
      </c>
      <c r="AA21" s="79">
        <f t="shared" si="13"/>
        <v>98</v>
      </c>
      <c r="AB21" s="79">
        <f t="shared" si="13"/>
        <v>99</v>
      </c>
      <c r="AC21" s="79">
        <f t="shared" si="13"/>
        <v>100</v>
      </c>
      <c r="AD21" s="79">
        <f>AC21+1</f>
        <v>101</v>
      </c>
      <c r="AE21" s="79">
        <f t="shared" si="13"/>
        <v>102</v>
      </c>
      <c r="AF21" s="79">
        <f t="shared" si="13"/>
        <v>103</v>
      </c>
    </row>
    <row r="22" spans="2:32" x14ac:dyDescent="0.3">
      <c r="B22" s="40">
        <v>18</v>
      </c>
      <c r="C22" s="40" t="str">
        <f t="shared" si="1"/>
        <v>0x012</v>
      </c>
      <c r="D22" s="64" t="s">
        <v>51</v>
      </c>
      <c r="E22" s="43" t="s">
        <v>74</v>
      </c>
      <c r="F22" s="44"/>
      <c r="G22" s="45"/>
      <c r="I22" s="40">
        <v>18</v>
      </c>
      <c r="J22" s="40" t="str">
        <f t="shared" si="2"/>
        <v>0x012</v>
      </c>
      <c r="K22" s="64" t="s">
        <v>67</v>
      </c>
      <c r="L22" s="43" t="s">
        <v>242</v>
      </c>
      <c r="M22" s="44"/>
      <c r="N22" s="45"/>
      <c r="P22" s="78" t="s">
        <v>360</v>
      </c>
      <c r="Q22" s="79">
        <f t="shared" si="14"/>
        <v>104</v>
      </c>
      <c r="R22" s="79">
        <f t="shared" si="11"/>
        <v>105</v>
      </c>
      <c r="S22" s="79">
        <f t="shared" ref="S22:AC22" si="15">R22+1</f>
        <v>106</v>
      </c>
      <c r="T22" s="79">
        <f t="shared" si="15"/>
        <v>107</v>
      </c>
      <c r="U22" s="79">
        <f t="shared" si="15"/>
        <v>108</v>
      </c>
      <c r="V22" s="79">
        <f t="shared" si="15"/>
        <v>109</v>
      </c>
      <c r="W22" s="79">
        <f t="shared" si="15"/>
        <v>110</v>
      </c>
      <c r="X22" s="79">
        <f t="shared" si="15"/>
        <v>111</v>
      </c>
      <c r="Y22" s="79">
        <f t="shared" si="15"/>
        <v>112</v>
      </c>
      <c r="Z22" s="79">
        <f t="shared" si="15"/>
        <v>113</v>
      </c>
      <c r="AA22" s="79">
        <f>Z22+1</f>
        <v>114</v>
      </c>
      <c r="AB22" s="79">
        <f t="shared" si="15"/>
        <v>115</v>
      </c>
      <c r="AC22" s="79">
        <f t="shared" si="15"/>
        <v>116</v>
      </c>
      <c r="AD22" s="79">
        <v>301</v>
      </c>
      <c r="AE22" s="79">
        <f>AF9</f>
        <v>95</v>
      </c>
      <c r="AF22" s="79">
        <f t="shared" si="13"/>
        <v>96</v>
      </c>
    </row>
    <row r="23" spans="2:32" x14ac:dyDescent="0.3">
      <c r="B23" s="40">
        <v>19</v>
      </c>
      <c r="C23" s="40" t="str">
        <f t="shared" si="1"/>
        <v>0x013</v>
      </c>
      <c r="D23" s="64" t="s">
        <v>51</v>
      </c>
      <c r="E23" s="43" t="s">
        <v>74</v>
      </c>
      <c r="F23" s="44"/>
      <c r="G23" s="45"/>
      <c r="I23" s="40">
        <v>19</v>
      </c>
      <c r="J23" s="40" t="str">
        <f t="shared" si="2"/>
        <v>0x013</v>
      </c>
      <c r="K23" s="64" t="s">
        <v>51</v>
      </c>
      <c r="L23" s="43" t="s">
        <v>234</v>
      </c>
      <c r="M23" s="44"/>
      <c r="N23" s="45"/>
      <c r="P23" s="78" t="s">
        <v>361</v>
      </c>
      <c r="Q23" s="79">
        <f t="shared" si="14"/>
        <v>97</v>
      </c>
      <c r="R23" s="79">
        <f t="shared" si="11"/>
        <v>98</v>
      </c>
      <c r="S23" s="79">
        <f t="shared" ref="S23:AF25" si="16">R23+1</f>
        <v>99</v>
      </c>
      <c r="T23" s="79">
        <f t="shared" si="16"/>
        <v>100</v>
      </c>
      <c r="U23" s="79">
        <f t="shared" si="16"/>
        <v>101</v>
      </c>
      <c r="V23" s="79">
        <f t="shared" si="16"/>
        <v>102</v>
      </c>
      <c r="W23" s="79">
        <f t="shared" si="16"/>
        <v>103</v>
      </c>
      <c r="X23" s="79">
        <f t="shared" si="16"/>
        <v>104</v>
      </c>
      <c r="Y23" s="79">
        <f t="shared" si="16"/>
        <v>105</v>
      </c>
      <c r="Z23" s="79">
        <f t="shared" si="16"/>
        <v>106</v>
      </c>
      <c r="AA23" s="79">
        <f t="shared" si="16"/>
        <v>107</v>
      </c>
      <c r="AB23" s="79">
        <f t="shared" si="16"/>
        <v>108</v>
      </c>
      <c r="AC23" s="79">
        <f t="shared" si="16"/>
        <v>109</v>
      </c>
      <c r="AD23" s="79">
        <f t="shared" si="16"/>
        <v>110</v>
      </c>
      <c r="AE23" s="79">
        <f t="shared" si="16"/>
        <v>111</v>
      </c>
      <c r="AF23" s="79">
        <f t="shared" si="16"/>
        <v>112</v>
      </c>
    </row>
    <row r="24" spans="2:32" x14ac:dyDescent="0.3">
      <c r="B24" s="40">
        <v>20</v>
      </c>
      <c r="C24" s="40" t="str">
        <f t="shared" si="1"/>
        <v>0x014</v>
      </c>
      <c r="D24" s="64" t="s">
        <v>51</v>
      </c>
      <c r="E24" s="43" t="s">
        <v>74</v>
      </c>
      <c r="F24" s="44"/>
      <c r="G24" s="45"/>
      <c r="I24" s="40">
        <v>20</v>
      </c>
      <c r="J24" s="40" t="str">
        <f t="shared" si="2"/>
        <v>0x014</v>
      </c>
      <c r="K24" s="64" t="s">
        <v>51</v>
      </c>
      <c r="L24" s="43" t="s">
        <v>234</v>
      </c>
      <c r="M24" s="44"/>
      <c r="N24" s="45"/>
      <c r="P24" s="78" t="s">
        <v>362</v>
      </c>
      <c r="Q24" s="79">
        <f t="shared" si="14"/>
        <v>113</v>
      </c>
      <c r="R24" s="79">
        <f t="shared" si="11"/>
        <v>114</v>
      </c>
      <c r="S24" s="79">
        <f t="shared" ref="S24:AF28" si="17">R24+1</f>
        <v>115</v>
      </c>
      <c r="T24" s="79">
        <f t="shared" si="17"/>
        <v>116</v>
      </c>
      <c r="U24" s="79">
        <v>324</v>
      </c>
      <c r="V24" s="79">
        <f>AF9</f>
        <v>95</v>
      </c>
      <c r="W24" s="79">
        <f t="shared" si="16"/>
        <v>96</v>
      </c>
      <c r="X24" s="79">
        <f t="shared" si="16"/>
        <v>97</v>
      </c>
      <c r="Y24" s="79">
        <f t="shared" si="16"/>
        <v>98</v>
      </c>
      <c r="Z24" s="79">
        <f t="shared" si="16"/>
        <v>99</v>
      </c>
      <c r="AA24" s="79">
        <f t="shared" si="16"/>
        <v>100</v>
      </c>
      <c r="AB24" s="79">
        <f t="shared" si="16"/>
        <v>101</v>
      </c>
      <c r="AC24" s="79">
        <f t="shared" si="16"/>
        <v>102</v>
      </c>
      <c r="AD24" s="79">
        <f t="shared" si="16"/>
        <v>103</v>
      </c>
      <c r="AE24" s="79">
        <f t="shared" si="16"/>
        <v>104</v>
      </c>
      <c r="AF24" s="79">
        <f t="shared" si="16"/>
        <v>105</v>
      </c>
    </row>
    <row r="25" spans="2:32" x14ac:dyDescent="0.3">
      <c r="B25" s="40">
        <v>21</v>
      </c>
      <c r="C25" s="40" t="str">
        <f t="shared" si="1"/>
        <v>0x015</v>
      </c>
      <c r="D25" s="64" t="s">
        <v>51</v>
      </c>
      <c r="E25" s="43" t="s">
        <v>74</v>
      </c>
      <c r="F25" s="44"/>
      <c r="G25" s="45"/>
      <c r="I25" s="40">
        <v>21</v>
      </c>
      <c r="J25" s="40" t="str">
        <f t="shared" si="2"/>
        <v>0x015</v>
      </c>
      <c r="K25" s="64" t="s">
        <v>51</v>
      </c>
      <c r="L25" s="43" t="s">
        <v>234</v>
      </c>
      <c r="M25" s="44"/>
      <c r="N25" s="45"/>
      <c r="P25" s="78" t="s">
        <v>363</v>
      </c>
      <c r="Q25" s="79">
        <f t="shared" si="14"/>
        <v>106</v>
      </c>
      <c r="R25" s="79">
        <f t="shared" si="11"/>
        <v>107</v>
      </c>
      <c r="S25" s="79">
        <f t="shared" si="17"/>
        <v>108</v>
      </c>
      <c r="T25" s="79">
        <f t="shared" si="17"/>
        <v>109</v>
      </c>
      <c r="U25" s="79">
        <f t="shared" si="17"/>
        <v>110</v>
      </c>
      <c r="V25" s="79">
        <f t="shared" si="17"/>
        <v>111</v>
      </c>
      <c r="W25" s="79">
        <f t="shared" si="17"/>
        <v>112</v>
      </c>
      <c r="X25" s="79">
        <f t="shared" si="17"/>
        <v>113</v>
      </c>
      <c r="Y25" s="79">
        <f t="shared" si="17"/>
        <v>114</v>
      </c>
      <c r="Z25" s="79">
        <f t="shared" si="17"/>
        <v>115</v>
      </c>
      <c r="AA25" s="79">
        <f t="shared" si="17"/>
        <v>116</v>
      </c>
      <c r="AB25" s="79">
        <v>347</v>
      </c>
      <c r="AC25" s="79">
        <f>AF9</f>
        <v>95</v>
      </c>
      <c r="AD25" s="79">
        <f t="shared" si="16"/>
        <v>96</v>
      </c>
      <c r="AE25" s="79">
        <f t="shared" si="16"/>
        <v>97</v>
      </c>
      <c r="AF25" s="79">
        <f t="shared" si="16"/>
        <v>98</v>
      </c>
    </row>
    <row r="26" spans="2:32" x14ac:dyDescent="0.3">
      <c r="B26" s="40">
        <v>22</v>
      </c>
      <c r="C26" s="40" t="str">
        <f t="shared" si="1"/>
        <v>0x016</v>
      </c>
      <c r="D26" s="64" t="s">
        <v>75</v>
      </c>
      <c r="E26" s="43" t="s">
        <v>76</v>
      </c>
      <c r="F26" s="44"/>
      <c r="G26" s="45"/>
      <c r="I26" s="40">
        <v>22</v>
      </c>
      <c r="J26" s="40" t="str">
        <f t="shared" si="2"/>
        <v>0x016</v>
      </c>
      <c r="K26" s="64" t="s">
        <v>75</v>
      </c>
      <c r="L26" s="43" t="s">
        <v>76</v>
      </c>
      <c r="M26" s="44"/>
      <c r="N26" s="45"/>
      <c r="P26" s="78" t="s">
        <v>364</v>
      </c>
      <c r="Q26" s="79">
        <f t="shared" si="14"/>
        <v>99</v>
      </c>
      <c r="R26" s="79">
        <f t="shared" si="11"/>
        <v>100</v>
      </c>
      <c r="S26" s="79">
        <f t="shared" si="17"/>
        <v>101</v>
      </c>
      <c r="T26" s="79">
        <f t="shared" si="17"/>
        <v>102</v>
      </c>
      <c r="U26" s="79">
        <f t="shared" si="17"/>
        <v>103</v>
      </c>
      <c r="V26" s="79">
        <f t="shared" si="17"/>
        <v>104</v>
      </c>
      <c r="W26" s="79">
        <f t="shared" si="17"/>
        <v>105</v>
      </c>
      <c r="X26" s="79">
        <f t="shared" si="17"/>
        <v>106</v>
      </c>
      <c r="Y26" s="79">
        <f t="shared" si="17"/>
        <v>107</v>
      </c>
      <c r="Z26" s="79">
        <f t="shared" si="17"/>
        <v>108</v>
      </c>
      <c r="AA26" s="79">
        <f t="shared" si="17"/>
        <v>109</v>
      </c>
      <c r="AB26" s="79">
        <f t="shared" si="17"/>
        <v>110</v>
      </c>
      <c r="AC26" s="79">
        <f t="shared" si="17"/>
        <v>111</v>
      </c>
      <c r="AD26" s="79">
        <f t="shared" si="17"/>
        <v>112</v>
      </c>
      <c r="AE26" s="79">
        <f t="shared" si="17"/>
        <v>113</v>
      </c>
      <c r="AF26" s="79">
        <f t="shared" si="17"/>
        <v>114</v>
      </c>
    </row>
    <row r="27" spans="2:32" x14ac:dyDescent="0.3">
      <c r="B27" s="40">
        <v>23</v>
      </c>
      <c r="C27" s="40" t="str">
        <f t="shared" si="1"/>
        <v>0x017</v>
      </c>
      <c r="D27" s="64" t="s">
        <v>67</v>
      </c>
      <c r="E27" s="43" t="s">
        <v>77</v>
      </c>
      <c r="F27" s="44"/>
      <c r="G27" s="45"/>
      <c r="I27" s="40">
        <v>23</v>
      </c>
      <c r="J27" s="40" t="str">
        <f t="shared" si="2"/>
        <v>0x017</v>
      </c>
      <c r="K27" s="64" t="s">
        <v>67</v>
      </c>
      <c r="L27" s="43" t="s">
        <v>77</v>
      </c>
      <c r="M27" s="44"/>
      <c r="N27" s="45"/>
      <c r="P27" s="78" t="s">
        <v>365</v>
      </c>
      <c r="Q27" s="79">
        <f t="shared" si="14"/>
        <v>115</v>
      </c>
      <c r="R27" s="79">
        <f t="shared" si="11"/>
        <v>116</v>
      </c>
      <c r="S27" s="79">
        <v>370</v>
      </c>
      <c r="T27" s="79">
        <f>AF9</f>
        <v>95</v>
      </c>
      <c r="U27" s="79">
        <f t="shared" si="17"/>
        <v>96</v>
      </c>
      <c r="V27" s="79">
        <f t="shared" si="17"/>
        <v>97</v>
      </c>
      <c r="W27" s="79">
        <f t="shared" si="17"/>
        <v>98</v>
      </c>
      <c r="X27" s="79">
        <f t="shared" si="17"/>
        <v>99</v>
      </c>
      <c r="Y27" s="79">
        <f t="shared" si="17"/>
        <v>100</v>
      </c>
      <c r="Z27" s="79">
        <f t="shared" si="17"/>
        <v>101</v>
      </c>
      <c r="AA27" s="79">
        <f t="shared" si="17"/>
        <v>102</v>
      </c>
      <c r="AB27" s="79">
        <f t="shared" si="17"/>
        <v>103</v>
      </c>
      <c r="AC27" s="79">
        <f t="shared" si="17"/>
        <v>104</v>
      </c>
      <c r="AD27" s="79">
        <f t="shared" si="17"/>
        <v>105</v>
      </c>
      <c r="AE27" s="79">
        <f t="shared" si="17"/>
        <v>106</v>
      </c>
      <c r="AF27" s="79">
        <f t="shared" si="17"/>
        <v>107</v>
      </c>
    </row>
    <row r="28" spans="2:32" x14ac:dyDescent="0.3">
      <c r="B28" s="40">
        <v>24</v>
      </c>
      <c r="C28" s="40" t="str">
        <f t="shared" si="1"/>
        <v>0x018</v>
      </c>
      <c r="D28" s="64" t="s">
        <v>67</v>
      </c>
      <c r="E28" s="43" t="s">
        <v>78</v>
      </c>
      <c r="F28" s="44"/>
      <c r="G28" s="45"/>
      <c r="I28" s="40">
        <v>24</v>
      </c>
      <c r="J28" s="40" t="str">
        <f t="shared" si="2"/>
        <v>0x018</v>
      </c>
      <c r="K28" s="64" t="s">
        <v>67</v>
      </c>
      <c r="L28" s="43" t="s">
        <v>78</v>
      </c>
      <c r="M28" s="44"/>
      <c r="N28" s="45"/>
      <c r="P28" s="78" t="s">
        <v>366</v>
      </c>
      <c r="Q28" s="79">
        <f t="shared" si="14"/>
        <v>108</v>
      </c>
      <c r="R28" s="79">
        <f t="shared" si="11"/>
        <v>109</v>
      </c>
      <c r="S28" s="79">
        <f t="shared" ref="S28:AF35" si="18">R28+1</f>
        <v>110</v>
      </c>
      <c r="T28" s="79">
        <f t="shared" si="18"/>
        <v>111</v>
      </c>
      <c r="U28" s="79">
        <f t="shared" si="18"/>
        <v>112</v>
      </c>
      <c r="V28" s="79">
        <f t="shared" si="18"/>
        <v>113</v>
      </c>
      <c r="W28" s="79">
        <f t="shared" si="18"/>
        <v>114</v>
      </c>
      <c r="X28" s="79">
        <f t="shared" si="18"/>
        <v>115</v>
      </c>
      <c r="Y28" s="79">
        <f>X28+1</f>
        <v>116</v>
      </c>
      <c r="Z28" s="79">
        <v>393</v>
      </c>
      <c r="AA28" s="79">
        <f>AF9</f>
        <v>95</v>
      </c>
      <c r="AB28" s="79">
        <f t="shared" si="17"/>
        <v>96</v>
      </c>
      <c r="AC28" s="79">
        <f t="shared" si="17"/>
        <v>97</v>
      </c>
      <c r="AD28" s="79">
        <f t="shared" si="17"/>
        <v>98</v>
      </c>
      <c r="AE28" s="79">
        <f t="shared" si="17"/>
        <v>99</v>
      </c>
      <c r="AF28" s="79">
        <f t="shared" si="17"/>
        <v>100</v>
      </c>
    </row>
    <row r="29" spans="2:32" x14ac:dyDescent="0.3">
      <c r="B29" s="40">
        <v>25</v>
      </c>
      <c r="C29" s="40" t="str">
        <f t="shared" si="1"/>
        <v>0x019</v>
      </c>
      <c r="D29" s="64" t="s">
        <v>79</v>
      </c>
      <c r="E29" s="43" t="s">
        <v>80</v>
      </c>
      <c r="F29" s="44"/>
      <c r="G29" s="45"/>
      <c r="I29" s="40">
        <v>25</v>
      </c>
      <c r="J29" s="40" t="str">
        <f t="shared" si="2"/>
        <v>0x019</v>
      </c>
      <c r="K29" s="64" t="s">
        <v>317</v>
      </c>
      <c r="L29" s="43" t="s">
        <v>101</v>
      </c>
      <c r="M29" s="44"/>
      <c r="N29" s="45"/>
      <c r="P29" s="78" t="s">
        <v>367</v>
      </c>
      <c r="Q29" s="79">
        <f t="shared" si="14"/>
        <v>101</v>
      </c>
      <c r="R29" s="79">
        <f t="shared" si="11"/>
        <v>102</v>
      </c>
      <c r="S29" s="79">
        <f t="shared" si="18"/>
        <v>103</v>
      </c>
      <c r="T29" s="79">
        <f t="shared" si="18"/>
        <v>104</v>
      </c>
      <c r="U29" s="79">
        <f t="shared" si="18"/>
        <v>105</v>
      </c>
      <c r="V29" s="79">
        <f t="shared" si="18"/>
        <v>106</v>
      </c>
      <c r="W29" s="79">
        <f t="shared" si="18"/>
        <v>107</v>
      </c>
      <c r="X29" s="79">
        <f t="shared" si="18"/>
        <v>108</v>
      </c>
      <c r="Y29" s="79">
        <f>X29+1</f>
        <v>109</v>
      </c>
      <c r="Z29" s="79">
        <f t="shared" ref="Z29:AF31" si="19">Y29+1</f>
        <v>110</v>
      </c>
      <c r="AA29" s="79">
        <f t="shared" si="19"/>
        <v>111</v>
      </c>
      <c r="AB29" s="79">
        <f t="shared" si="19"/>
        <v>112</v>
      </c>
      <c r="AC29" s="79">
        <f t="shared" si="19"/>
        <v>113</v>
      </c>
      <c r="AD29" s="79">
        <f t="shared" si="19"/>
        <v>114</v>
      </c>
      <c r="AE29" s="79">
        <f>AD29+1</f>
        <v>115</v>
      </c>
      <c r="AF29" s="79">
        <f t="shared" si="19"/>
        <v>116</v>
      </c>
    </row>
    <row r="30" spans="2:32" x14ac:dyDescent="0.3">
      <c r="B30" s="40">
        <v>26</v>
      </c>
      <c r="C30" s="40" t="str">
        <f t="shared" si="1"/>
        <v>0x01A</v>
      </c>
      <c r="D30" s="64" t="s">
        <v>81</v>
      </c>
      <c r="E30" s="43" t="s">
        <v>82</v>
      </c>
      <c r="F30" s="44"/>
      <c r="G30" s="45"/>
      <c r="I30" s="40">
        <v>26</v>
      </c>
      <c r="J30" s="40" t="str">
        <f t="shared" si="2"/>
        <v>0x01A</v>
      </c>
      <c r="K30" s="64" t="s">
        <v>102</v>
      </c>
      <c r="L30" s="43" t="s">
        <v>103</v>
      </c>
      <c r="M30" s="44"/>
      <c r="N30" s="45"/>
      <c r="P30" s="78" t="s">
        <v>368</v>
      </c>
      <c r="Q30" s="79">
        <v>416</v>
      </c>
      <c r="R30" s="79">
        <f t="shared" ref="R30:R35" si="20">AF9</f>
        <v>95</v>
      </c>
      <c r="S30" s="79">
        <f t="shared" si="18"/>
        <v>96</v>
      </c>
      <c r="T30" s="79">
        <f t="shared" si="18"/>
        <v>97</v>
      </c>
      <c r="U30" s="79">
        <f t="shared" si="18"/>
        <v>98</v>
      </c>
      <c r="V30" s="79">
        <f t="shared" si="18"/>
        <v>99</v>
      </c>
      <c r="W30" s="79">
        <f t="shared" si="18"/>
        <v>100</v>
      </c>
      <c r="X30" s="79">
        <f t="shared" si="18"/>
        <v>101</v>
      </c>
      <c r="Y30" s="79">
        <f>X30+1</f>
        <v>102</v>
      </c>
      <c r="Z30" s="79">
        <f t="shared" si="19"/>
        <v>103</v>
      </c>
      <c r="AA30" s="79">
        <f t="shared" si="19"/>
        <v>104</v>
      </c>
      <c r="AB30" s="79">
        <f t="shared" si="19"/>
        <v>105</v>
      </c>
      <c r="AC30" s="79">
        <f t="shared" si="19"/>
        <v>106</v>
      </c>
      <c r="AD30" s="79">
        <f t="shared" si="19"/>
        <v>107</v>
      </c>
      <c r="AE30" s="79">
        <f>AD30+1</f>
        <v>108</v>
      </c>
      <c r="AF30" s="79">
        <f t="shared" si="19"/>
        <v>109</v>
      </c>
    </row>
    <row r="31" spans="2:32" x14ac:dyDescent="0.3">
      <c r="B31" s="40">
        <v>27</v>
      </c>
      <c r="C31" s="40" t="str">
        <f t="shared" si="1"/>
        <v>0x01B</v>
      </c>
      <c r="D31" s="64" t="s">
        <v>83</v>
      </c>
      <c r="E31" s="43" t="s">
        <v>84</v>
      </c>
      <c r="F31" s="44"/>
      <c r="G31" s="45"/>
      <c r="I31" s="40">
        <v>27</v>
      </c>
      <c r="J31" s="40" t="str">
        <f t="shared" si="2"/>
        <v>0x01B</v>
      </c>
      <c r="K31" s="64" t="s">
        <v>51</v>
      </c>
      <c r="L31" s="43" t="s">
        <v>68</v>
      </c>
      <c r="M31" s="44"/>
      <c r="N31" s="45"/>
      <c r="P31" s="78" t="s">
        <v>369</v>
      </c>
      <c r="Q31" s="79">
        <f>AF30+1</f>
        <v>110</v>
      </c>
      <c r="R31" s="79">
        <f t="shared" si="20"/>
        <v>111</v>
      </c>
      <c r="S31" s="79">
        <f t="shared" si="18"/>
        <v>112</v>
      </c>
      <c r="T31" s="79">
        <f t="shared" si="18"/>
        <v>113</v>
      </c>
      <c r="U31" s="79">
        <f t="shared" si="18"/>
        <v>114</v>
      </c>
      <c r="V31" s="79">
        <f t="shared" si="18"/>
        <v>115</v>
      </c>
      <c r="W31" s="79">
        <f t="shared" si="18"/>
        <v>116</v>
      </c>
      <c r="X31" s="79">
        <v>439</v>
      </c>
      <c r="Y31" s="79">
        <f>AF9</f>
        <v>95</v>
      </c>
      <c r="Z31" s="79">
        <f t="shared" si="19"/>
        <v>96</v>
      </c>
      <c r="AA31" s="79">
        <f t="shared" si="19"/>
        <v>97</v>
      </c>
      <c r="AB31" s="79">
        <f t="shared" si="19"/>
        <v>98</v>
      </c>
      <c r="AC31" s="79">
        <f t="shared" si="19"/>
        <v>99</v>
      </c>
      <c r="AD31" s="79">
        <f t="shared" si="19"/>
        <v>100</v>
      </c>
      <c r="AE31" s="79">
        <f>AD31+1</f>
        <v>101</v>
      </c>
      <c r="AF31" s="79">
        <f t="shared" si="19"/>
        <v>102</v>
      </c>
    </row>
    <row r="32" spans="2:32" x14ac:dyDescent="0.3">
      <c r="B32" s="40">
        <v>28</v>
      </c>
      <c r="C32" s="40" t="str">
        <f t="shared" si="1"/>
        <v>0x01C</v>
      </c>
      <c r="D32" s="64" t="s">
        <v>85</v>
      </c>
      <c r="E32" s="43" t="s">
        <v>86</v>
      </c>
      <c r="F32" s="44"/>
      <c r="G32" s="45"/>
      <c r="I32" s="40">
        <v>28</v>
      </c>
      <c r="J32" s="40" t="str">
        <f t="shared" si="2"/>
        <v>0x01C</v>
      </c>
      <c r="K32" s="64" t="s">
        <v>51</v>
      </c>
      <c r="L32" s="43" t="s">
        <v>72</v>
      </c>
      <c r="M32" s="44"/>
      <c r="N32" s="45"/>
      <c r="P32" s="78" t="s">
        <v>370</v>
      </c>
      <c r="Q32" s="79">
        <f>AF31+1</f>
        <v>103</v>
      </c>
      <c r="R32" s="79">
        <f t="shared" si="20"/>
        <v>104</v>
      </c>
      <c r="S32" s="79">
        <f t="shared" si="18"/>
        <v>105</v>
      </c>
      <c r="T32" s="79">
        <f t="shared" si="18"/>
        <v>106</v>
      </c>
      <c r="U32" s="79">
        <f t="shared" si="18"/>
        <v>107</v>
      </c>
      <c r="V32" s="79">
        <f t="shared" si="18"/>
        <v>108</v>
      </c>
      <c r="W32" s="79">
        <f t="shared" si="18"/>
        <v>109</v>
      </c>
      <c r="X32" s="79">
        <f t="shared" si="18"/>
        <v>110</v>
      </c>
      <c r="Y32" s="79">
        <f t="shared" si="18"/>
        <v>111</v>
      </c>
      <c r="Z32" s="79">
        <f t="shared" si="18"/>
        <v>112</v>
      </c>
      <c r="AA32" s="79">
        <f t="shared" si="18"/>
        <v>113</v>
      </c>
      <c r="AB32" s="79">
        <f t="shared" si="18"/>
        <v>114</v>
      </c>
      <c r="AC32" s="79">
        <f t="shared" si="18"/>
        <v>115</v>
      </c>
      <c r="AD32" s="79">
        <f t="shared" si="18"/>
        <v>116</v>
      </c>
      <c r="AE32" s="79">
        <v>462</v>
      </c>
      <c r="AF32" s="79">
        <f>AF9</f>
        <v>95</v>
      </c>
    </row>
    <row r="33" spans="2:32" x14ac:dyDescent="0.3">
      <c r="B33" s="40">
        <v>29</v>
      </c>
      <c r="C33" s="40" t="str">
        <f t="shared" si="1"/>
        <v>0x01D</v>
      </c>
      <c r="D33" s="65"/>
      <c r="E33" s="43" t="s">
        <v>87</v>
      </c>
      <c r="F33" s="44"/>
      <c r="G33" s="45"/>
      <c r="I33" s="40">
        <v>29</v>
      </c>
      <c r="J33" s="40" t="str">
        <f t="shared" si="2"/>
        <v>0x01D</v>
      </c>
      <c r="K33" s="65"/>
      <c r="L33" s="43" t="s">
        <v>87</v>
      </c>
      <c r="M33" s="44"/>
      <c r="N33" s="45"/>
      <c r="P33" s="78" t="s">
        <v>371</v>
      </c>
      <c r="Q33" s="79">
        <f>AF32+1</f>
        <v>96</v>
      </c>
      <c r="R33" s="79">
        <f t="shared" si="20"/>
        <v>97</v>
      </c>
      <c r="S33" s="79">
        <f t="shared" si="18"/>
        <v>98</v>
      </c>
      <c r="T33" s="79">
        <f t="shared" si="18"/>
        <v>99</v>
      </c>
      <c r="U33" s="79">
        <f t="shared" si="18"/>
        <v>100</v>
      </c>
      <c r="V33" s="79">
        <f t="shared" si="18"/>
        <v>101</v>
      </c>
      <c r="W33" s="79">
        <f t="shared" si="18"/>
        <v>102</v>
      </c>
      <c r="X33" s="79">
        <f t="shared" si="18"/>
        <v>103</v>
      </c>
      <c r="Y33" s="79">
        <f t="shared" si="18"/>
        <v>104</v>
      </c>
      <c r="Z33" s="79">
        <f t="shared" si="18"/>
        <v>105</v>
      </c>
      <c r="AA33" s="79">
        <f t="shared" si="18"/>
        <v>106</v>
      </c>
      <c r="AB33" s="79">
        <f t="shared" si="18"/>
        <v>107</v>
      </c>
      <c r="AC33" s="79">
        <f t="shared" si="18"/>
        <v>108</v>
      </c>
      <c r="AD33" s="79">
        <f t="shared" si="18"/>
        <v>109</v>
      </c>
      <c r="AE33" s="79">
        <f t="shared" si="18"/>
        <v>110</v>
      </c>
      <c r="AF33" s="79">
        <f t="shared" si="18"/>
        <v>111</v>
      </c>
    </row>
    <row r="34" spans="2:32" x14ac:dyDescent="0.3">
      <c r="B34" s="40">
        <v>30</v>
      </c>
      <c r="C34" s="40" t="str">
        <f t="shared" si="1"/>
        <v>0x01E</v>
      </c>
      <c r="D34" s="65"/>
      <c r="E34" s="43" t="s">
        <v>88</v>
      </c>
      <c r="F34" s="44"/>
      <c r="G34" s="45"/>
      <c r="I34" s="40">
        <v>30</v>
      </c>
      <c r="J34" s="40" t="str">
        <f t="shared" si="2"/>
        <v>0x01E</v>
      </c>
      <c r="K34" s="65"/>
      <c r="L34" s="43" t="s">
        <v>88</v>
      </c>
      <c r="M34" s="44"/>
      <c r="N34" s="45"/>
      <c r="P34" s="78" t="s">
        <v>372</v>
      </c>
      <c r="Q34" s="79">
        <f>AF33+1</f>
        <v>112</v>
      </c>
      <c r="R34" s="79">
        <f t="shared" si="20"/>
        <v>113</v>
      </c>
      <c r="S34" s="79">
        <f t="shared" si="18"/>
        <v>114</v>
      </c>
      <c r="T34" s="79">
        <f t="shared" si="18"/>
        <v>115</v>
      </c>
      <c r="U34" s="79">
        <f t="shared" si="18"/>
        <v>116</v>
      </c>
      <c r="V34" s="79">
        <v>485</v>
      </c>
      <c r="W34" s="79">
        <f>AF9</f>
        <v>95</v>
      </c>
      <c r="X34" s="79">
        <f t="shared" si="18"/>
        <v>96</v>
      </c>
      <c r="Y34" s="79">
        <f t="shared" si="18"/>
        <v>97</v>
      </c>
      <c r="Z34" s="79">
        <f t="shared" si="18"/>
        <v>98</v>
      </c>
      <c r="AA34" s="79">
        <f t="shared" si="18"/>
        <v>99</v>
      </c>
      <c r="AB34" s="79">
        <f t="shared" si="18"/>
        <v>100</v>
      </c>
      <c r="AC34" s="79">
        <f t="shared" si="18"/>
        <v>101</v>
      </c>
      <c r="AD34" s="79">
        <f t="shared" si="18"/>
        <v>102</v>
      </c>
      <c r="AE34" s="79">
        <f t="shared" si="18"/>
        <v>103</v>
      </c>
      <c r="AF34" s="79">
        <f t="shared" si="18"/>
        <v>104</v>
      </c>
    </row>
    <row r="35" spans="2:32" x14ac:dyDescent="0.3">
      <c r="B35" s="40">
        <v>31</v>
      </c>
      <c r="C35" s="40" t="str">
        <f t="shared" si="1"/>
        <v>0x01F</v>
      </c>
      <c r="D35" s="65"/>
      <c r="E35" s="43" t="s">
        <v>89</v>
      </c>
      <c r="F35" s="44"/>
      <c r="G35" s="45"/>
      <c r="I35" s="40">
        <v>31</v>
      </c>
      <c r="J35" s="40" t="str">
        <f t="shared" si="2"/>
        <v>0x01F</v>
      </c>
      <c r="K35" s="65"/>
      <c r="L35" s="43" t="s">
        <v>89</v>
      </c>
      <c r="M35" s="44"/>
      <c r="N35" s="45"/>
      <c r="P35" s="78" t="s">
        <v>373</v>
      </c>
      <c r="Q35" s="79">
        <f>AF34+1</f>
        <v>105</v>
      </c>
      <c r="R35" s="79">
        <f t="shared" si="20"/>
        <v>106</v>
      </c>
      <c r="S35" s="79">
        <f t="shared" si="18"/>
        <v>107</v>
      </c>
      <c r="T35" s="79">
        <f t="shared" si="18"/>
        <v>108</v>
      </c>
      <c r="U35" s="79">
        <f t="shared" si="18"/>
        <v>109</v>
      </c>
      <c r="V35" s="79">
        <f t="shared" si="18"/>
        <v>110</v>
      </c>
      <c r="W35" s="79">
        <f t="shared" si="18"/>
        <v>111</v>
      </c>
      <c r="X35" s="79">
        <f t="shared" si="18"/>
        <v>112</v>
      </c>
      <c r="Y35" s="79">
        <f t="shared" si="18"/>
        <v>113</v>
      </c>
      <c r="Z35" s="79">
        <f t="shared" si="18"/>
        <v>114</v>
      </c>
      <c r="AA35" s="79">
        <f t="shared" si="18"/>
        <v>115</v>
      </c>
      <c r="AB35" s="79">
        <f t="shared" si="18"/>
        <v>116</v>
      </c>
      <c r="AC35" s="79">
        <v>508</v>
      </c>
      <c r="AD35" s="79">
        <v>509</v>
      </c>
      <c r="AE35" s="79">
        <v>510</v>
      </c>
      <c r="AF35" s="79">
        <v>511</v>
      </c>
    </row>
    <row r="36" spans="2:32" x14ac:dyDescent="0.3">
      <c r="B36" s="40">
        <v>32</v>
      </c>
      <c r="C36" s="40" t="str">
        <f t="shared" si="1"/>
        <v>0x020</v>
      </c>
      <c r="D36" s="65"/>
      <c r="E36" s="43" t="s">
        <v>90</v>
      </c>
      <c r="F36" s="44"/>
      <c r="G36" s="45"/>
      <c r="I36" s="40">
        <v>32</v>
      </c>
      <c r="J36" s="40" t="str">
        <f t="shared" si="2"/>
        <v>0x020</v>
      </c>
      <c r="K36" s="65"/>
      <c r="L36" s="43" t="s">
        <v>90</v>
      </c>
      <c r="M36" s="44"/>
      <c r="N36" s="45"/>
    </row>
    <row r="37" spans="2:32" x14ac:dyDescent="0.3">
      <c r="B37" s="40">
        <v>33</v>
      </c>
      <c r="C37" s="40" t="str">
        <f t="shared" si="1"/>
        <v>0x021</v>
      </c>
      <c r="D37" s="65"/>
      <c r="E37" s="43" t="s">
        <v>91</v>
      </c>
      <c r="F37" s="44"/>
      <c r="G37" s="45"/>
      <c r="I37" s="40">
        <v>33</v>
      </c>
      <c r="J37" s="40" t="str">
        <f t="shared" si="2"/>
        <v>0x021</v>
      </c>
      <c r="K37" s="65"/>
      <c r="L37" s="43" t="s">
        <v>91</v>
      </c>
      <c r="M37" s="44"/>
      <c r="N37" s="45"/>
      <c r="P37" t="s">
        <v>398</v>
      </c>
    </row>
    <row r="38" spans="2:32" x14ac:dyDescent="0.3">
      <c r="B38" s="40">
        <v>34</v>
      </c>
      <c r="C38" s="40" t="str">
        <f t="shared" si="1"/>
        <v>0x022</v>
      </c>
      <c r="D38" s="65"/>
      <c r="E38" s="43" t="s">
        <v>92</v>
      </c>
      <c r="F38" s="44"/>
      <c r="G38" s="45"/>
      <c r="I38" s="40">
        <v>34</v>
      </c>
      <c r="J38" s="40" t="str">
        <f t="shared" si="2"/>
        <v>0x022</v>
      </c>
      <c r="K38" s="65"/>
      <c r="L38" s="43" t="s">
        <v>92</v>
      </c>
      <c r="M38" s="44"/>
      <c r="N38" s="45"/>
      <c r="P38" s="78" t="s">
        <v>325</v>
      </c>
      <c r="Q38" s="78" t="s">
        <v>326</v>
      </c>
      <c r="R38" s="78" t="s">
        <v>327</v>
      </c>
      <c r="S38" s="78" t="s">
        <v>328</v>
      </c>
      <c r="T38" s="78" t="s">
        <v>329</v>
      </c>
      <c r="U38" s="78" t="s">
        <v>330</v>
      </c>
      <c r="V38" s="78" t="s">
        <v>331</v>
      </c>
      <c r="W38" s="78" t="s">
        <v>332</v>
      </c>
      <c r="X38" s="78" t="s">
        <v>333</v>
      </c>
      <c r="Y38" s="78" t="s">
        <v>334</v>
      </c>
      <c r="Z38" s="78" t="s">
        <v>335</v>
      </c>
      <c r="AA38" s="78" t="s">
        <v>336</v>
      </c>
      <c r="AB38" s="78" t="s">
        <v>337</v>
      </c>
      <c r="AC38" s="78" t="s">
        <v>338</v>
      </c>
      <c r="AD38" s="78" t="s">
        <v>339</v>
      </c>
      <c r="AE38" s="78" t="s">
        <v>340</v>
      </c>
      <c r="AF38" s="78" t="s">
        <v>341</v>
      </c>
    </row>
    <row r="39" spans="2:32" x14ac:dyDescent="0.3">
      <c r="B39" s="40">
        <v>35</v>
      </c>
      <c r="C39" s="40" t="str">
        <f t="shared" si="1"/>
        <v>0x023</v>
      </c>
      <c r="D39" s="65"/>
      <c r="E39" s="43" t="s">
        <v>93</v>
      </c>
      <c r="F39" s="44"/>
      <c r="G39" s="45"/>
      <c r="I39" s="40">
        <v>35</v>
      </c>
      <c r="J39" s="40" t="str">
        <f t="shared" si="2"/>
        <v>0x023</v>
      </c>
      <c r="K39" s="65"/>
      <c r="L39" s="43" t="s">
        <v>93</v>
      </c>
      <c r="M39" s="44"/>
      <c r="N39" s="45"/>
      <c r="P39" s="78" t="s">
        <v>326</v>
      </c>
      <c r="Q39" s="79" t="str">
        <f>RIGHT(INDEX($D$4:$D$141,MATCH(Q4,$B$4:$B$141,0)),2)</f>
        <v>1B</v>
      </c>
      <c r="R39" s="79" t="str">
        <f t="shared" ref="R39:AF39" si="21">RIGHT(INDEX($D$4:$D$141,MATCH(R4,$B$4:$B$141,0)),2)</f>
        <v>00</v>
      </c>
      <c r="S39" s="79" t="str">
        <f t="shared" si="21"/>
        <v>00</v>
      </c>
      <c r="T39" s="79" t="str">
        <f t="shared" si="21"/>
        <v>00</v>
      </c>
      <c r="U39" s="79" t="str">
        <f t="shared" si="21"/>
        <v>00</v>
      </c>
      <c r="V39" s="79" t="str">
        <f t="shared" si="21"/>
        <v>00</v>
      </c>
      <c r="W39" s="79" t="str">
        <f t="shared" si="21"/>
        <v>00</v>
      </c>
      <c r="X39" s="79" t="str">
        <f t="shared" si="21"/>
        <v>00</v>
      </c>
      <c r="Y39" s="79" t="str">
        <f t="shared" si="21"/>
        <v>84</v>
      </c>
      <c r="Z39" s="79" t="str">
        <f t="shared" si="21"/>
        <v>60</v>
      </c>
      <c r="AA39" s="79" t="str">
        <f t="shared" si="21"/>
        <v>0D</v>
      </c>
      <c r="AB39" s="79" t="str">
        <f t="shared" si="21"/>
        <v>EA</v>
      </c>
      <c r="AC39" s="79" t="str">
        <f t="shared" si="21"/>
        <v>01</v>
      </c>
      <c r="AD39" s="79" t="str">
        <f t="shared" si="21"/>
        <v>00</v>
      </c>
      <c r="AE39" s="79" t="str">
        <f t="shared" si="21"/>
        <v>03</v>
      </c>
      <c r="AF39" s="79" t="str">
        <f t="shared" si="21"/>
        <v>00</v>
      </c>
    </row>
    <row r="40" spans="2:32" x14ac:dyDescent="0.3">
      <c r="B40" s="40">
        <v>36</v>
      </c>
      <c r="C40" s="40" t="str">
        <f t="shared" si="1"/>
        <v>0x024</v>
      </c>
      <c r="D40" s="65"/>
      <c r="E40" s="43" t="s">
        <v>94</v>
      </c>
      <c r="F40" s="44"/>
      <c r="G40" s="45"/>
      <c r="I40" s="40">
        <v>36</v>
      </c>
      <c r="J40" s="40" t="str">
        <f t="shared" si="2"/>
        <v>0x024</v>
      </c>
      <c r="K40" s="65"/>
      <c r="L40" s="43" t="s">
        <v>94</v>
      </c>
      <c r="M40" s="44"/>
      <c r="N40" s="45"/>
      <c r="P40" s="78" t="s">
        <v>342</v>
      </c>
      <c r="Q40" s="79" t="str">
        <f t="shared" ref="Q40:AF40" si="22">RIGHT(INDEX($D$4:$D$141,MATCH(Q5,$B$4:$B$141,0)),2)</f>
        <v/>
      </c>
      <c r="R40" s="79" t="str">
        <f t="shared" si="22"/>
        <v>00</v>
      </c>
      <c r="S40" s="79" t="str">
        <f t="shared" si="22"/>
        <v>00</v>
      </c>
      <c r="T40" s="79" t="str">
        <f t="shared" si="22"/>
        <v>00</v>
      </c>
      <c r="U40" s="79" t="str">
        <f t="shared" si="22"/>
        <v>00</v>
      </c>
      <c r="V40" s="79" t="str">
        <f t="shared" si="22"/>
        <v>00</v>
      </c>
      <c r="W40" s="79" t="str">
        <f t="shared" si="22"/>
        <v>06</v>
      </c>
      <c r="X40" s="79" t="str">
        <f t="shared" si="22"/>
        <v>01</v>
      </c>
      <c r="Y40" s="79" t="str">
        <f t="shared" si="22"/>
        <v>01</v>
      </c>
      <c r="Z40" s="79" t="str">
        <f t="shared" si="22"/>
        <v>02</v>
      </c>
      <c r="AA40" s="79" t="str">
        <f t="shared" si="22"/>
        <v>1F</v>
      </c>
      <c r="AB40" s="79" t="str">
        <f t="shared" si="22"/>
        <v>0C</v>
      </c>
      <c r="AC40" s="79" t="str">
        <f t="shared" si="22"/>
        <v>08</v>
      </c>
      <c r="AD40" s="79" t="str">
        <f t="shared" si="22"/>
        <v/>
      </c>
      <c r="AE40" s="79" t="str">
        <f t="shared" si="22"/>
        <v/>
      </c>
      <c r="AF40" s="79" t="str">
        <f t="shared" si="22"/>
        <v/>
      </c>
    </row>
    <row r="41" spans="2:32" x14ac:dyDescent="0.3">
      <c r="B41" s="40">
        <v>37</v>
      </c>
      <c r="C41" s="40" t="str">
        <f t="shared" si="1"/>
        <v>0x025</v>
      </c>
      <c r="D41" s="65"/>
      <c r="E41" s="43" t="s">
        <v>95</v>
      </c>
      <c r="F41" s="44"/>
      <c r="G41" s="45"/>
      <c r="I41" s="40">
        <v>37</v>
      </c>
      <c r="J41" s="40" t="str">
        <f t="shared" si="2"/>
        <v>0x025</v>
      </c>
      <c r="K41" s="65"/>
      <c r="L41" s="43" t="s">
        <v>95</v>
      </c>
      <c r="M41" s="44"/>
      <c r="N41" s="45"/>
      <c r="P41" s="78" t="s">
        <v>343</v>
      </c>
      <c r="Q41" s="79" t="str">
        <f t="shared" ref="Q41:AF41" si="23">RIGHT(INDEX($D$4:$D$141,MATCH(Q6,$B$4:$B$141,0)),2)</f>
        <v/>
      </c>
      <c r="R41" s="79" t="str">
        <f t="shared" si="23"/>
        <v/>
      </c>
      <c r="S41" s="79" t="str">
        <f t="shared" si="23"/>
        <v/>
      </c>
      <c r="T41" s="79" t="str">
        <f t="shared" si="23"/>
        <v/>
      </c>
      <c r="U41" s="79" t="str">
        <f t="shared" si="23"/>
        <v/>
      </c>
      <c r="V41" s="79" t="str">
        <f t="shared" si="23"/>
        <v/>
      </c>
      <c r="W41" s="79" t="str">
        <f t="shared" si="23"/>
        <v/>
      </c>
      <c r="X41" s="79" t="str">
        <f t="shared" si="23"/>
        <v>03</v>
      </c>
      <c r="Y41" s="79" t="str">
        <f t="shared" si="23"/>
        <v>21</v>
      </c>
      <c r="Z41" s="79" t="str">
        <f t="shared" si="23"/>
        <v>07</v>
      </c>
      <c r="AA41" s="79" t="str">
        <f t="shared" si="23"/>
        <v>10</v>
      </c>
      <c r="AB41" s="79" t="str">
        <f t="shared" si="23"/>
        <v>02</v>
      </c>
      <c r="AC41" s="79" t="str">
        <f t="shared" si="23"/>
        <v>20</v>
      </c>
      <c r="AD41" s="79" t="str">
        <f t="shared" si="23"/>
        <v>04</v>
      </c>
      <c r="AE41" s="79" t="str">
        <f t="shared" si="23"/>
        <v>40</v>
      </c>
      <c r="AF41" s="79" t="str">
        <f t="shared" si="23"/>
        <v/>
      </c>
    </row>
    <row r="42" spans="2:32" x14ac:dyDescent="0.3">
      <c r="B42" s="40">
        <v>38</v>
      </c>
      <c r="C42" s="40" t="str">
        <f t="shared" si="1"/>
        <v>0x026</v>
      </c>
      <c r="D42" s="65"/>
      <c r="E42" s="43" t="s">
        <v>96</v>
      </c>
      <c r="F42" s="44"/>
      <c r="G42" s="45"/>
      <c r="I42" s="40">
        <v>38</v>
      </c>
      <c r="J42" s="40" t="str">
        <f t="shared" si="2"/>
        <v>0x026</v>
      </c>
      <c r="K42" s="65"/>
      <c r="L42" s="43" t="s">
        <v>96</v>
      </c>
      <c r="M42" s="44"/>
      <c r="N42" s="45"/>
      <c r="P42" s="78" t="s">
        <v>344</v>
      </c>
      <c r="Q42" s="79" t="str">
        <f t="shared" ref="Q42:AF42" si="24">RIGHT(INDEX($D$4:$D$141,MATCH(Q7,$B$4:$B$141,0)),2)</f>
        <v>A8</v>
      </c>
      <c r="R42" s="79" t="str">
        <f t="shared" si="24"/>
        <v>06</v>
      </c>
      <c r="S42" s="79" t="str">
        <f t="shared" si="24"/>
        <v>2E</v>
      </c>
      <c r="T42" s="79" t="str">
        <f t="shared" si="24"/>
        <v>2F</v>
      </c>
      <c r="U42" s="79" t="str">
        <f t="shared" si="24"/>
        <v>1B</v>
      </c>
      <c r="V42" s="79" t="str">
        <f t="shared" si="24"/>
        <v>D3</v>
      </c>
      <c r="W42" s="79" t="str">
        <f t="shared" si="24"/>
        <v>91</v>
      </c>
      <c r="X42" s="79" t="str">
        <f t="shared" si="24"/>
        <v>1B</v>
      </c>
      <c r="Y42" s="79" t="str">
        <f t="shared" si="24"/>
        <v>08</v>
      </c>
      <c r="Z42" s="79" t="str">
        <f t="shared" si="24"/>
        <v>44</v>
      </c>
      <c r="AA42" s="79" t="str">
        <f t="shared" si="24"/>
        <v>00</v>
      </c>
      <c r="AB42" s="79" t="str">
        <f t="shared" si="24"/>
        <v/>
      </c>
      <c r="AC42" s="79" t="str">
        <f t="shared" si="24"/>
        <v>0F</v>
      </c>
      <c r="AD42" s="79" t="str">
        <f t="shared" si="24"/>
        <v>00</v>
      </c>
      <c r="AE42" s="79" t="str">
        <f t="shared" si="24"/>
        <v>0F</v>
      </c>
      <c r="AF42" s="79" t="str">
        <f t="shared" si="24"/>
        <v>6C</v>
      </c>
    </row>
    <row r="43" spans="2:32" x14ac:dyDescent="0.3">
      <c r="B43" s="40">
        <v>39</v>
      </c>
      <c r="C43" s="40" t="str">
        <f t="shared" si="1"/>
        <v>0x027</v>
      </c>
      <c r="D43" s="64" t="s">
        <v>70</v>
      </c>
      <c r="E43" s="43" t="s">
        <v>97</v>
      </c>
      <c r="F43" s="44"/>
      <c r="G43" s="45"/>
      <c r="I43" s="40">
        <v>39</v>
      </c>
      <c r="J43" s="40" t="str">
        <f t="shared" si="2"/>
        <v>0x027</v>
      </c>
      <c r="K43" s="64" t="s">
        <v>51</v>
      </c>
      <c r="L43" s="43" t="s">
        <v>243</v>
      </c>
      <c r="M43" s="44"/>
      <c r="N43" s="45"/>
      <c r="P43" s="78" t="s">
        <v>346</v>
      </c>
      <c r="Q43" s="79" t="str">
        <f t="shared" ref="Q43:AF43" si="25">RIGHT(INDEX($D$4:$D$141,MATCH(Q8,$B$4:$B$141,0)),2)</f>
        <v>CC</v>
      </c>
      <c r="R43" s="79" t="str">
        <f t="shared" si="25"/>
        <v>5B</v>
      </c>
      <c r="S43" s="79" t="str">
        <f t="shared" si="25"/>
        <v>F8</v>
      </c>
      <c r="T43" s="79" t="str">
        <f t="shared" si="25"/>
        <v>17</v>
      </c>
      <c r="U43" s="79" t="str">
        <f t="shared" si="25"/>
        <v>23</v>
      </c>
      <c r="V43" s="79" t="str">
        <f t="shared" si="25"/>
        <v>9A</v>
      </c>
      <c r="W43" s="79" t="str">
        <f t="shared" si="25"/>
        <v>47</v>
      </c>
      <c r="X43" s="79" t="str">
        <f t="shared" si="25"/>
        <v>00</v>
      </c>
      <c r="Y43" s="79" t="str">
        <f t="shared" si="25"/>
        <v>30</v>
      </c>
      <c r="Z43" s="79" t="str">
        <f t="shared" si="25"/>
        <v>18</v>
      </c>
      <c r="AA43" s="79" t="str">
        <f t="shared" si="25"/>
        <v>16</v>
      </c>
      <c r="AB43" s="79" t="str">
        <f t="shared" si="25"/>
        <v>6C</v>
      </c>
      <c r="AC43" s="79" t="str">
        <f t="shared" si="25"/>
        <v>03</v>
      </c>
      <c r="AD43" s="79" t="str">
        <f t="shared" si="25"/>
        <v>40</v>
      </c>
      <c r="AE43" s="79" t="str">
        <f t="shared" si="25"/>
        <v>91</v>
      </c>
      <c r="AF43" s="79" t="str">
        <f t="shared" si="25"/>
        <v>00</v>
      </c>
    </row>
    <row r="44" spans="2:32" x14ac:dyDescent="0.3">
      <c r="B44" s="40">
        <v>40</v>
      </c>
      <c r="C44" s="40" t="str">
        <f t="shared" si="1"/>
        <v>0x028</v>
      </c>
      <c r="D44" s="64" t="s">
        <v>98</v>
      </c>
      <c r="E44" s="43" t="s">
        <v>99</v>
      </c>
      <c r="F44" s="44"/>
      <c r="G44" s="45"/>
      <c r="I44" s="40">
        <v>40</v>
      </c>
      <c r="J44" s="40" t="str">
        <f t="shared" si="2"/>
        <v>0x028</v>
      </c>
      <c r="K44" s="64" t="s">
        <v>98</v>
      </c>
      <c r="L44" s="43" t="s">
        <v>244</v>
      </c>
      <c r="M44" s="44"/>
      <c r="N44" s="45"/>
      <c r="P44" s="78" t="s">
        <v>347</v>
      </c>
      <c r="Q44" s="79" t="str">
        <f t="shared" ref="Q44:AF44" si="26">RIGHT(INDEX($D$4:$D$141,MATCH(Q9,$B$4:$B$141,0)),2)</f>
        <v>C0</v>
      </c>
      <c r="R44" s="79" t="str">
        <f t="shared" si="26"/>
        <v>78</v>
      </c>
      <c r="S44" s="79" t="str">
        <f t="shared" si="26"/>
        <v>56</v>
      </c>
      <c r="T44" s="79" t="str">
        <f t="shared" si="26"/>
        <v>10</v>
      </c>
      <c r="U44" s="79" t="str">
        <f t="shared" si="26"/>
        <v>EA</v>
      </c>
      <c r="V44" s="79" t="str">
        <f t="shared" si="26"/>
        <v>2A</v>
      </c>
      <c r="W44" s="79" t="str">
        <f t="shared" si="26"/>
        <v>00</v>
      </c>
      <c r="X44" s="79" t="str">
        <f t="shared" si="26"/>
        <v>1F</v>
      </c>
      <c r="Y44" s="79" t="str">
        <f t="shared" si="26"/>
        <v>41</v>
      </c>
      <c r="Z44" s="79" t="str">
        <f t="shared" si="26"/>
        <v>00</v>
      </c>
      <c r="AA44" s="79" t="str">
        <f t="shared" si="26"/>
        <v>00</v>
      </c>
      <c r="AB44" s="79" t="str">
        <f t="shared" si="26"/>
        <v/>
      </c>
      <c r="AC44" s="79" t="str">
        <f t="shared" si="26"/>
        <v/>
      </c>
      <c r="AD44" s="79" t="str">
        <f t="shared" si="26"/>
        <v/>
      </c>
      <c r="AE44" s="79" t="str">
        <f t="shared" si="26"/>
        <v/>
      </c>
      <c r="AF44" s="79" t="str">
        <f t="shared" si="26"/>
        <v/>
      </c>
    </row>
    <row r="45" spans="2:32" x14ac:dyDescent="0.3">
      <c r="B45" s="40">
        <v>41</v>
      </c>
      <c r="C45" s="40" t="str">
        <f t="shared" si="1"/>
        <v>0x029</v>
      </c>
      <c r="D45" s="64" t="s">
        <v>100</v>
      </c>
      <c r="E45" s="43" t="s">
        <v>101</v>
      </c>
      <c r="F45" s="44"/>
      <c r="G45" s="45"/>
      <c r="I45" s="40">
        <v>41</v>
      </c>
      <c r="J45" s="40" t="str">
        <f t="shared" si="2"/>
        <v>0x029</v>
      </c>
      <c r="K45" s="64" t="s">
        <v>596</v>
      </c>
      <c r="L45" s="43" t="s">
        <v>245</v>
      </c>
      <c r="M45" s="44"/>
      <c r="N45" s="45" t="s">
        <v>597</v>
      </c>
      <c r="P45" s="78" t="s">
        <v>348</v>
      </c>
      <c r="Q45" s="79" t="str">
        <f t="shared" ref="Q45:AF45" si="27">RIGHT(INDEX($D$4:$D$141,MATCH(Q10,$B$4:$B$141,0)),2)</f>
        <v/>
      </c>
      <c r="R45" s="79" t="str">
        <f t="shared" si="27"/>
        <v/>
      </c>
      <c r="S45" s="79" t="str">
        <f t="shared" si="27"/>
        <v/>
      </c>
      <c r="T45" s="79" t="str">
        <f t="shared" si="27"/>
        <v/>
      </c>
      <c r="U45" s="79" t="str">
        <f t="shared" si="27"/>
        <v/>
      </c>
      <c r="V45" s="79" t="str">
        <f t="shared" si="27"/>
        <v/>
      </c>
      <c r="W45" s="79" t="str">
        <f t="shared" si="27"/>
        <v/>
      </c>
      <c r="X45" s="79" t="str">
        <f t="shared" si="27"/>
        <v/>
      </c>
      <c r="Y45" s="79" t="str">
        <f t="shared" si="27"/>
        <v/>
      </c>
      <c r="Z45" s="79" t="str">
        <f t="shared" si="27"/>
        <v>00</v>
      </c>
      <c r="AA45" s="79" t="str">
        <f t="shared" si="27"/>
        <v>00</v>
      </c>
      <c r="AB45" s="79" t="str">
        <f t="shared" si="27"/>
        <v>00</v>
      </c>
      <c r="AC45" s="79" t="str">
        <f t="shared" si="27"/>
        <v>00</v>
      </c>
      <c r="AD45" s="79" t="str">
        <f t="shared" si="27"/>
        <v>00</v>
      </c>
      <c r="AE45" s="79" t="str">
        <f t="shared" si="27"/>
        <v>00</v>
      </c>
      <c r="AF45" s="79" t="str">
        <f t="shared" si="27"/>
        <v>00</v>
      </c>
    </row>
    <row r="46" spans="2:32" x14ac:dyDescent="0.3">
      <c r="B46" s="40">
        <v>42</v>
      </c>
      <c r="C46" s="40" t="str">
        <f t="shared" si="1"/>
        <v>0x02A</v>
      </c>
      <c r="D46" s="64" t="s">
        <v>102</v>
      </c>
      <c r="E46" s="43" t="s">
        <v>103</v>
      </c>
      <c r="F46" s="44"/>
      <c r="G46" s="45"/>
      <c r="I46" s="40">
        <v>42</v>
      </c>
      <c r="J46" s="40" t="str">
        <f t="shared" si="2"/>
        <v>0x02A</v>
      </c>
      <c r="K46" s="64" t="s">
        <v>318</v>
      </c>
      <c r="L46" s="43" t="s">
        <v>246</v>
      </c>
      <c r="M46" s="44"/>
      <c r="N46" s="45"/>
      <c r="P46" s="78" t="s">
        <v>349</v>
      </c>
      <c r="Q46" s="79" t="str">
        <f t="shared" ref="Q46:AF46" si="28">RIGHT(INDEX($D$4:$D$141,MATCH(Q11,$B$4:$B$141,0)),2)</f>
        <v>00</v>
      </c>
      <c r="R46" s="79" t="str">
        <f t="shared" si="28"/>
        <v/>
      </c>
      <c r="S46" s="79" t="str">
        <f t="shared" si="28"/>
        <v/>
      </c>
      <c r="T46" s="79" t="str">
        <f t="shared" si="28"/>
        <v/>
      </c>
      <c r="U46" s="79" t="str">
        <f t="shared" si="28"/>
        <v/>
      </c>
      <c r="V46" s="79" t="str">
        <f t="shared" si="28"/>
        <v>01</v>
      </c>
      <c r="W46" s="79" t="str">
        <f t="shared" si="28"/>
        <v/>
      </c>
      <c r="X46" s="79" t="str">
        <f t="shared" si="28"/>
        <v/>
      </c>
      <c r="Y46" s="79" t="str">
        <f t="shared" si="28"/>
        <v/>
      </c>
      <c r="Z46" s="79" t="str">
        <f t="shared" si="28"/>
        <v/>
      </c>
      <c r="AA46" s="79" t="str">
        <f t="shared" si="28"/>
        <v/>
      </c>
      <c r="AB46" s="79" t="str">
        <f t="shared" si="28"/>
        <v/>
      </c>
      <c r="AC46" s="79" t="str">
        <f t="shared" si="28"/>
        <v/>
      </c>
      <c r="AD46" s="79" t="str">
        <f t="shared" si="28"/>
        <v/>
      </c>
      <c r="AE46" s="79" t="str">
        <f t="shared" si="28"/>
        <v/>
      </c>
      <c r="AF46" s="79" t="str">
        <f t="shared" si="28"/>
        <v/>
      </c>
    </row>
    <row r="47" spans="2:32" x14ac:dyDescent="0.3">
      <c r="B47" s="40">
        <v>43</v>
      </c>
      <c r="C47" s="40" t="str">
        <f t="shared" si="1"/>
        <v>0x02B</v>
      </c>
      <c r="D47" s="64" t="s">
        <v>79</v>
      </c>
      <c r="E47" s="43" t="s">
        <v>104</v>
      </c>
      <c r="F47" s="44"/>
      <c r="G47" s="45"/>
      <c r="I47" s="40">
        <v>43</v>
      </c>
      <c r="J47" s="40" t="str">
        <f t="shared" si="2"/>
        <v>0x02B</v>
      </c>
      <c r="K47" s="64" t="s">
        <v>79</v>
      </c>
      <c r="L47" s="43" t="s">
        <v>247</v>
      </c>
      <c r="M47" s="44"/>
      <c r="N47" s="45"/>
      <c r="P47" s="78" t="s">
        <v>350</v>
      </c>
      <c r="Q47" s="79" t="str">
        <f t="shared" ref="Q47:AF47" si="29">RIGHT(INDEX($D$4:$D$141,MATCH(Q12,$B$4:$B$141,0)),2)</f>
        <v>00</v>
      </c>
      <c r="R47" s="79" t="str">
        <f t="shared" si="29"/>
        <v>00</v>
      </c>
      <c r="S47" s="79" t="str">
        <f t="shared" si="29"/>
        <v>00</v>
      </c>
      <c r="T47" s="79" t="str">
        <f t="shared" si="29"/>
        <v>00</v>
      </c>
      <c r="U47" s="79" t="str">
        <f t="shared" si="29"/>
        <v>00</v>
      </c>
      <c r="V47" s="79" t="str">
        <f t="shared" si="29"/>
        <v>00</v>
      </c>
      <c r="W47" s="79" t="str">
        <f t="shared" si="29"/>
        <v>00</v>
      </c>
      <c r="X47" s="79" t="str">
        <f t="shared" si="29"/>
        <v>00</v>
      </c>
      <c r="Y47" s="79" t="str">
        <f t="shared" si="29"/>
        <v/>
      </c>
      <c r="Z47" s="79" t="str">
        <f t="shared" si="29"/>
        <v/>
      </c>
      <c r="AA47" s="79" t="str">
        <f t="shared" si="29"/>
        <v/>
      </c>
      <c r="AB47" s="79" t="str">
        <f t="shared" si="29"/>
        <v/>
      </c>
      <c r="AC47" s="79" t="str">
        <f t="shared" si="29"/>
        <v>02</v>
      </c>
      <c r="AD47" s="79" t="str">
        <f t="shared" si="29"/>
        <v/>
      </c>
      <c r="AE47" s="79" t="str">
        <f t="shared" si="29"/>
        <v/>
      </c>
      <c r="AF47" s="79" t="str">
        <f t="shared" si="29"/>
        <v/>
      </c>
    </row>
    <row r="48" spans="2:32" x14ac:dyDescent="0.3">
      <c r="B48" s="40">
        <v>44</v>
      </c>
      <c r="C48" s="40" t="str">
        <f t="shared" si="1"/>
        <v>0x02C</v>
      </c>
      <c r="D48" s="64" t="s">
        <v>105</v>
      </c>
      <c r="E48" s="43" t="s">
        <v>106</v>
      </c>
      <c r="F48" s="44"/>
      <c r="G48" s="45"/>
      <c r="I48" s="40">
        <v>44</v>
      </c>
      <c r="J48" s="40" t="str">
        <f t="shared" si="2"/>
        <v>0x02C</v>
      </c>
      <c r="K48" s="64" t="s">
        <v>105</v>
      </c>
      <c r="L48" s="43" t="s">
        <v>247</v>
      </c>
      <c r="M48" s="44"/>
      <c r="N48" s="45"/>
      <c r="P48" s="78" t="s">
        <v>351</v>
      </c>
      <c r="Q48" s="79" t="str">
        <f t="shared" ref="Q48:AF48" si="30">RIGHT(INDEX($D$4:$D$141,MATCH(Q13,$B$4:$B$141,0)),2)</f>
        <v/>
      </c>
      <c r="R48" s="79" t="str">
        <f t="shared" si="30"/>
        <v/>
      </c>
      <c r="S48" s="79" t="str">
        <f t="shared" si="30"/>
        <v/>
      </c>
      <c r="T48" s="79" t="str">
        <f t="shared" si="30"/>
        <v/>
      </c>
      <c r="U48" s="79" t="str">
        <f t="shared" si="30"/>
        <v/>
      </c>
      <c r="V48" s="79" t="str">
        <f t="shared" si="30"/>
        <v/>
      </c>
      <c r="W48" s="79" t="str">
        <f t="shared" si="30"/>
        <v/>
      </c>
      <c r="X48" s="79" t="str">
        <f t="shared" si="30"/>
        <v>00</v>
      </c>
      <c r="Y48" s="79" t="str">
        <f t="shared" si="30"/>
        <v>00</v>
      </c>
      <c r="Z48" s="79" t="str">
        <f t="shared" si="30"/>
        <v>00</v>
      </c>
      <c r="AA48" s="79" t="str">
        <f t="shared" si="30"/>
        <v>00</v>
      </c>
      <c r="AB48" s="79" t="str">
        <f t="shared" si="30"/>
        <v>00</v>
      </c>
      <c r="AC48" s="79" t="str">
        <f t="shared" si="30"/>
        <v>00</v>
      </c>
      <c r="AD48" s="79" t="str">
        <f t="shared" si="30"/>
        <v>00</v>
      </c>
      <c r="AE48" s="79" t="str">
        <f t="shared" si="30"/>
        <v>00</v>
      </c>
      <c r="AF48" s="79" t="str">
        <f t="shared" si="30"/>
        <v/>
      </c>
    </row>
    <row r="49" spans="2:32" x14ac:dyDescent="0.3">
      <c r="B49" s="40">
        <v>45</v>
      </c>
      <c r="C49" s="40" t="str">
        <f t="shared" si="1"/>
        <v>0x02D</v>
      </c>
      <c r="D49" s="64" t="s">
        <v>107</v>
      </c>
      <c r="E49" s="43" t="s">
        <v>108</v>
      </c>
      <c r="F49" s="44"/>
      <c r="G49" s="45"/>
      <c r="I49" s="40">
        <v>45</v>
      </c>
      <c r="J49" s="40" t="str">
        <f t="shared" si="2"/>
        <v>0x02D</v>
      </c>
      <c r="K49" s="64" t="s">
        <v>105</v>
      </c>
      <c r="L49" s="43" t="s">
        <v>108</v>
      </c>
      <c r="M49" s="44"/>
      <c r="N49" s="45"/>
      <c r="P49" s="78" t="s">
        <v>352</v>
      </c>
      <c r="Q49" s="79" t="str">
        <f t="shared" ref="Q49:AF49" si="31">RIGHT(INDEX($D$4:$D$141,MATCH(Q14,$B$4:$B$141,0)),2)</f>
        <v/>
      </c>
      <c r="R49" s="79" t="str">
        <f t="shared" si="31"/>
        <v/>
      </c>
      <c r="S49" s="79" t="str">
        <f t="shared" si="31"/>
        <v/>
      </c>
      <c r="T49" s="79" t="str">
        <f t="shared" si="31"/>
        <v>03</v>
      </c>
      <c r="U49" s="79" t="str">
        <f t="shared" si="31"/>
        <v/>
      </c>
      <c r="V49" s="79" t="str">
        <f t="shared" si="31"/>
        <v/>
      </c>
      <c r="W49" s="79" t="str">
        <f t="shared" si="31"/>
        <v/>
      </c>
      <c r="X49" s="79" t="str">
        <f t="shared" si="31"/>
        <v/>
      </c>
      <c r="Y49" s="79" t="str">
        <f t="shared" si="31"/>
        <v/>
      </c>
      <c r="Z49" s="79" t="str">
        <f t="shared" si="31"/>
        <v/>
      </c>
      <c r="AA49" s="79" t="str">
        <f t="shared" si="31"/>
        <v/>
      </c>
      <c r="AB49" s="79" t="str">
        <f t="shared" si="31"/>
        <v/>
      </c>
      <c r="AC49" s="79" t="str">
        <f t="shared" si="31"/>
        <v/>
      </c>
      <c r="AD49" s="79" t="str">
        <f t="shared" si="31"/>
        <v/>
      </c>
      <c r="AE49" s="79" t="str">
        <f t="shared" si="31"/>
        <v>00</v>
      </c>
      <c r="AF49" s="79" t="str">
        <f t="shared" si="31"/>
        <v>00</v>
      </c>
    </row>
    <row r="50" spans="2:32" x14ac:dyDescent="0.3">
      <c r="B50" s="40">
        <v>46</v>
      </c>
      <c r="C50" s="40" t="str">
        <f t="shared" si="1"/>
        <v>0x02E</v>
      </c>
      <c r="D50" s="64" t="s">
        <v>109</v>
      </c>
      <c r="E50" s="43" t="s">
        <v>110</v>
      </c>
      <c r="F50" s="44"/>
      <c r="G50" s="45"/>
      <c r="I50" s="40">
        <v>46</v>
      </c>
      <c r="J50" s="40" t="str">
        <f t="shared" si="2"/>
        <v>0x02E</v>
      </c>
      <c r="K50" s="64" t="s">
        <v>319</v>
      </c>
      <c r="L50" s="43" t="s">
        <v>110</v>
      </c>
      <c r="M50" s="44"/>
      <c r="N50" s="45"/>
      <c r="P50" s="78" t="s">
        <v>353</v>
      </c>
      <c r="Q50" s="79" t="str">
        <f t="shared" ref="Q50:AF50" si="32">RIGHT(INDEX($D$4:$D$141,MATCH(Q15,$B$4:$B$141,0)),2)</f>
        <v>00</v>
      </c>
      <c r="R50" s="79" t="str">
        <f t="shared" si="32"/>
        <v>00</v>
      </c>
      <c r="S50" s="79" t="str">
        <f t="shared" si="32"/>
        <v>00</v>
      </c>
      <c r="T50" s="79" t="str">
        <f t="shared" si="32"/>
        <v>00</v>
      </c>
      <c r="U50" s="79" t="str">
        <f t="shared" si="32"/>
        <v>00</v>
      </c>
      <c r="V50" s="79" t="str">
        <f t="shared" si="32"/>
        <v>00</v>
      </c>
      <c r="W50" s="79" t="str">
        <f t="shared" si="32"/>
        <v/>
      </c>
      <c r="X50" s="79" t="str">
        <f t="shared" si="32"/>
        <v/>
      </c>
      <c r="Y50" s="79" t="str">
        <f t="shared" si="32"/>
        <v/>
      </c>
      <c r="Z50" s="79" t="str">
        <f t="shared" si="32"/>
        <v/>
      </c>
      <c r="AA50" s="79" t="str">
        <f t="shared" si="32"/>
        <v>04</v>
      </c>
      <c r="AB50" s="79" t="str">
        <f t="shared" si="32"/>
        <v/>
      </c>
      <c r="AC50" s="79" t="str">
        <f t="shared" si="32"/>
        <v/>
      </c>
      <c r="AD50" s="79" t="str">
        <f t="shared" si="32"/>
        <v/>
      </c>
      <c r="AE50" s="79" t="str">
        <f t="shared" si="32"/>
        <v/>
      </c>
      <c r="AF50" s="79" t="str">
        <f t="shared" si="32"/>
        <v/>
      </c>
    </row>
    <row r="51" spans="2:32" x14ac:dyDescent="0.3">
      <c r="B51" s="40">
        <v>47</v>
      </c>
      <c r="C51" s="40" t="str">
        <f t="shared" si="1"/>
        <v>0x02F</v>
      </c>
      <c r="D51" s="65"/>
      <c r="E51" s="43" t="s">
        <v>111</v>
      </c>
      <c r="F51" s="44"/>
      <c r="G51" s="45"/>
      <c r="I51" s="40">
        <v>47</v>
      </c>
      <c r="J51" s="40" t="str">
        <f t="shared" si="2"/>
        <v>0x02F</v>
      </c>
      <c r="K51" s="65"/>
      <c r="L51" s="43" t="s">
        <v>111</v>
      </c>
      <c r="M51" s="44"/>
      <c r="N51" s="45"/>
      <c r="P51" s="78" t="s">
        <v>354</v>
      </c>
      <c r="Q51" s="79" t="str">
        <f t="shared" ref="Q51:AF51" si="33">RIGHT(INDEX($D$4:$D$141,MATCH(Q16,$B$4:$B$141,0)),2)</f>
        <v/>
      </c>
      <c r="R51" s="79" t="str">
        <f t="shared" si="33"/>
        <v/>
      </c>
      <c r="S51" s="79" t="str">
        <f t="shared" si="33"/>
        <v/>
      </c>
      <c r="T51" s="79" t="str">
        <f t="shared" si="33"/>
        <v/>
      </c>
      <c r="U51" s="79" t="str">
        <f t="shared" si="33"/>
        <v/>
      </c>
      <c r="V51" s="79" t="str">
        <f t="shared" si="33"/>
        <v>00</v>
      </c>
      <c r="W51" s="79" t="str">
        <f t="shared" si="33"/>
        <v>00</v>
      </c>
      <c r="X51" s="79" t="str">
        <f t="shared" si="33"/>
        <v>00</v>
      </c>
      <c r="Y51" s="79" t="str">
        <f t="shared" si="33"/>
        <v>00</v>
      </c>
      <c r="Z51" s="79" t="str">
        <f t="shared" si="33"/>
        <v>00</v>
      </c>
      <c r="AA51" s="79" t="str">
        <f t="shared" si="33"/>
        <v>00</v>
      </c>
      <c r="AB51" s="79" t="str">
        <f t="shared" si="33"/>
        <v>00</v>
      </c>
      <c r="AC51" s="79" t="str">
        <f t="shared" si="33"/>
        <v>00</v>
      </c>
      <c r="AD51" s="79" t="str">
        <f t="shared" si="33"/>
        <v/>
      </c>
      <c r="AE51" s="79" t="str">
        <f t="shared" si="33"/>
        <v/>
      </c>
      <c r="AF51" s="79" t="str">
        <f t="shared" si="33"/>
        <v/>
      </c>
    </row>
    <row r="52" spans="2:32" x14ac:dyDescent="0.3">
      <c r="B52" s="40">
        <v>48</v>
      </c>
      <c r="C52" s="40" t="str">
        <f t="shared" si="1"/>
        <v>0x030</v>
      </c>
      <c r="D52" s="64" t="s">
        <v>112</v>
      </c>
      <c r="E52" s="43" t="s">
        <v>113</v>
      </c>
      <c r="F52" s="44"/>
      <c r="G52" s="45"/>
      <c r="I52" s="40">
        <v>48</v>
      </c>
      <c r="J52" s="40" t="str">
        <f t="shared" si="2"/>
        <v>0x030</v>
      </c>
      <c r="K52" s="64" t="s">
        <v>51</v>
      </c>
      <c r="L52" s="43" t="s">
        <v>234</v>
      </c>
      <c r="M52" s="44"/>
      <c r="N52" s="45"/>
      <c r="P52" s="78" t="s">
        <v>355</v>
      </c>
      <c r="Q52" s="79" t="str">
        <f t="shared" ref="Q52:AF52" si="34">RIGHT(INDEX($D$4:$D$141,MATCH(Q17,$B$4:$B$141,0)),2)</f>
        <v/>
      </c>
      <c r="R52" s="79" t="str">
        <f t="shared" si="34"/>
        <v>05</v>
      </c>
      <c r="S52" s="79" t="str">
        <f t="shared" si="34"/>
        <v/>
      </c>
      <c r="T52" s="79" t="str">
        <f t="shared" si="34"/>
        <v/>
      </c>
      <c r="U52" s="79" t="str">
        <f t="shared" si="34"/>
        <v/>
      </c>
      <c r="V52" s="79" t="str">
        <f t="shared" si="34"/>
        <v/>
      </c>
      <c r="W52" s="79" t="str">
        <f t="shared" si="34"/>
        <v/>
      </c>
      <c r="X52" s="79" t="str">
        <f t="shared" si="34"/>
        <v/>
      </c>
      <c r="Y52" s="79" t="str">
        <f t="shared" si="34"/>
        <v/>
      </c>
      <c r="Z52" s="79" t="str">
        <f t="shared" si="34"/>
        <v/>
      </c>
      <c r="AA52" s="79" t="str">
        <f t="shared" si="34"/>
        <v/>
      </c>
      <c r="AB52" s="79" t="str">
        <f t="shared" si="34"/>
        <v/>
      </c>
      <c r="AC52" s="79" t="str">
        <f t="shared" si="34"/>
        <v>00</v>
      </c>
      <c r="AD52" s="79" t="str">
        <f t="shared" si="34"/>
        <v>00</v>
      </c>
      <c r="AE52" s="79" t="str">
        <f t="shared" si="34"/>
        <v>00</v>
      </c>
      <c r="AF52" s="79" t="str">
        <f t="shared" si="34"/>
        <v>00</v>
      </c>
    </row>
    <row r="53" spans="2:32" x14ac:dyDescent="0.3">
      <c r="B53" s="40">
        <v>49</v>
      </c>
      <c r="C53" s="40" t="str">
        <f t="shared" si="1"/>
        <v>0x031</v>
      </c>
      <c r="D53" s="64" t="s">
        <v>75</v>
      </c>
      <c r="E53" s="43" t="s">
        <v>114</v>
      </c>
      <c r="F53" s="44"/>
      <c r="G53" s="45"/>
      <c r="I53" s="40">
        <v>49</v>
      </c>
      <c r="J53" s="40" t="str">
        <f t="shared" si="2"/>
        <v>0x031</v>
      </c>
      <c r="K53" s="64" t="s">
        <v>75</v>
      </c>
      <c r="L53" s="43" t="s">
        <v>114</v>
      </c>
      <c r="M53" s="44"/>
      <c r="N53" s="45"/>
      <c r="P53" s="78" t="s">
        <v>356</v>
      </c>
      <c r="Q53" s="79" t="str">
        <f t="shared" ref="Q53:AF53" si="35">RIGHT(INDEX($D$4:$D$141,MATCH(Q18,$B$4:$B$141,0)),2)</f>
        <v>00</v>
      </c>
      <c r="R53" s="79" t="str">
        <f t="shared" si="35"/>
        <v>00</v>
      </c>
      <c r="S53" s="79" t="str">
        <f t="shared" si="35"/>
        <v>00</v>
      </c>
      <c r="T53" s="79" t="str">
        <f t="shared" si="35"/>
        <v>00</v>
      </c>
      <c r="U53" s="79" t="str">
        <f t="shared" si="35"/>
        <v/>
      </c>
      <c r="V53" s="79" t="str">
        <f t="shared" si="35"/>
        <v/>
      </c>
      <c r="W53" s="79" t="str">
        <f t="shared" si="35"/>
        <v/>
      </c>
      <c r="X53" s="79" t="str">
        <f t="shared" si="35"/>
        <v/>
      </c>
      <c r="Y53" s="79" t="str">
        <f t="shared" si="35"/>
        <v>06</v>
      </c>
      <c r="Z53" s="79" t="str">
        <f t="shared" si="35"/>
        <v/>
      </c>
      <c r="AA53" s="79" t="str">
        <f t="shared" si="35"/>
        <v/>
      </c>
      <c r="AB53" s="79" t="str">
        <f t="shared" si="35"/>
        <v/>
      </c>
      <c r="AC53" s="79" t="str">
        <f t="shared" si="35"/>
        <v/>
      </c>
      <c r="AD53" s="79" t="str">
        <f t="shared" si="35"/>
        <v/>
      </c>
      <c r="AE53" s="79" t="str">
        <f t="shared" si="35"/>
        <v/>
      </c>
      <c r="AF53" s="79" t="str">
        <f t="shared" si="35"/>
        <v/>
      </c>
    </row>
    <row r="54" spans="2:32" x14ac:dyDescent="0.3">
      <c r="B54" s="40">
        <v>50</v>
      </c>
      <c r="C54" s="40" t="str">
        <f t="shared" si="1"/>
        <v>0x032</v>
      </c>
      <c r="D54" s="64" t="s">
        <v>115</v>
      </c>
      <c r="E54" s="43" t="s">
        <v>116</v>
      </c>
      <c r="F54" s="44"/>
      <c r="G54" s="45"/>
      <c r="I54" s="40">
        <v>50</v>
      </c>
      <c r="J54" s="40" t="str">
        <f t="shared" si="2"/>
        <v>0x032</v>
      </c>
      <c r="K54" s="64" t="s">
        <v>115</v>
      </c>
      <c r="L54" s="43" t="s">
        <v>116</v>
      </c>
      <c r="M54" s="44"/>
      <c r="N54" s="45"/>
      <c r="P54" s="78" t="s">
        <v>357</v>
      </c>
      <c r="Q54" s="79" t="str">
        <f t="shared" ref="Q54:AF54" si="36">RIGHT(INDEX($D$4:$D$141,MATCH(Q19,$B$4:$B$141,0)),2)</f>
        <v/>
      </c>
      <c r="R54" s="79" t="str">
        <f t="shared" si="36"/>
        <v/>
      </c>
      <c r="S54" s="79" t="str">
        <f t="shared" si="36"/>
        <v/>
      </c>
      <c r="T54" s="79" t="str">
        <f t="shared" si="36"/>
        <v>00</v>
      </c>
      <c r="U54" s="79" t="str">
        <f t="shared" si="36"/>
        <v>00</v>
      </c>
      <c r="V54" s="79" t="str">
        <f t="shared" si="36"/>
        <v>00</v>
      </c>
      <c r="W54" s="79" t="str">
        <f t="shared" si="36"/>
        <v>00</v>
      </c>
      <c r="X54" s="79" t="str">
        <f t="shared" si="36"/>
        <v>00</v>
      </c>
      <c r="Y54" s="79" t="str">
        <f t="shared" si="36"/>
        <v>00</v>
      </c>
      <c r="Z54" s="79" t="str">
        <f t="shared" si="36"/>
        <v>00</v>
      </c>
      <c r="AA54" s="79" t="str">
        <f t="shared" si="36"/>
        <v>00</v>
      </c>
      <c r="AB54" s="79" t="str">
        <f t="shared" si="36"/>
        <v/>
      </c>
      <c r="AC54" s="79" t="str">
        <f t="shared" si="36"/>
        <v/>
      </c>
      <c r="AD54" s="79" t="str">
        <f t="shared" si="36"/>
        <v/>
      </c>
      <c r="AE54" s="79" t="str">
        <f t="shared" si="36"/>
        <v/>
      </c>
      <c r="AF54" s="79" t="str">
        <f t="shared" si="36"/>
        <v>07</v>
      </c>
    </row>
    <row r="55" spans="2:32" x14ac:dyDescent="0.3">
      <c r="B55" s="40">
        <v>51</v>
      </c>
      <c r="C55" s="40" t="str">
        <f t="shared" si="1"/>
        <v>0x033</v>
      </c>
      <c r="D55" s="64" t="s">
        <v>117</v>
      </c>
      <c r="E55" s="43" t="s">
        <v>118</v>
      </c>
      <c r="F55" s="44"/>
      <c r="G55" s="45"/>
      <c r="I55" s="40">
        <v>51</v>
      </c>
      <c r="J55" s="40" t="str">
        <f t="shared" si="2"/>
        <v>0x033</v>
      </c>
      <c r="K55" s="64" t="s">
        <v>117</v>
      </c>
      <c r="L55" s="43" t="s">
        <v>118</v>
      </c>
      <c r="M55" s="44"/>
      <c r="N55" s="45"/>
      <c r="P55" s="78" t="s">
        <v>358</v>
      </c>
      <c r="Q55" s="79" t="str">
        <f t="shared" ref="Q55:AF55" si="37">RIGHT(INDEX($D$4:$D$141,MATCH(Q20,$B$4:$B$141,0)),2)</f>
        <v/>
      </c>
      <c r="R55" s="79" t="str">
        <f t="shared" si="37"/>
        <v/>
      </c>
      <c r="S55" s="79" t="str">
        <f t="shared" si="37"/>
        <v/>
      </c>
      <c r="T55" s="79" t="str">
        <f t="shared" si="37"/>
        <v/>
      </c>
      <c r="U55" s="79" t="str">
        <f t="shared" si="37"/>
        <v/>
      </c>
      <c r="V55" s="79" t="str">
        <f t="shared" si="37"/>
        <v/>
      </c>
      <c r="W55" s="79" t="str">
        <f t="shared" si="37"/>
        <v/>
      </c>
      <c r="X55" s="79" t="str">
        <f t="shared" si="37"/>
        <v/>
      </c>
      <c r="Y55" s="79" t="str">
        <f t="shared" si="37"/>
        <v/>
      </c>
      <c r="Z55" s="79" t="str">
        <f t="shared" si="37"/>
        <v/>
      </c>
      <c r="AA55" s="79" t="str">
        <f t="shared" si="37"/>
        <v>00</v>
      </c>
      <c r="AB55" s="79" t="str">
        <f t="shared" si="37"/>
        <v>00</v>
      </c>
      <c r="AC55" s="79" t="str">
        <f t="shared" si="37"/>
        <v>00</v>
      </c>
      <c r="AD55" s="79" t="str">
        <f t="shared" si="37"/>
        <v>00</v>
      </c>
      <c r="AE55" s="79" t="str">
        <f t="shared" si="37"/>
        <v>00</v>
      </c>
      <c r="AF55" s="79" t="str">
        <f t="shared" si="37"/>
        <v>00</v>
      </c>
    </row>
    <row r="56" spans="2:32" x14ac:dyDescent="0.3">
      <c r="B56" s="40">
        <v>52</v>
      </c>
      <c r="C56" s="40" t="str">
        <f t="shared" si="1"/>
        <v>0x034</v>
      </c>
      <c r="D56" s="64" t="s">
        <v>49</v>
      </c>
      <c r="E56" s="43" t="s">
        <v>119</v>
      </c>
      <c r="F56" s="44"/>
      <c r="G56" s="45"/>
      <c r="I56" s="40">
        <v>52</v>
      </c>
      <c r="J56" s="40" t="str">
        <f t="shared" si="2"/>
        <v>0x034</v>
      </c>
      <c r="K56" s="64" t="s">
        <v>100</v>
      </c>
      <c r="L56" s="43" t="s">
        <v>119</v>
      </c>
      <c r="M56" s="44"/>
      <c r="N56" s="45"/>
      <c r="P56" s="78" t="s">
        <v>359</v>
      </c>
      <c r="Q56" s="79" t="str">
        <f t="shared" ref="Q56:AF56" si="38">RIGHT(INDEX($D$4:$D$141,MATCH(Q21,$B$4:$B$141,0)),2)</f>
        <v>00</v>
      </c>
      <c r="R56" s="79" t="str">
        <f t="shared" si="38"/>
        <v>00</v>
      </c>
      <c r="S56" s="79" t="str">
        <f t="shared" si="38"/>
        <v/>
      </c>
      <c r="T56" s="79" t="str">
        <f t="shared" si="38"/>
        <v/>
      </c>
      <c r="U56" s="79" t="str">
        <f t="shared" si="38"/>
        <v/>
      </c>
      <c r="V56" s="79" t="str">
        <f t="shared" si="38"/>
        <v/>
      </c>
      <c r="W56" s="79" t="str">
        <f t="shared" si="38"/>
        <v>08</v>
      </c>
      <c r="X56" s="79" t="str">
        <f t="shared" si="38"/>
        <v/>
      </c>
      <c r="Y56" s="79" t="str">
        <f t="shared" si="38"/>
        <v/>
      </c>
      <c r="Z56" s="79" t="str">
        <f t="shared" si="38"/>
        <v/>
      </c>
      <c r="AA56" s="79" t="str">
        <f t="shared" si="38"/>
        <v/>
      </c>
      <c r="AB56" s="79" t="str">
        <f t="shared" si="38"/>
        <v/>
      </c>
      <c r="AC56" s="79" t="str">
        <f t="shared" si="38"/>
        <v/>
      </c>
      <c r="AD56" s="79" t="str">
        <f t="shared" si="38"/>
        <v/>
      </c>
      <c r="AE56" s="79" t="str">
        <f t="shared" si="38"/>
        <v/>
      </c>
      <c r="AF56" s="79" t="str">
        <f t="shared" si="38"/>
        <v/>
      </c>
    </row>
    <row r="57" spans="2:32" x14ac:dyDescent="0.3">
      <c r="B57" s="40">
        <v>53</v>
      </c>
      <c r="C57" s="40" t="str">
        <f t="shared" si="1"/>
        <v>0x035</v>
      </c>
      <c r="D57" s="64" t="s">
        <v>120</v>
      </c>
      <c r="E57" s="43" t="s">
        <v>121</v>
      </c>
      <c r="F57" s="44"/>
      <c r="G57" s="45"/>
      <c r="I57" s="40">
        <v>53</v>
      </c>
      <c r="J57" s="40" t="str">
        <f t="shared" si="2"/>
        <v>0x035</v>
      </c>
      <c r="K57" s="64" t="s">
        <v>120</v>
      </c>
      <c r="L57" s="43" t="s">
        <v>121</v>
      </c>
      <c r="M57" s="44"/>
      <c r="N57" s="45"/>
      <c r="P57" s="78" t="s">
        <v>360</v>
      </c>
      <c r="Q57" s="79" t="str">
        <f t="shared" ref="Q57:AF57" si="39">RIGHT(INDEX($D$4:$D$141,MATCH(Q22,$B$4:$B$141,0)),2)</f>
        <v/>
      </c>
      <c r="R57" s="79" t="str">
        <f t="shared" si="39"/>
        <v>00</v>
      </c>
      <c r="S57" s="79" t="str">
        <f t="shared" si="39"/>
        <v>00</v>
      </c>
      <c r="T57" s="79" t="str">
        <f t="shared" si="39"/>
        <v>00</v>
      </c>
      <c r="U57" s="79" t="str">
        <f t="shared" si="39"/>
        <v>00</v>
      </c>
      <c r="V57" s="79" t="str">
        <f t="shared" si="39"/>
        <v>00</v>
      </c>
      <c r="W57" s="79" t="str">
        <f t="shared" si="39"/>
        <v>00</v>
      </c>
      <c r="X57" s="79" t="str">
        <f t="shared" si="39"/>
        <v>00</v>
      </c>
      <c r="Y57" s="79" t="str">
        <f t="shared" si="39"/>
        <v>00</v>
      </c>
      <c r="Z57" s="79" t="str">
        <f t="shared" si="39"/>
        <v/>
      </c>
      <c r="AA57" s="79" t="str">
        <f t="shared" si="39"/>
        <v/>
      </c>
      <c r="AB57" s="79" t="str">
        <f t="shared" si="39"/>
        <v/>
      </c>
      <c r="AC57" s="79" t="str">
        <f t="shared" si="39"/>
        <v/>
      </c>
      <c r="AD57" s="79" t="str">
        <f t="shared" si="39"/>
        <v>09</v>
      </c>
      <c r="AE57" s="79" t="str">
        <f t="shared" si="39"/>
        <v/>
      </c>
      <c r="AF57" s="79" t="str">
        <f t="shared" si="39"/>
        <v/>
      </c>
    </row>
    <row r="58" spans="2:32" x14ac:dyDescent="0.3">
      <c r="B58" s="40">
        <v>54</v>
      </c>
      <c r="C58" s="40" t="str">
        <f t="shared" si="1"/>
        <v>0x036</v>
      </c>
      <c r="D58" s="64" t="s">
        <v>122</v>
      </c>
      <c r="E58" s="43" t="s">
        <v>123</v>
      </c>
      <c r="F58" s="44"/>
      <c r="G58" s="45"/>
      <c r="I58" s="40">
        <v>54</v>
      </c>
      <c r="J58" s="40" t="str">
        <f t="shared" si="2"/>
        <v>0x036</v>
      </c>
      <c r="K58" s="64" t="s">
        <v>122</v>
      </c>
      <c r="L58" s="43" t="s">
        <v>123</v>
      </c>
      <c r="M58" s="44"/>
      <c r="N58" s="45"/>
      <c r="P58" s="78" t="s">
        <v>361</v>
      </c>
      <c r="Q58" s="79" t="str">
        <f t="shared" ref="Q58:AF58" si="40">RIGHT(INDEX($D$4:$D$141,MATCH(Q23,$B$4:$B$141,0)),2)</f>
        <v/>
      </c>
      <c r="R58" s="79" t="str">
        <f t="shared" si="40"/>
        <v/>
      </c>
      <c r="S58" s="79" t="str">
        <f t="shared" si="40"/>
        <v/>
      </c>
      <c r="T58" s="79" t="str">
        <f t="shared" si="40"/>
        <v/>
      </c>
      <c r="U58" s="79" t="str">
        <f t="shared" si="40"/>
        <v/>
      </c>
      <c r="V58" s="79" t="str">
        <f t="shared" si="40"/>
        <v/>
      </c>
      <c r="W58" s="79" t="str">
        <f t="shared" si="40"/>
        <v/>
      </c>
      <c r="X58" s="79" t="str">
        <f t="shared" si="40"/>
        <v/>
      </c>
      <c r="Y58" s="79" t="str">
        <f t="shared" si="40"/>
        <v>00</v>
      </c>
      <c r="Z58" s="79" t="str">
        <f t="shared" si="40"/>
        <v>00</v>
      </c>
      <c r="AA58" s="79" t="str">
        <f t="shared" si="40"/>
        <v>00</v>
      </c>
      <c r="AB58" s="79" t="str">
        <f t="shared" si="40"/>
        <v>00</v>
      </c>
      <c r="AC58" s="79" t="str">
        <f t="shared" si="40"/>
        <v>00</v>
      </c>
      <c r="AD58" s="79" t="str">
        <f t="shared" si="40"/>
        <v>00</v>
      </c>
      <c r="AE58" s="79" t="str">
        <f t="shared" si="40"/>
        <v>00</v>
      </c>
      <c r="AF58" s="79" t="str">
        <f t="shared" si="40"/>
        <v>00</v>
      </c>
    </row>
    <row r="59" spans="2:32" x14ac:dyDescent="0.3">
      <c r="B59" s="40">
        <v>55</v>
      </c>
      <c r="C59" s="40" t="str">
        <f t="shared" si="1"/>
        <v>0x037</v>
      </c>
      <c r="D59" s="64" t="s">
        <v>49</v>
      </c>
      <c r="E59" s="43" t="s">
        <v>124</v>
      </c>
      <c r="F59" s="44"/>
      <c r="G59" s="45"/>
      <c r="I59" s="40">
        <v>55</v>
      </c>
      <c r="J59" s="40" t="str">
        <f t="shared" si="2"/>
        <v>0x037</v>
      </c>
      <c r="K59" s="64" t="s">
        <v>49</v>
      </c>
      <c r="L59" s="43" t="s">
        <v>124</v>
      </c>
      <c r="M59" s="44"/>
      <c r="N59" s="45"/>
      <c r="P59" s="78" t="s">
        <v>362</v>
      </c>
      <c r="Q59" s="79" t="str">
        <f t="shared" ref="Q59:AF59" si="41">RIGHT(INDEX($D$4:$D$141,MATCH(Q24,$B$4:$B$141,0)),2)</f>
        <v/>
      </c>
      <c r="R59" s="79" t="str">
        <f t="shared" si="41"/>
        <v/>
      </c>
      <c r="S59" s="79" t="str">
        <f t="shared" si="41"/>
        <v/>
      </c>
      <c r="T59" s="79" t="str">
        <f t="shared" si="41"/>
        <v/>
      </c>
      <c r="U59" s="79" t="str">
        <f t="shared" si="41"/>
        <v>0A</v>
      </c>
      <c r="V59" s="79" t="str">
        <f t="shared" si="41"/>
        <v/>
      </c>
      <c r="W59" s="79" t="str">
        <f t="shared" si="41"/>
        <v/>
      </c>
      <c r="X59" s="79" t="str">
        <f t="shared" si="41"/>
        <v/>
      </c>
      <c r="Y59" s="79" t="str">
        <f t="shared" si="41"/>
        <v/>
      </c>
      <c r="Z59" s="79" t="str">
        <f t="shared" si="41"/>
        <v/>
      </c>
      <c r="AA59" s="79" t="str">
        <f t="shared" si="41"/>
        <v/>
      </c>
      <c r="AB59" s="79" t="str">
        <f t="shared" si="41"/>
        <v/>
      </c>
      <c r="AC59" s="79" t="str">
        <f t="shared" si="41"/>
        <v/>
      </c>
      <c r="AD59" s="79" t="str">
        <f t="shared" si="41"/>
        <v/>
      </c>
      <c r="AE59" s="79" t="str">
        <f t="shared" si="41"/>
        <v/>
      </c>
      <c r="AF59" s="79" t="str">
        <f t="shared" si="41"/>
        <v>00</v>
      </c>
    </row>
    <row r="60" spans="2:32" x14ac:dyDescent="0.3">
      <c r="B60" s="40">
        <v>56</v>
      </c>
      <c r="C60" s="40" t="str">
        <f t="shared" si="1"/>
        <v>0x038</v>
      </c>
      <c r="D60" s="64" t="s">
        <v>85</v>
      </c>
      <c r="E60" s="43" t="s">
        <v>125</v>
      </c>
      <c r="F60" s="44"/>
      <c r="G60" s="45"/>
      <c r="I60" s="40">
        <v>56</v>
      </c>
      <c r="J60" s="40" t="str">
        <f t="shared" si="2"/>
        <v>0x038</v>
      </c>
      <c r="K60" s="64" t="s">
        <v>320</v>
      </c>
      <c r="L60" s="43" t="s">
        <v>125</v>
      </c>
      <c r="M60" s="44"/>
      <c r="N60" s="45"/>
      <c r="P60" s="78" t="s">
        <v>363</v>
      </c>
      <c r="Q60" s="79" t="str">
        <f t="shared" ref="Q60:AF60" si="42">RIGHT(INDEX($D$4:$D$141,MATCH(Q25,$B$4:$B$141,0)),2)</f>
        <v>00</v>
      </c>
      <c r="R60" s="79" t="str">
        <f t="shared" si="42"/>
        <v>00</v>
      </c>
      <c r="S60" s="79" t="str">
        <f t="shared" si="42"/>
        <v>00</v>
      </c>
      <c r="T60" s="79" t="str">
        <f t="shared" si="42"/>
        <v>00</v>
      </c>
      <c r="U60" s="79" t="str">
        <f t="shared" si="42"/>
        <v>00</v>
      </c>
      <c r="V60" s="79" t="str">
        <f t="shared" si="42"/>
        <v>00</v>
      </c>
      <c r="W60" s="79" t="str">
        <f t="shared" si="42"/>
        <v>00</v>
      </c>
      <c r="X60" s="79" t="str">
        <f t="shared" si="42"/>
        <v/>
      </c>
      <c r="Y60" s="79" t="str">
        <f t="shared" si="42"/>
        <v/>
      </c>
      <c r="Z60" s="79" t="str">
        <f t="shared" si="42"/>
        <v/>
      </c>
      <c r="AA60" s="79" t="str">
        <f t="shared" si="42"/>
        <v/>
      </c>
      <c r="AB60" s="79" t="str">
        <f t="shared" si="42"/>
        <v>0B</v>
      </c>
      <c r="AC60" s="79" t="str">
        <f t="shared" si="42"/>
        <v/>
      </c>
      <c r="AD60" s="79" t="str">
        <f t="shared" si="42"/>
        <v/>
      </c>
      <c r="AE60" s="79" t="str">
        <f t="shared" si="42"/>
        <v/>
      </c>
      <c r="AF60" s="79" t="str">
        <f t="shared" si="42"/>
        <v/>
      </c>
    </row>
    <row r="61" spans="2:32" x14ac:dyDescent="0.3">
      <c r="B61" s="40">
        <v>57</v>
      </c>
      <c r="C61" s="40" t="str">
        <f t="shared" si="1"/>
        <v>0x039</v>
      </c>
      <c r="D61" s="64" t="s">
        <v>126</v>
      </c>
      <c r="E61" s="43" t="s">
        <v>127</v>
      </c>
      <c r="F61" s="44"/>
      <c r="G61" s="45"/>
      <c r="I61" s="40">
        <v>57</v>
      </c>
      <c r="J61" s="40" t="str">
        <f t="shared" si="2"/>
        <v>0x039</v>
      </c>
      <c r="K61" s="64" t="s">
        <v>126</v>
      </c>
      <c r="L61" s="43" t="s">
        <v>127</v>
      </c>
      <c r="M61" s="44"/>
      <c r="N61" s="45"/>
      <c r="P61" s="78" t="s">
        <v>364</v>
      </c>
      <c r="Q61" s="79" t="str">
        <f t="shared" ref="Q61:AF61" si="43">RIGHT(INDEX($D$4:$D$141,MATCH(Q26,$B$4:$B$141,0)),2)</f>
        <v/>
      </c>
      <c r="R61" s="79" t="str">
        <f t="shared" si="43"/>
        <v/>
      </c>
      <c r="S61" s="79" t="str">
        <f t="shared" si="43"/>
        <v/>
      </c>
      <c r="T61" s="79" t="str">
        <f t="shared" si="43"/>
        <v/>
      </c>
      <c r="U61" s="79" t="str">
        <f t="shared" si="43"/>
        <v/>
      </c>
      <c r="V61" s="79" t="str">
        <f t="shared" si="43"/>
        <v/>
      </c>
      <c r="W61" s="79" t="str">
        <f t="shared" si="43"/>
        <v>00</v>
      </c>
      <c r="X61" s="79" t="str">
        <f t="shared" si="43"/>
        <v>00</v>
      </c>
      <c r="Y61" s="79" t="str">
        <f t="shared" si="43"/>
        <v>00</v>
      </c>
      <c r="Z61" s="79" t="str">
        <f t="shared" si="43"/>
        <v>00</v>
      </c>
      <c r="AA61" s="79" t="str">
        <f t="shared" si="43"/>
        <v>00</v>
      </c>
      <c r="AB61" s="79" t="str">
        <f t="shared" si="43"/>
        <v>00</v>
      </c>
      <c r="AC61" s="79" t="str">
        <f t="shared" si="43"/>
        <v>00</v>
      </c>
      <c r="AD61" s="79" t="str">
        <f t="shared" si="43"/>
        <v>00</v>
      </c>
      <c r="AE61" s="79" t="str">
        <f t="shared" si="43"/>
        <v/>
      </c>
      <c r="AF61" s="79" t="str">
        <f t="shared" si="43"/>
        <v/>
      </c>
    </row>
    <row r="62" spans="2:32" x14ac:dyDescent="0.3">
      <c r="B62" s="40">
        <v>58</v>
      </c>
      <c r="C62" s="40" t="str">
        <f t="shared" si="1"/>
        <v>0x03A</v>
      </c>
      <c r="D62" s="64" t="s">
        <v>51</v>
      </c>
      <c r="E62" s="43" t="s">
        <v>128</v>
      </c>
      <c r="F62" s="44"/>
      <c r="G62" s="45"/>
      <c r="I62" s="40">
        <v>58</v>
      </c>
      <c r="J62" s="40" t="str">
        <f t="shared" si="2"/>
        <v>0x03A</v>
      </c>
      <c r="K62" s="64" t="s">
        <v>51</v>
      </c>
      <c r="L62" s="43" t="s">
        <v>128</v>
      </c>
      <c r="M62" s="44"/>
      <c r="N62" s="45"/>
      <c r="P62" s="78" t="s">
        <v>365</v>
      </c>
      <c r="Q62" s="79" t="str">
        <f t="shared" ref="Q62:AF62" si="44">RIGHT(INDEX($D$4:$D$141,MATCH(Q27,$B$4:$B$141,0)),2)</f>
        <v/>
      </c>
      <c r="R62" s="79" t="str">
        <f t="shared" si="44"/>
        <v/>
      </c>
      <c r="S62" s="79" t="str">
        <f t="shared" si="44"/>
        <v>0C</v>
      </c>
      <c r="T62" s="79" t="str">
        <f t="shared" si="44"/>
        <v/>
      </c>
      <c r="U62" s="79" t="str">
        <f t="shared" si="44"/>
        <v/>
      </c>
      <c r="V62" s="79" t="str">
        <f t="shared" si="44"/>
        <v/>
      </c>
      <c r="W62" s="79" t="str">
        <f t="shared" si="44"/>
        <v/>
      </c>
      <c r="X62" s="79" t="str">
        <f t="shared" si="44"/>
        <v/>
      </c>
      <c r="Y62" s="79" t="str">
        <f t="shared" si="44"/>
        <v/>
      </c>
      <c r="Z62" s="79" t="str">
        <f t="shared" si="44"/>
        <v/>
      </c>
      <c r="AA62" s="79" t="str">
        <f t="shared" si="44"/>
        <v/>
      </c>
      <c r="AB62" s="79" t="str">
        <f t="shared" si="44"/>
        <v/>
      </c>
      <c r="AC62" s="79" t="str">
        <f t="shared" si="44"/>
        <v/>
      </c>
      <c r="AD62" s="79" t="str">
        <f t="shared" si="44"/>
        <v>00</v>
      </c>
      <c r="AE62" s="79" t="str">
        <f t="shared" si="44"/>
        <v>00</v>
      </c>
      <c r="AF62" s="79" t="str">
        <f t="shared" si="44"/>
        <v>00</v>
      </c>
    </row>
    <row r="63" spans="2:32" x14ac:dyDescent="0.3">
      <c r="B63" s="40">
        <v>59</v>
      </c>
      <c r="C63" s="40" t="str">
        <f t="shared" si="1"/>
        <v>0x03B</v>
      </c>
      <c r="D63" s="65"/>
      <c r="E63" s="43" t="s">
        <v>129</v>
      </c>
      <c r="F63" s="44"/>
      <c r="G63" s="45"/>
      <c r="I63" s="40">
        <v>59</v>
      </c>
      <c r="J63" s="40" t="str">
        <f t="shared" si="2"/>
        <v>0x03B</v>
      </c>
      <c r="K63" s="65"/>
      <c r="L63" s="43" t="s">
        <v>129</v>
      </c>
      <c r="M63" s="44"/>
      <c r="N63" s="45"/>
      <c r="P63" s="78" t="s">
        <v>366</v>
      </c>
      <c r="Q63" s="79" t="str">
        <f t="shared" ref="Q63:AF63" si="45">RIGHT(INDEX($D$4:$D$141,MATCH(Q28,$B$4:$B$141,0)),2)</f>
        <v>00</v>
      </c>
      <c r="R63" s="79" t="str">
        <f t="shared" si="45"/>
        <v>00</v>
      </c>
      <c r="S63" s="79" t="str">
        <f t="shared" si="45"/>
        <v>00</v>
      </c>
      <c r="T63" s="79" t="str">
        <f t="shared" si="45"/>
        <v>00</v>
      </c>
      <c r="U63" s="79" t="str">
        <f t="shared" si="45"/>
        <v>00</v>
      </c>
      <c r="V63" s="79" t="str">
        <f t="shared" si="45"/>
        <v/>
      </c>
      <c r="W63" s="79" t="str">
        <f t="shared" si="45"/>
        <v/>
      </c>
      <c r="X63" s="79" t="str">
        <f t="shared" si="45"/>
        <v/>
      </c>
      <c r="Y63" s="79" t="str">
        <f t="shared" si="45"/>
        <v/>
      </c>
      <c r="Z63" s="79" t="str">
        <f t="shared" si="45"/>
        <v>0D</v>
      </c>
      <c r="AA63" s="79" t="str">
        <f t="shared" si="45"/>
        <v/>
      </c>
      <c r="AB63" s="79" t="str">
        <f t="shared" si="45"/>
        <v/>
      </c>
      <c r="AC63" s="79" t="str">
        <f t="shared" si="45"/>
        <v/>
      </c>
      <c r="AD63" s="79" t="str">
        <f t="shared" si="45"/>
        <v/>
      </c>
      <c r="AE63" s="79" t="str">
        <f t="shared" si="45"/>
        <v/>
      </c>
      <c r="AF63" s="79" t="str">
        <f t="shared" si="45"/>
        <v/>
      </c>
    </row>
    <row r="64" spans="2:32" x14ac:dyDescent="0.3">
      <c r="B64" s="40">
        <v>60</v>
      </c>
      <c r="C64" s="40" t="str">
        <f t="shared" si="1"/>
        <v>0x03C</v>
      </c>
      <c r="D64" s="64" t="s">
        <v>130</v>
      </c>
      <c r="E64" s="43" t="s">
        <v>131</v>
      </c>
      <c r="F64" s="44"/>
      <c r="G64" s="45"/>
      <c r="I64" s="40">
        <v>60</v>
      </c>
      <c r="J64" s="40" t="str">
        <f t="shared" si="2"/>
        <v>0x03C</v>
      </c>
      <c r="K64" s="64" t="s">
        <v>130</v>
      </c>
      <c r="L64" s="43" t="s">
        <v>131</v>
      </c>
      <c r="M64" s="44"/>
      <c r="N64" s="45"/>
      <c r="P64" s="78" t="s">
        <v>367</v>
      </c>
      <c r="Q64" s="79" t="str">
        <f t="shared" ref="Q64:AF64" si="46">RIGHT(INDEX($D$4:$D$141,MATCH(Q29,$B$4:$B$141,0)),2)</f>
        <v/>
      </c>
      <c r="R64" s="79" t="str">
        <f t="shared" si="46"/>
        <v/>
      </c>
      <c r="S64" s="79" t="str">
        <f t="shared" si="46"/>
        <v/>
      </c>
      <c r="T64" s="79" t="str">
        <f t="shared" si="46"/>
        <v/>
      </c>
      <c r="U64" s="79" t="str">
        <f t="shared" si="46"/>
        <v>00</v>
      </c>
      <c r="V64" s="79" t="str">
        <f t="shared" si="46"/>
        <v>00</v>
      </c>
      <c r="W64" s="79" t="str">
        <f t="shared" si="46"/>
        <v>00</v>
      </c>
      <c r="X64" s="79" t="str">
        <f t="shared" si="46"/>
        <v>00</v>
      </c>
      <c r="Y64" s="79" t="str">
        <f t="shared" si="46"/>
        <v>00</v>
      </c>
      <c r="Z64" s="79" t="str">
        <f t="shared" si="46"/>
        <v>00</v>
      </c>
      <c r="AA64" s="79" t="str">
        <f t="shared" si="46"/>
        <v>00</v>
      </c>
      <c r="AB64" s="79" t="str">
        <f t="shared" si="46"/>
        <v>00</v>
      </c>
      <c r="AC64" s="79" t="str">
        <f t="shared" si="46"/>
        <v/>
      </c>
      <c r="AD64" s="79" t="str">
        <f t="shared" si="46"/>
        <v/>
      </c>
      <c r="AE64" s="79" t="str">
        <f t="shared" si="46"/>
        <v/>
      </c>
      <c r="AF64" s="79" t="str">
        <f t="shared" si="46"/>
        <v/>
      </c>
    </row>
    <row r="65" spans="2:32" x14ac:dyDescent="0.3">
      <c r="B65" s="40">
        <v>61</v>
      </c>
      <c r="C65" s="40" t="str">
        <f t="shared" si="1"/>
        <v>0x03D</v>
      </c>
      <c r="D65" s="64" t="s">
        <v>51</v>
      </c>
      <c r="E65" s="43" t="s">
        <v>132</v>
      </c>
      <c r="F65" s="44"/>
      <c r="G65" s="45"/>
      <c r="I65" s="40">
        <v>61</v>
      </c>
      <c r="J65" s="40" t="str">
        <f t="shared" si="2"/>
        <v>0x03D</v>
      </c>
      <c r="K65" s="64" t="s">
        <v>51</v>
      </c>
      <c r="L65" s="43" t="s">
        <v>132</v>
      </c>
      <c r="M65" s="44"/>
      <c r="N65" s="45"/>
      <c r="P65" s="78" t="s">
        <v>368</v>
      </c>
      <c r="Q65" s="79" t="str">
        <f t="shared" ref="Q65:AF65" si="47">RIGHT(INDEX($D$4:$D$141,MATCH(Q30,$B$4:$B$141,0)),2)</f>
        <v>0E</v>
      </c>
      <c r="R65" s="79" t="str">
        <f t="shared" si="47"/>
        <v/>
      </c>
      <c r="S65" s="79" t="str">
        <f t="shared" si="47"/>
        <v/>
      </c>
      <c r="T65" s="79" t="str">
        <f t="shared" si="47"/>
        <v/>
      </c>
      <c r="U65" s="79" t="str">
        <f t="shared" si="47"/>
        <v/>
      </c>
      <c r="V65" s="79" t="str">
        <f t="shared" si="47"/>
        <v/>
      </c>
      <c r="W65" s="79" t="str">
        <f t="shared" si="47"/>
        <v/>
      </c>
      <c r="X65" s="79" t="str">
        <f t="shared" si="47"/>
        <v/>
      </c>
      <c r="Y65" s="79" t="str">
        <f t="shared" si="47"/>
        <v/>
      </c>
      <c r="Z65" s="79" t="str">
        <f t="shared" si="47"/>
        <v/>
      </c>
      <c r="AA65" s="79" t="str">
        <f t="shared" si="47"/>
        <v/>
      </c>
      <c r="AB65" s="79" t="str">
        <f t="shared" si="47"/>
        <v>00</v>
      </c>
      <c r="AC65" s="79" t="str">
        <f t="shared" si="47"/>
        <v>00</v>
      </c>
      <c r="AD65" s="79" t="str">
        <f t="shared" si="47"/>
        <v>00</v>
      </c>
      <c r="AE65" s="79" t="str">
        <f t="shared" si="47"/>
        <v>00</v>
      </c>
      <c r="AF65" s="79" t="str">
        <f t="shared" si="47"/>
        <v>00</v>
      </c>
    </row>
    <row r="66" spans="2:32" x14ac:dyDescent="0.3">
      <c r="B66" s="40">
        <v>62</v>
      </c>
      <c r="C66" s="40" t="str">
        <f t="shared" si="1"/>
        <v>0x03E</v>
      </c>
      <c r="D66" s="64" t="s">
        <v>130</v>
      </c>
      <c r="E66" s="43" t="s">
        <v>133</v>
      </c>
      <c r="F66" s="44"/>
      <c r="G66" s="45"/>
      <c r="I66" s="40">
        <v>62</v>
      </c>
      <c r="J66" s="40" t="str">
        <f t="shared" si="2"/>
        <v>0x03E</v>
      </c>
      <c r="K66" s="64" t="s">
        <v>130</v>
      </c>
      <c r="L66" s="43" t="s">
        <v>133</v>
      </c>
      <c r="M66" s="44"/>
      <c r="N66" s="45"/>
      <c r="P66" s="78" t="s">
        <v>369</v>
      </c>
      <c r="Q66" s="79" t="str">
        <f t="shared" ref="Q66:AF66" si="48">RIGHT(INDEX($D$4:$D$141,MATCH(Q31,$B$4:$B$141,0)),2)</f>
        <v>00</v>
      </c>
      <c r="R66" s="79" t="str">
        <f t="shared" si="48"/>
        <v>00</v>
      </c>
      <c r="S66" s="79" t="str">
        <f t="shared" si="48"/>
        <v>00</v>
      </c>
      <c r="T66" s="79" t="str">
        <f t="shared" si="48"/>
        <v/>
      </c>
      <c r="U66" s="79" t="str">
        <f t="shared" si="48"/>
        <v/>
      </c>
      <c r="V66" s="79" t="str">
        <f t="shared" si="48"/>
        <v/>
      </c>
      <c r="W66" s="79" t="str">
        <f t="shared" si="48"/>
        <v/>
      </c>
      <c r="X66" s="79" t="str">
        <f t="shared" si="48"/>
        <v>0F</v>
      </c>
      <c r="Y66" s="79" t="str">
        <f t="shared" si="48"/>
        <v/>
      </c>
      <c r="Z66" s="79" t="str">
        <f t="shared" si="48"/>
        <v/>
      </c>
      <c r="AA66" s="79" t="str">
        <f t="shared" si="48"/>
        <v/>
      </c>
      <c r="AB66" s="79" t="str">
        <f t="shared" si="48"/>
        <v/>
      </c>
      <c r="AC66" s="79" t="str">
        <f t="shared" si="48"/>
        <v/>
      </c>
      <c r="AD66" s="79" t="str">
        <f t="shared" si="48"/>
        <v/>
      </c>
      <c r="AE66" s="79" t="str">
        <f t="shared" si="48"/>
        <v/>
      </c>
      <c r="AF66" s="79" t="str">
        <f t="shared" si="48"/>
        <v/>
      </c>
    </row>
    <row r="67" spans="2:32" x14ac:dyDescent="0.3">
      <c r="B67" s="40">
        <v>63</v>
      </c>
      <c r="C67" s="40" t="str">
        <f t="shared" si="1"/>
        <v>0x03F</v>
      </c>
      <c r="D67" s="64" t="s">
        <v>134</v>
      </c>
      <c r="E67" s="43" t="s">
        <v>135</v>
      </c>
      <c r="F67" s="44"/>
      <c r="G67" s="45"/>
      <c r="I67" s="40">
        <v>63</v>
      </c>
      <c r="J67" s="40" t="str">
        <f t="shared" si="2"/>
        <v>0x03F</v>
      </c>
      <c r="K67" s="64" t="s">
        <v>134</v>
      </c>
      <c r="L67" s="43" t="s">
        <v>135</v>
      </c>
      <c r="M67" s="44"/>
      <c r="N67" s="45"/>
      <c r="P67" s="78" t="s">
        <v>370</v>
      </c>
      <c r="Q67" s="79" t="str">
        <f t="shared" ref="Q67:AF67" si="49">RIGHT(INDEX($D$4:$D$141,MATCH(Q32,$B$4:$B$141,0)),2)</f>
        <v/>
      </c>
      <c r="R67" s="79" t="str">
        <f t="shared" si="49"/>
        <v/>
      </c>
      <c r="S67" s="79" t="str">
        <f t="shared" si="49"/>
        <v>00</v>
      </c>
      <c r="T67" s="79" t="str">
        <f t="shared" si="49"/>
        <v>00</v>
      </c>
      <c r="U67" s="79" t="str">
        <f t="shared" si="49"/>
        <v>00</v>
      </c>
      <c r="V67" s="79" t="str">
        <f t="shared" si="49"/>
        <v>00</v>
      </c>
      <c r="W67" s="79" t="str">
        <f t="shared" si="49"/>
        <v>00</v>
      </c>
      <c r="X67" s="79" t="str">
        <f t="shared" si="49"/>
        <v>00</v>
      </c>
      <c r="Y67" s="79" t="str">
        <f t="shared" si="49"/>
        <v>00</v>
      </c>
      <c r="Z67" s="79" t="str">
        <f t="shared" si="49"/>
        <v>00</v>
      </c>
      <c r="AA67" s="79" t="str">
        <f t="shared" si="49"/>
        <v/>
      </c>
      <c r="AB67" s="79" t="str">
        <f t="shared" si="49"/>
        <v/>
      </c>
      <c r="AC67" s="79" t="str">
        <f t="shared" si="49"/>
        <v/>
      </c>
      <c r="AD67" s="79" t="str">
        <f t="shared" si="49"/>
        <v/>
      </c>
      <c r="AE67" s="79" t="str">
        <f t="shared" si="49"/>
        <v>10</v>
      </c>
      <c r="AF67" s="79" t="str">
        <f t="shared" si="49"/>
        <v/>
      </c>
    </row>
    <row r="68" spans="2:32" x14ac:dyDescent="0.3">
      <c r="B68" s="40">
        <v>64</v>
      </c>
      <c r="C68" s="40" t="str">
        <f t="shared" si="1"/>
        <v>0x040</v>
      </c>
      <c r="D68" s="64" t="s">
        <v>136</v>
      </c>
      <c r="E68" s="43" t="s">
        <v>137</v>
      </c>
      <c r="F68" s="44"/>
      <c r="G68" s="45"/>
      <c r="I68" s="40">
        <v>64</v>
      </c>
      <c r="J68" s="40" t="str">
        <f t="shared" si="2"/>
        <v>0x040</v>
      </c>
      <c r="K68" s="64" t="s">
        <v>136</v>
      </c>
      <c r="L68" s="43" t="s">
        <v>137</v>
      </c>
      <c r="M68" s="44"/>
      <c r="N68" s="45"/>
      <c r="P68" s="78" t="s">
        <v>371</v>
      </c>
      <c r="Q68" s="79" t="str">
        <f t="shared" ref="Q68:AF68" si="50">RIGHT(INDEX($D$4:$D$141,MATCH(Q33,$B$4:$B$141,0)),2)</f>
        <v/>
      </c>
      <c r="R68" s="79" t="str">
        <f t="shared" si="50"/>
        <v/>
      </c>
      <c r="S68" s="79" t="str">
        <f t="shared" si="50"/>
        <v/>
      </c>
      <c r="T68" s="79" t="str">
        <f t="shared" si="50"/>
        <v/>
      </c>
      <c r="U68" s="79" t="str">
        <f t="shared" si="50"/>
        <v/>
      </c>
      <c r="V68" s="79" t="str">
        <f t="shared" si="50"/>
        <v/>
      </c>
      <c r="W68" s="79" t="str">
        <f t="shared" si="50"/>
        <v/>
      </c>
      <c r="X68" s="79" t="str">
        <f t="shared" si="50"/>
        <v/>
      </c>
      <c r="Y68" s="79" t="str">
        <f t="shared" si="50"/>
        <v/>
      </c>
      <c r="Z68" s="79" t="str">
        <f t="shared" si="50"/>
        <v>00</v>
      </c>
      <c r="AA68" s="79" t="str">
        <f t="shared" si="50"/>
        <v>00</v>
      </c>
      <c r="AB68" s="79" t="str">
        <f t="shared" si="50"/>
        <v>00</v>
      </c>
      <c r="AC68" s="79" t="str">
        <f t="shared" si="50"/>
        <v>00</v>
      </c>
      <c r="AD68" s="79" t="str">
        <f t="shared" si="50"/>
        <v>00</v>
      </c>
      <c r="AE68" s="79" t="str">
        <f t="shared" si="50"/>
        <v>00</v>
      </c>
      <c r="AF68" s="79" t="str">
        <f t="shared" si="50"/>
        <v>00</v>
      </c>
    </row>
    <row r="69" spans="2:32" x14ac:dyDescent="0.3">
      <c r="B69" s="40">
        <v>65</v>
      </c>
      <c r="C69" s="40" t="str">
        <f t="shared" ref="C69:C141" si="51">CONCATENATE("0x",DEC2HEX(B69,3))</f>
        <v>0x041</v>
      </c>
      <c r="D69" s="64" t="s">
        <v>138</v>
      </c>
      <c r="E69" s="43" t="s">
        <v>139</v>
      </c>
      <c r="F69" s="44"/>
      <c r="G69" s="45"/>
      <c r="I69" s="40">
        <v>65</v>
      </c>
      <c r="J69" s="40" t="str">
        <f t="shared" ref="J69:J132" si="52">CONCATENATE("0x",DEC2HEX(I69,3))</f>
        <v>0x041</v>
      </c>
      <c r="K69" s="64" t="s">
        <v>138</v>
      </c>
      <c r="L69" s="43" t="s">
        <v>139</v>
      </c>
      <c r="M69" s="44"/>
      <c r="N69" s="45"/>
      <c r="P69" s="78" t="s">
        <v>372</v>
      </c>
      <c r="Q69" s="79" t="str">
        <f t="shared" ref="Q69:AF69" si="53">RIGHT(INDEX($D$4:$D$141,MATCH(Q34,$B$4:$B$141,0)),2)</f>
        <v>00</v>
      </c>
      <c r="R69" s="79" t="str">
        <f t="shared" si="53"/>
        <v/>
      </c>
      <c r="S69" s="79" t="str">
        <f t="shared" si="53"/>
        <v/>
      </c>
      <c r="T69" s="79" t="str">
        <f t="shared" si="53"/>
        <v/>
      </c>
      <c r="U69" s="79" t="str">
        <f t="shared" si="53"/>
        <v/>
      </c>
      <c r="V69" s="79" t="str">
        <f t="shared" si="53"/>
        <v>11</v>
      </c>
      <c r="W69" s="79" t="str">
        <f t="shared" si="53"/>
        <v/>
      </c>
      <c r="X69" s="79" t="str">
        <f t="shared" si="53"/>
        <v/>
      </c>
      <c r="Y69" s="79" t="str">
        <f t="shared" si="53"/>
        <v/>
      </c>
      <c r="Z69" s="79" t="str">
        <f t="shared" si="53"/>
        <v/>
      </c>
      <c r="AA69" s="79" t="str">
        <f t="shared" si="53"/>
        <v/>
      </c>
      <c r="AB69" s="79" t="str">
        <f t="shared" si="53"/>
        <v/>
      </c>
      <c r="AC69" s="79" t="str">
        <f t="shared" si="53"/>
        <v/>
      </c>
      <c r="AD69" s="79" t="str">
        <f t="shared" si="53"/>
        <v/>
      </c>
      <c r="AE69" s="79" t="str">
        <f t="shared" si="53"/>
        <v/>
      </c>
      <c r="AF69" s="79" t="str">
        <f t="shared" si="53"/>
        <v/>
      </c>
    </row>
    <row r="70" spans="2:32" x14ac:dyDescent="0.3">
      <c r="B70" s="40">
        <v>66</v>
      </c>
      <c r="C70" s="40" t="str">
        <f t="shared" si="51"/>
        <v>0x042</v>
      </c>
      <c r="D70" s="64" t="s">
        <v>140</v>
      </c>
      <c r="E70" s="43" t="s">
        <v>141</v>
      </c>
      <c r="F70" s="44"/>
      <c r="G70" s="45"/>
      <c r="I70" s="40">
        <v>66</v>
      </c>
      <c r="J70" s="40" t="str">
        <f t="shared" si="52"/>
        <v>0x042</v>
      </c>
      <c r="K70" s="64" t="s">
        <v>140</v>
      </c>
      <c r="L70" s="43" t="s">
        <v>141</v>
      </c>
      <c r="M70" s="44"/>
      <c r="N70" s="45"/>
      <c r="P70" s="78" t="s">
        <v>373</v>
      </c>
      <c r="Q70" s="79" t="str">
        <f t="shared" ref="Q70:AF70" si="54">RIGHT(INDEX($D$4:$D$141,MATCH(Q35,$B$4:$B$141,0)),2)</f>
        <v>00</v>
      </c>
      <c r="R70" s="79" t="str">
        <f t="shared" si="54"/>
        <v>00</v>
      </c>
      <c r="S70" s="79" t="str">
        <f t="shared" si="54"/>
        <v>00</v>
      </c>
      <c r="T70" s="79" t="str">
        <f t="shared" si="54"/>
        <v>00</v>
      </c>
      <c r="U70" s="79" t="str">
        <f t="shared" si="54"/>
        <v>00</v>
      </c>
      <c r="V70" s="79" t="str">
        <f t="shared" si="54"/>
        <v>00</v>
      </c>
      <c r="W70" s="79" t="str">
        <f t="shared" si="54"/>
        <v>00</v>
      </c>
      <c r="X70" s="79" t="str">
        <f t="shared" si="54"/>
        <v>00</v>
      </c>
      <c r="Y70" s="79" t="str">
        <f t="shared" si="54"/>
        <v/>
      </c>
      <c r="Z70" s="79" t="str">
        <f t="shared" si="54"/>
        <v/>
      </c>
      <c r="AA70" s="79" t="str">
        <f t="shared" si="54"/>
        <v/>
      </c>
      <c r="AB70" s="79" t="str">
        <f t="shared" si="54"/>
        <v/>
      </c>
      <c r="AC70" s="79" t="str">
        <f t="shared" si="54"/>
        <v>12</v>
      </c>
      <c r="AD70" s="79" t="str">
        <f t="shared" si="54"/>
        <v>00</v>
      </c>
      <c r="AE70" s="79" t="str">
        <f t="shared" si="54"/>
        <v>00</v>
      </c>
      <c r="AF70" s="79" t="str">
        <f t="shared" si="54"/>
        <v>00</v>
      </c>
    </row>
    <row r="71" spans="2:32" x14ac:dyDescent="0.3">
      <c r="B71" s="40">
        <v>67</v>
      </c>
      <c r="C71" s="40" t="str">
        <f t="shared" si="51"/>
        <v>0x043</v>
      </c>
      <c r="D71" s="64" t="s">
        <v>142</v>
      </c>
      <c r="E71" s="43" t="s">
        <v>143</v>
      </c>
      <c r="F71" s="44"/>
      <c r="G71" s="45"/>
      <c r="I71" s="40">
        <v>67</v>
      </c>
      <c r="J71" s="40" t="str">
        <f t="shared" si="52"/>
        <v>0x043</v>
      </c>
      <c r="K71" s="64" t="s">
        <v>142</v>
      </c>
      <c r="L71" s="43" t="s">
        <v>143</v>
      </c>
      <c r="M71" s="44"/>
      <c r="N71" s="45"/>
    </row>
    <row r="72" spans="2:32" x14ac:dyDescent="0.3">
      <c r="B72" s="40">
        <v>68</v>
      </c>
      <c r="C72" s="40" t="str">
        <f t="shared" si="51"/>
        <v>0x044</v>
      </c>
      <c r="D72" s="64" t="s">
        <v>144</v>
      </c>
      <c r="E72" s="43" t="s">
        <v>145</v>
      </c>
      <c r="F72" s="44"/>
      <c r="G72" s="45"/>
      <c r="I72" s="40">
        <v>68</v>
      </c>
      <c r="J72" s="40" t="str">
        <f t="shared" si="52"/>
        <v>0x044</v>
      </c>
      <c r="K72" s="64" t="s">
        <v>144</v>
      </c>
      <c r="L72" s="43" t="s">
        <v>145</v>
      </c>
      <c r="M72" s="44"/>
      <c r="N72" s="45"/>
      <c r="P72" t="s">
        <v>400</v>
      </c>
    </row>
    <row r="73" spans="2:32" x14ac:dyDescent="0.3">
      <c r="B73" s="40">
        <v>69</v>
      </c>
      <c r="C73" s="40" t="str">
        <f t="shared" si="51"/>
        <v>0x045</v>
      </c>
      <c r="D73" s="64" t="s">
        <v>146</v>
      </c>
      <c r="E73" s="43" t="s">
        <v>147</v>
      </c>
      <c r="F73" s="44"/>
      <c r="G73" s="45"/>
      <c r="I73" s="40">
        <v>69</v>
      </c>
      <c r="J73" s="40" t="str">
        <f t="shared" si="52"/>
        <v>0x045</v>
      </c>
      <c r="K73" s="64" t="s">
        <v>146</v>
      </c>
      <c r="L73" s="43" t="s">
        <v>147</v>
      </c>
      <c r="M73" s="44"/>
      <c r="N73" s="45"/>
      <c r="P73" s="78" t="s">
        <v>325</v>
      </c>
      <c r="Q73" s="78" t="s">
        <v>326</v>
      </c>
      <c r="R73" s="78" t="s">
        <v>327</v>
      </c>
      <c r="S73" s="78" t="s">
        <v>328</v>
      </c>
      <c r="T73" s="78" t="s">
        <v>329</v>
      </c>
      <c r="U73" s="78" t="s">
        <v>330</v>
      </c>
      <c r="V73" s="78" t="s">
        <v>331</v>
      </c>
      <c r="W73" s="78" t="s">
        <v>332</v>
      </c>
      <c r="X73" s="78" t="s">
        <v>333</v>
      </c>
      <c r="Y73" s="78" t="s">
        <v>334</v>
      </c>
      <c r="Z73" s="78" t="s">
        <v>335</v>
      </c>
      <c r="AA73" s="78" t="s">
        <v>336</v>
      </c>
      <c r="AB73" s="78" t="s">
        <v>337</v>
      </c>
      <c r="AC73" s="78" t="s">
        <v>338</v>
      </c>
      <c r="AD73" s="78" t="s">
        <v>339</v>
      </c>
      <c r="AE73" s="78" t="s">
        <v>340</v>
      </c>
      <c r="AF73" s="78" t="s">
        <v>341</v>
      </c>
    </row>
    <row r="74" spans="2:32" x14ac:dyDescent="0.3">
      <c r="B74" s="40">
        <v>70</v>
      </c>
      <c r="C74" s="40" t="str">
        <f t="shared" si="51"/>
        <v>0x046</v>
      </c>
      <c r="D74" s="64" t="s">
        <v>148</v>
      </c>
      <c r="E74" s="43" t="s">
        <v>149</v>
      </c>
      <c r="F74" s="44"/>
      <c r="G74" s="45"/>
      <c r="I74" s="40">
        <v>70</v>
      </c>
      <c r="J74" s="40" t="str">
        <f t="shared" si="52"/>
        <v>0x046</v>
      </c>
      <c r="K74" s="64" t="s">
        <v>148</v>
      </c>
      <c r="L74" s="43" t="s">
        <v>149</v>
      </c>
      <c r="M74" s="44"/>
      <c r="N74" s="45"/>
      <c r="P74" s="78" t="s">
        <v>326</v>
      </c>
      <c r="Q74" s="79" t="str">
        <f>RIGHT(INDEX($K$4:$K$141,MATCH(Q4,$I$4:$I$141,0)),2)</f>
        <v>1B</v>
      </c>
      <c r="R74" s="79" t="str">
        <f t="shared" ref="R74:AF74" si="55">RIGHT(INDEX($K$4:$K$141,MATCH(R4,$I$4:$I$141,0)),2)</f>
        <v>00</v>
      </c>
      <c r="S74" s="79" t="str">
        <f t="shared" si="55"/>
        <v>00</v>
      </c>
      <c r="T74" s="79" t="str">
        <f t="shared" si="55"/>
        <v>00</v>
      </c>
      <c r="U74" s="79" t="str">
        <f t="shared" si="55"/>
        <v>00</v>
      </c>
      <c r="V74" s="79" t="str">
        <f t="shared" si="55"/>
        <v>00</v>
      </c>
      <c r="W74" s="79" t="str">
        <f t="shared" si="55"/>
        <v>00</v>
      </c>
      <c r="X74" s="79" t="str">
        <f t="shared" si="55"/>
        <v>00</v>
      </c>
      <c r="Y74" s="79" t="str">
        <f t="shared" si="55"/>
        <v>00</v>
      </c>
      <c r="Z74" s="79" t="str">
        <f t="shared" si="55"/>
        <v>00</v>
      </c>
      <c r="AA74" s="79" t="str">
        <f t="shared" si="55"/>
        <v>01</v>
      </c>
      <c r="AB74" s="79" t="str">
        <f t="shared" si="55"/>
        <v>38</v>
      </c>
      <c r="AC74" s="79" t="str">
        <f t="shared" si="55"/>
        <v>21</v>
      </c>
      <c r="AD74" s="79" t="str">
        <f t="shared" si="55"/>
        <v>50</v>
      </c>
      <c r="AE74" s="79" t="str">
        <f t="shared" si="55"/>
        <v>FF</v>
      </c>
      <c r="AF74" s="79" t="str">
        <f t="shared" si="55"/>
        <v>EF</v>
      </c>
    </row>
    <row r="75" spans="2:32" x14ac:dyDescent="0.3">
      <c r="B75" s="40">
        <v>71</v>
      </c>
      <c r="C75" s="40" t="str">
        <f t="shared" si="51"/>
        <v>0x047</v>
      </c>
      <c r="D75" s="64" t="s">
        <v>51</v>
      </c>
      <c r="E75" s="43" t="s">
        <v>150</v>
      </c>
      <c r="F75" s="44"/>
      <c r="G75" s="45"/>
      <c r="I75" s="40">
        <v>71</v>
      </c>
      <c r="J75" s="40" t="str">
        <f t="shared" si="52"/>
        <v>0x047</v>
      </c>
      <c r="K75" s="64" t="s">
        <v>51</v>
      </c>
      <c r="L75" s="43" t="s">
        <v>150</v>
      </c>
      <c r="M75" s="44"/>
      <c r="N75" s="45"/>
      <c r="P75" s="78" t="s">
        <v>342</v>
      </c>
      <c r="Q75" s="79" t="str">
        <f t="shared" ref="Q75:AF75" si="56">RIGHT(INDEX($K$4:$K$141,MATCH(Q5,$I$4:$I$141,0)),2)</f>
        <v>F0</v>
      </c>
      <c r="R75" s="79" t="str">
        <f t="shared" si="56"/>
        <v>5D</v>
      </c>
      <c r="S75" s="79" t="str">
        <f t="shared" si="56"/>
        <v>01</v>
      </c>
      <c r="T75" s="79" t="str">
        <f t="shared" si="56"/>
        <v>00</v>
      </c>
      <c r="U75" s="79" t="str">
        <f t="shared" si="56"/>
        <v>00</v>
      </c>
      <c r="V75" s="79" t="str">
        <f t="shared" si="56"/>
        <v>00</v>
      </c>
      <c r="W75" s="79" t="str">
        <f t="shared" si="56"/>
        <v>06</v>
      </c>
      <c r="X75" s="79" t="str">
        <f t="shared" si="56"/>
        <v>01</v>
      </c>
      <c r="Y75" s="79" t="str">
        <f t="shared" si="56"/>
        <v>01</v>
      </c>
      <c r="Z75" s="79" t="str">
        <f t="shared" si="56"/>
        <v>A5</v>
      </c>
      <c r="AA75" s="79" t="str">
        <f t="shared" si="56"/>
        <v>10</v>
      </c>
      <c r="AB75" s="79" t="str">
        <f t="shared" si="56"/>
        <v>00</v>
      </c>
      <c r="AC75" s="79" t="str">
        <f t="shared" si="56"/>
        <v>00</v>
      </c>
      <c r="AD75" s="79" t="str">
        <f t="shared" si="56"/>
        <v/>
      </c>
      <c r="AE75" s="79" t="str">
        <f t="shared" si="56"/>
        <v/>
      </c>
      <c r="AF75" s="79" t="str">
        <f t="shared" si="56"/>
        <v/>
      </c>
    </row>
    <row r="76" spans="2:32" x14ac:dyDescent="0.3">
      <c r="B76" s="40">
        <v>72</v>
      </c>
      <c r="C76" s="40" t="str">
        <f t="shared" si="51"/>
        <v>0x048</v>
      </c>
      <c r="D76" s="64" t="s">
        <v>151</v>
      </c>
      <c r="E76" s="43" t="s">
        <v>152</v>
      </c>
      <c r="F76" s="44"/>
      <c r="G76" s="45"/>
      <c r="I76" s="40">
        <v>72</v>
      </c>
      <c r="J76" s="40" t="str">
        <f t="shared" si="52"/>
        <v>0x048</v>
      </c>
      <c r="K76" s="64" t="s">
        <v>151</v>
      </c>
      <c r="L76" s="43" t="s">
        <v>152</v>
      </c>
      <c r="M76" s="44"/>
      <c r="N76" s="45"/>
      <c r="P76" s="78" t="s">
        <v>343</v>
      </c>
      <c r="Q76" s="79" t="str">
        <f t="shared" ref="Q76:AF76" si="57">RIGHT(INDEX($K$4:$K$141,MATCH(Q6,$I$4:$I$141,0)),2)</f>
        <v/>
      </c>
      <c r="R76" s="79" t="str">
        <f t="shared" si="57"/>
        <v/>
      </c>
      <c r="S76" s="79" t="str">
        <f t="shared" si="57"/>
        <v/>
      </c>
      <c r="T76" s="79" t="str">
        <f t="shared" si="57"/>
        <v/>
      </c>
      <c r="U76" s="79" t="str">
        <f t="shared" si="57"/>
        <v/>
      </c>
      <c r="V76" s="79" t="str">
        <f t="shared" si="57"/>
        <v/>
      </c>
      <c r="W76" s="79" t="str">
        <f t="shared" si="57"/>
        <v/>
      </c>
      <c r="X76" s="79" t="str">
        <f t="shared" si="57"/>
        <v>00</v>
      </c>
      <c r="Y76" s="79" t="str">
        <f t="shared" si="57"/>
        <v>21</v>
      </c>
      <c r="Z76" s="79" t="str">
        <f t="shared" si="57"/>
        <v>BF</v>
      </c>
      <c r="AA76" s="79" t="str">
        <f t="shared" si="57"/>
        <v>88</v>
      </c>
      <c r="AB76" s="79" t="str">
        <f t="shared" si="57"/>
        <v>02</v>
      </c>
      <c r="AC76" s="79" t="str">
        <f t="shared" si="57"/>
        <v>20</v>
      </c>
      <c r="AD76" s="79" t="str">
        <f t="shared" si="57"/>
        <v>20</v>
      </c>
      <c r="AE76" s="79" t="str">
        <f t="shared" si="57"/>
        <v>A0</v>
      </c>
      <c r="AF76" s="79" t="str">
        <f t="shared" si="57"/>
        <v/>
      </c>
    </row>
    <row r="77" spans="2:32" x14ac:dyDescent="0.3">
      <c r="B77" s="40">
        <v>73</v>
      </c>
      <c r="C77" s="40" t="str">
        <f t="shared" si="51"/>
        <v>0x049</v>
      </c>
      <c r="D77" s="64" t="s">
        <v>153</v>
      </c>
      <c r="E77" s="43" t="s">
        <v>154</v>
      </c>
      <c r="F77" s="44"/>
      <c r="G77" s="45"/>
      <c r="I77" s="40">
        <v>73</v>
      </c>
      <c r="J77" s="40" t="str">
        <f t="shared" si="52"/>
        <v>0x049</v>
      </c>
      <c r="K77" s="64" t="s">
        <v>153</v>
      </c>
      <c r="L77" s="43" t="s">
        <v>154</v>
      </c>
      <c r="M77" s="44"/>
      <c r="N77" s="45"/>
      <c r="P77" s="78" t="s">
        <v>344</v>
      </c>
      <c r="Q77" s="79" t="str">
        <f t="shared" ref="Q77:AF77" si="58">RIGHT(INDEX($K$4:$K$141,MATCH(Q7,$I$4:$I$141,0)),2)</f>
        <v>00</v>
      </c>
      <c r="R77" s="79" t="str">
        <f t="shared" si="58"/>
        <v>06</v>
      </c>
      <c r="S77" s="79" t="str">
        <f t="shared" si="58"/>
        <v>2E</v>
      </c>
      <c r="T77" s="79" t="str">
        <f t="shared" si="58"/>
        <v>2F</v>
      </c>
      <c r="U77" s="79" t="str">
        <f t="shared" si="58"/>
        <v>07</v>
      </c>
      <c r="V77" s="79" t="str">
        <f t="shared" si="58"/>
        <v>D3</v>
      </c>
      <c r="W77" s="79" t="str">
        <f t="shared" si="58"/>
        <v>91</v>
      </c>
      <c r="X77" s="79" t="str">
        <f t="shared" si="58"/>
        <v>1B</v>
      </c>
      <c r="Y77" s="79" t="str">
        <f t="shared" si="58"/>
        <v>28</v>
      </c>
      <c r="Z77" s="79" t="str">
        <f t="shared" si="58"/>
        <v>44</v>
      </c>
      <c r="AA77" s="79" t="str">
        <f t="shared" si="58"/>
        <v>00</v>
      </c>
      <c r="AB77" s="79" t="str">
        <f t="shared" si="58"/>
        <v/>
      </c>
      <c r="AC77" s="79" t="str">
        <f t="shared" si="58"/>
        <v>0F</v>
      </c>
      <c r="AD77" s="79" t="str">
        <f t="shared" si="58"/>
        <v>00</v>
      </c>
      <c r="AE77" s="79" t="str">
        <f t="shared" si="58"/>
        <v>0F</v>
      </c>
      <c r="AF77" s="79" t="str">
        <f t="shared" si="58"/>
        <v>6C</v>
      </c>
    </row>
    <row r="78" spans="2:32" x14ac:dyDescent="0.3">
      <c r="B78" s="40">
        <v>74</v>
      </c>
      <c r="C78" s="40" t="str">
        <f t="shared" si="51"/>
        <v>0x04A</v>
      </c>
      <c r="D78" s="64" t="s">
        <v>155</v>
      </c>
      <c r="E78" s="43" t="s">
        <v>156</v>
      </c>
      <c r="F78" s="44"/>
      <c r="G78" s="45"/>
      <c r="I78" s="40">
        <v>74</v>
      </c>
      <c r="J78" s="40" t="str">
        <f t="shared" si="52"/>
        <v>0x04A</v>
      </c>
      <c r="K78" s="64" t="s">
        <v>155</v>
      </c>
      <c r="L78" s="43" t="s">
        <v>156</v>
      </c>
      <c r="M78" s="44"/>
      <c r="N78" s="45"/>
      <c r="P78" s="78" t="s">
        <v>346</v>
      </c>
      <c r="Q78" s="79" t="str">
        <f t="shared" ref="Q78:AF78" si="59">RIGHT(INDEX($K$4:$K$141,MATCH(Q8,$I$4:$I$141,0)),2)</f>
        <v>CC</v>
      </c>
      <c r="R78" s="79" t="str">
        <f t="shared" si="59"/>
        <v>5B</v>
      </c>
      <c r="S78" s="79" t="str">
        <f t="shared" si="59"/>
        <v>F8</v>
      </c>
      <c r="T78" s="79" t="str">
        <f t="shared" si="59"/>
        <v>17</v>
      </c>
      <c r="U78" s="79" t="str">
        <f t="shared" si="59"/>
        <v>23</v>
      </c>
      <c r="V78" s="79" t="str">
        <f t="shared" si="59"/>
        <v>9A</v>
      </c>
      <c r="W78" s="79" t="str">
        <f t="shared" si="59"/>
        <v>47</v>
      </c>
      <c r="X78" s="79" t="str">
        <f t="shared" si="59"/>
        <v>00</v>
      </c>
      <c r="Y78" s="79" t="str">
        <f t="shared" si="59"/>
        <v>30</v>
      </c>
      <c r="Z78" s="79" t="str">
        <f t="shared" si="59"/>
        <v>18</v>
      </c>
      <c r="AA78" s="79" t="str">
        <f t="shared" si="59"/>
        <v>16</v>
      </c>
      <c r="AB78" s="79" t="str">
        <f t="shared" si="59"/>
        <v>6C</v>
      </c>
      <c r="AC78" s="79" t="str">
        <f t="shared" si="59"/>
        <v>03</v>
      </c>
      <c r="AD78" s="79" t="str">
        <f t="shared" si="59"/>
        <v>60</v>
      </c>
      <c r="AE78" s="79" t="str">
        <f t="shared" si="59"/>
        <v>91</v>
      </c>
      <c r="AF78" s="79" t="str">
        <f t="shared" si="59"/>
        <v>02</v>
      </c>
    </row>
    <row r="79" spans="2:32" x14ac:dyDescent="0.3">
      <c r="B79" s="40">
        <v>75</v>
      </c>
      <c r="C79" s="40" t="str">
        <f t="shared" si="51"/>
        <v>0x04B</v>
      </c>
      <c r="D79" s="64" t="s">
        <v>134</v>
      </c>
      <c r="E79" s="43" t="s">
        <v>157</v>
      </c>
      <c r="F79" s="44"/>
      <c r="G79" s="45"/>
      <c r="I79" s="40">
        <v>75</v>
      </c>
      <c r="J79" s="40" t="str">
        <f t="shared" si="52"/>
        <v>0x04B</v>
      </c>
      <c r="K79" s="64" t="s">
        <v>134</v>
      </c>
      <c r="L79" s="43" t="s">
        <v>157</v>
      </c>
      <c r="M79" s="44"/>
      <c r="N79" s="45"/>
      <c r="P79" s="78" t="s">
        <v>347</v>
      </c>
      <c r="Q79" s="79" t="str">
        <f t="shared" ref="Q79:AF79" si="60">RIGHT(INDEX($K$4:$K$141,MATCH(Q9,$I$4:$I$141,0)),2)</f>
        <v>0E</v>
      </c>
      <c r="R79" s="79" t="str">
        <f t="shared" si="60"/>
        <v>78</v>
      </c>
      <c r="S79" s="79" t="str">
        <f t="shared" si="60"/>
        <v>56</v>
      </c>
      <c r="T79" s="79" t="str">
        <f t="shared" si="60"/>
        <v>10</v>
      </c>
      <c r="U79" s="79" t="str">
        <f t="shared" si="60"/>
        <v>EA</v>
      </c>
      <c r="V79" s="79" t="str">
        <f t="shared" si="60"/>
        <v>2A</v>
      </c>
      <c r="W79" s="79" t="str">
        <f t="shared" si="60"/>
        <v>00</v>
      </c>
      <c r="X79" s="79" t="str">
        <f t="shared" si="60"/>
        <v>1F</v>
      </c>
      <c r="Y79" s="79" t="str">
        <f t="shared" si="60"/>
        <v>41</v>
      </c>
      <c r="Z79" s="79" t="str">
        <f t="shared" si="60"/>
        <v>00</v>
      </c>
      <c r="AA79" s="79" t="str">
        <f t="shared" si="60"/>
        <v>00</v>
      </c>
      <c r="AB79" s="79" t="str">
        <f t="shared" si="60"/>
        <v/>
      </c>
      <c r="AC79" s="79" t="str">
        <f t="shared" si="60"/>
        <v/>
      </c>
      <c r="AD79" s="79" t="str">
        <f t="shared" si="60"/>
        <v/>
      </c>
      <c r="AE79" s="79" t="str">
        <f t="shared" si="60"/>
        <v/>
      </c>
      <c r="AF79" s="79" t="str">
        <f t="shared" si="60"/>
        <v/>
      </c>
    </row>
    <row r="80" spans="2:32" x14ac:dyDescent="0.3">
      <c r="B80" s="40">
        <v>76</v>
      </c>
      <c r="C80" s="40" t="str">
        <f t="shared" si="51"/>
        <v>0x04C</v>
      </c>
      <c r="D80" s="64" t="s">
        <v>70</v>
      </c>
      <c r="E80" s="43" t="s">
        <v>158</v>
      </c>
      <c r="F80" s="44"/>
      <c r="G80" s="45"/>
      <c r="I80" s="40">
        <v>76</v>
      </c>
      <c r="J80" s="40" t="str">
        <f t="shared" si="52"/>
        <v>0x04C</v>
      </c>
      <c r="K80" s="64" t="s">
        <v>70</v>
      </c>
      <c r="L80" s="43" t="s">
        <v>158</v>
      </c>
      <c r="M80" s="44"/>
      <c r="N80" s="45"/>
      <c r="P80" s="78" t="s">
        <v>348</v>
      </c>
      <c r="Q80" s="79" t="str">
        <f t="shared" ref="Q80:AF80" si="61">RIGHT(INDEX($K$4:$K$141,MATCH(Q10,$I$4:$I$141,0)),2)</f>
        <v/>
      </c>
      <c r="R80" s="79" t="str">
        <f t="shared" si="61"/>
        <v/>
      </c>
      <c r="S80" s="79" t="str">
        <f t="shared" si="61"/>
        <v/>
      </c>
      <c r="T80" s="79" t="str">
        <f t="shared" si="61"/>
        <v/>
      </c>
      <c r="U80" s="79" t="str">
        <f t="shared" si="61"/>
        <v/>
      </c>
      <c r="V80" s="79" t="str">
        <f t="shared" si="61"/>
        <v/>
      </c>
      <c r="W80" s="79" t="str">
        <f t="shared" si="61"/>
        <v/>
      </c>
      <c r="X80" s="79" t="str">
        <f t="shared" si="61"/>
        <v/>
      </c>
      <c r="Y80" s="79" t="str">
        <f t="shared" si="61"/>
        <v/>
      </c>
      <c r="Z80" s="79" t="str">
        <f t="shared" si="61"/>
        <v/>
      </c>
      <c r="AA80" s="79" t="str">
        <f t="shared" si="61"/>
        <v/>
      </c>
      <c r="AB80" s="79" t="str">
        <f t="shared" si="61"/>
        <v/>
      </c>
      <c r="AC80" s="79" t="str">
        <f t="shared" si="61"/>
        <v/>
      </c>
      <c r="AD80" s="79" t="str">
        <f t="shared" si="61"/>
        <v/>
      </c>
      <c r="AE80" s="79" t="str">
        <f t="shared" si="61"/>
        <v/>
      </c>
      <c r="AF80" s="79" t="str">
        <f t="shared" si="61"/>
        <v/>
      </c>
    </row>
    <row r="81" spans="2:32" x14ac:dyDescent="0.3">
      <c r="B81" s="40">
        <v>77</v>
      </c>
      <c r="C81" s="40" t="str">
        <f t="shared" si="51"/>
        <v>0x04D</v>
      </c>
      <c r="D81" s="64" t="s">
        <v>109</v>
      </c>
      <c r="E81" s="43" t="s">
        <v>159</v>
      </c>
      <c r="F81" s="44"/>
      <c r="G81" s="45"/>
      <c r="I81" s="40">
        <v>77</v>
      </c>
      <c r="J81" s="40" t="str">
        <f t="shared" si="52"/>
        <v>0x04D</v>
      </c>
      <c r="K81" s="64" t="s">
        <v>61</v>
      </c>
      <c r="L81" s="43" t="s">
        <v>159</v>
      </c>
      <c r="M81" s="44"/>
      <c r="N81" s="45"/>
      <c r="P81" s="78" t="s">
        <v>349</v>
      </c>
      <c r="Q81" s="79" t="str">
        <f t="shared" ref="Q81:AF81" si="62">RIGHT(INDEX($K$4:$K$141,MATCH(Q11,$I$4:$I$141,0)),2)</f>
        <v/>
      </c>
      <c r="R81" s="79" t="str">
        <f t="shared" si="62"/>
        <v/>
      </c>
      <c r="S81" s="79" t="str">
        <f t="shared" si="62"/>
        <v/>
      </c>
      <c r="T81" s="79" t="str">
        <f t="shared" si="62"/>
        <v/>
      </c>
      <c r="U81" s="79" t="str">
        <f t="shared" si="62"/>
        <v/>
      </c>
      <c r="V81" s="79" t="str">
        <f t="shared" si="62"/>
        <v>01</v>
      </c>
      <c r="W81" s="79" t="str">
        <f t="shared" si="62"/>
        <v/>
      </c>
      <c r="X81" s="79" t="str">
        <f t="shared" si="62"/>
        <v/>
      </c>
      <c r="Y81" s="79" t="str">
        <f t="shared" si="62"/>
        <v/>
      </c>
      <c r="Z81" s="79" t="str">
        <f t="shared" si="62"/>
        <v/>
      </c>
      <c r="AA81" s="79" t="str">
        <f t="shared" si="62"/>
        <v/>
      </c>
      <c r="AB81" s="79" t="str">
        <f t="shared" si="62"/>
        <v/>
      </c>
      <c r="AC81" s="79" t="str">
        <f t="shared" si="62"/>
        <v/>
      </c>
      <c r="AD81" s="79" t="str">
        <f t="shared" si="62"/>
        <v/>
      </c>
      <c r="AE81" s="79" t="str">
        <f t="shared" si="62"/>
        <v/>
      </c>
      <c r="AF81" s="79" t="str">
        <f t="shared" si="62"/>
        <v/>
      </c>
    </row>
    <row r="82" spans="2:32" x14ac:dyDescent="0.3">
      <c r="B82" s="40">
        <v>78</v>
      </c>
      <c r="C82" s="40" t="str">
        <f t="shared" si="51"/>
        <v>0x04E</v>
      </c>
      <c r="D82" s="64" t="s">
        <v>122</v>
      </c>
      <c r="E82" s="43" t="s">
        <v>160</v>
      </c>
      <c r="F82" s="44"/>
      <c r="G82" s="45"/>
      <c r="I82" s="40">
        <v>78</v>
      </c>
      <c r="J82" s="40" t="str">
        <f t="shared" si="52"/>
        <v>0x04E</v>
      </c>
      <c r="K82" s="64" t="s">
        <v>122</v>
      </c>
      <c r="L82" s="43" t="s">
        <v>160</v>
      </c>
      <c r="M82" s="44"/>
      <c r="N82" s="45"/>
      <c r="P82" s="78" t="s">
        <v>350</v>
      </c>
      <c r="Q82" s="79" t="str">
        <f t="shared" ref="Q82:AF82" si="63">RIGHT(INDEX($K$4:$K$141,MATCH(Q12,$I$4:$I$141,0)),2)</f>
        <v/>
      </c>
      <c r="R82" s="79" t="str">
        <f t="shared" si="63"/>
        <v/>
      </c>
      <c r="S82" s="79" t="str">
        <f t="shared" si="63"/>
        <v/>
      </c>
      <c r="T82" s="79" t="str">
        <f t="shared" si="63"/>
        <v/>
      </c>
      <c r="U82" s="79" t="str">
        <f t="shared" si="63"/>
        <v/>
      </c>
      <c r="V82" s="79" t="str">
        <f t="shared" si="63"/>
        <v/>
      </c>
      <c r="W82" s="79" t="str">
        <f t="shared" si="63"/>
        <v/>
      </c>
      <c r="X82" s="79" t="str">
        <f t="shared" si="63"/>
        <v/>
      </c>
      <c r="Y82" s="79" t="str">
        <f t="shared" si="63"/>
        <v/>
      </c>
      <c r="Z82" s="79" t="str">
        <f t="shared" si="63"/>
        <v/>
      </c>
      <c r="AA82" s="79" t="str">
        <f t="shared" si="63"/>
        <v/>
      </c>
      <c r="AB82" s="79" t="str">
        <f t="shared" si="63"/>
        <v/>
      </c>
      <c r="AC82" s="79" t="str">
        <f t="shared" si="63"/>
        <v>02</v>
      </c>
      <c r="AD82" s="79" t="str">
        <f t="shared" si="63"/>
        <v/>
      </c>
      <c r="AE82" s="79" t="str">
        <f t="shared" si="63"/>
        <v/>
      </c>
      <c r="AF82" s="79" t="str">
        <f t="shared" si="63"/>
        <v/>
      </c>
    </row>
    <row r="83" spans="2:32" x14ac:dyDescent="0.3">
      <c r="B83" s="40">
        <v>79</v>
      </c>
      <c r="C83" s="40" t="str">
        <f t="shared" si="51"/>
        <v>0x04F</v>
      </c>
      <c r="D83" s="64" t="s">
        <v>51</v>
      </c>
      <c r="E83" s="43" t="s">
        <v>161</v>
      </c>
      <c r="F83" s="44"/>
      <c r="G83" s="45"/>
      <c r="I83" s="40">
        <v>79</v>
      </c>
      <c r="J83" s="40" t="str">
        <f t="shared" si="52"/>
        <v>0x04F</v>
      </c>
      <c r="K83" s="64" t="s">
        <v>79</v>
      </c>
      <c r="L83" s="43" t="s">
        <v>161</v>
      </c>
      <c r="M83" s="44"/>
      <c r="N83" s="45"/>
      <c r="P83" s="78" t="s">
        <v>351</v>
      </c>
      <c r="Q83" s="79" t="str">
        <f t="shared" ref="Q83:AF83" si="64">RIGHT(INDEX($K$4:$K$141,MATCH(Q13,$I$4:$I$141,0)),2)</f>
        <v/>
      </c>
      <c r="R83" s="79" t="str">
        <f t="shared" si="64"/>
        <v/>
      </c>
      <c r="S83" s="79" t="str">
        <f t="shared" si="64"/>
        <v/>
      </c>
      <c r="T83" s="79" t="str">
        <f t="shared" si="64"/>
        <v/>
      </c>
      <c r="U83" s="79" t="str">
        <f t="shared" si="64"/>
        <v/>
      </c>
      <c r="V83" s="79" t="str">
        <f t="shared" si="64"/>
        <v/>
      </c>
      <c r="W83" s="79" t="str">
        <f t="shared" si="64"/>
        <v/>
      </c>
      <c r="X83" s="79" t="str">
        <f t="shared" si="64"/>
        <v/>
      </c>
      <c r="Y83" s="79" t="str">
        <f t="shared" si="64"/>
        <v/>
      </c>
      <c r="Z83" s="79" t="str">
        <f t="shared" si="64"/>
        <v/>
      </c>
      <c r="AA83" s="79" t="str">
        <f t="shared" si="64"/>
        <v/>
      </c>
      <c r="AB83" s="79" t="str">
        <f t="shared" si="64"/>
        <v/>
      </c>
      <c r="AC83" s="79" t="str">
        <f t="shared" si="64"/>
        <v/>
      </c>
      <c r="AD83" s="79" t="str">
        <f t="shared" si="64"/>
        <v/>
      </c>
      <c r="AE83" s="79" t="str">
        <f t="shared" si="64"/>
        <v/>
      </c>
      <c r="AF83" s="79" t="str">
        <f t="shared" si="64"/>
        <v/>
      </c>
    </row>
    <row r="84" spans="2:32" x14ac:dyDescent="0.3">
      <c r="B84" s="40">
        <v>80</v>
      </c>
      <c r="C84" s="40" t="str">
        <f t="shared" si="51"/>
        <v>0x050</v>
      </c>
      <c r="D84" s="64" t="s">
        <v>162</v>
      </c>
      <c r="E84" s="43" t="s">
        <v>163</v>
      </c>
      <c r="F84" s="44"/>
      <c r="G84" s="45"/>
      <c r="I84" s="40">
        <v>80</v>
      </c>
      <c r="J84" s="40" t="str">
        <f t="shared" si="52"/>
        <v>0x050</v>
      </c>
      <c r="K84" s="64" t="s">
        <v>321</v>
      </c>
      <c r="L84" s="43" t="s">
        <v>163</v>
      </c>
      <c r="M84" s="44"/>
      <c r="N84" s="45"/>
      <c r="P84" s="78" t="s">
        <v>352</v>
      </c>
      <c r="Q84" s="79" t="str">
        <f t="shared" ref="Q84:AF84" si="65">RIGHT(INDEX($K$4:$K$141,MATCH(Q14,$I$4:$I$141,0)),2)</f>
        <v/>
      </c>
      <c r="R84" s="79" t="str">
        <f t="shared" si="65"/>
        <v/>
      </c>
      <c r="S84" s="79" t="str">
        <f t="shared" si="65"/>
        <v/>
      </c>
      <c r="T84" s="79" t="str">
        <f t="shared" si="65"/>
        <v>03</v>
      </c>
      <c r="U84" s="79" t="str">
        <f t="shared" si="65"/>
        <v/>
      </c>
      <c r="V84" s="79" t="str">
        <f t="shared" si="65"/>
        <v/>
      </c>
      <c r="W84" s="79" t="str">
        <f t="shared" si="65"/>
        <v/>
      </c>
      <c r="X84" s="79" t="str">
        <f t="shared" si="65"/>
        <v/>
      </c>
      <c r="Y84" s="79" t="str">
        <f t="shared" si="65"/>
        <v/>
      </c>
      <c r="Z84" s="79" t="str">
        <f t="shared" si="65"/>
        <v/>
      </c>
      <c r="AA84" s="79" t="str">
        <f t="shared" si="65"/>
        <v/>
      </c>
      <c r="AB84" s="79" t="str">
        <f t="shared" si="65"/>
        <v/>
      </c>
      <c r="AC84" s="79" t="str">
        <f t="shared" si="65"/>
        <v/>
      </c>
      <c r="AD84" s="79" t="str">
        <f t="shared" si="65"/>
        <v/>
      </c>
      <c r="AE84" s="79" t="str">
        <f t="shared" si="65"/>
        <v/>
      </c>
      <c r="AF84" s="79" t="str">
        <f t="shared" si="65"/>
        <v/>
      </c>
    </row>
    <row r="85" spans="2:32" x14ac:dyDescent="0.3">
      <c r="B85" s="40">
        <v>81</v>
      </c>
      <c r="C85" s="40" t="str">
        <f t="shared" si="51"/>
        <v>0x051</v>
      </c>
      <c r="D85" s="64" t="s">
        <v>164</v>
      </c>
      <c r="E85" s="43" t="s">
        <v>165</v>
      </c>
      <c r="F85" s="44"/>
      <c r="G85" s="45"/>
      <c r="I85" s="40">
        <v>81</v>
      </c>
      <c r="J85" s="40" t="str">
        <f t="shared" si="52"/>
        <v>0x051</v>
      </c>
      <c r="K85" s="64" t="s">
        <v>164</v>
      </c>
      <c r="L85" s="43" t="s">
        <v>165</v>
      </c>
      <c r="M85" s="44"/>
      <c r="N85" s="45"/>
      <c r="P85" s="78" t="s">
        <v>353</v>
      </c>
      <c r="Q85" s="79" t="str">
        <f t="shared" ref="Q85:AF85" si="66">RIGHT(INDEX($K$4:$K$141,MATCH(Q15,$I$4:$I$141,0)),2)</f>
        <v/>
      </c>
      <c r="R85" s="79" t="str">
        <f t="shared" si="66"/>
        <v/>
      </c>
      <c r="S85" s="79" t="str">
        <f t="shared" si="66"/>
        <v/>
      </c>
      <c r="T85" s="79" t="str">
        <f t="shared" si="66"/>
        <v/>
      </c>
      <c r="U85" s="79" t="str">
        <f t="shared" si="66"/>
        <v/>
      </c>
      <c r="V85" s="79" t="str">
        <f t="shared" si="66"/>
        <v/>
      </c>
      <c r="W85" s="79" t="str">
        <f t="shared" si="66"/>
        <v/>
      </c>
      <c r="X85" s="79" t="str">
        <f t="shared" si="66"/>
        <v/>
      </c>
      <c r="Y85" s="79" t="str">
        <f t="shared" si="66"/>
        <v/>
      </c>
      <c r="Z85" s="79" t="str">
        <f t="shared" si="66"/>
        <v/>
      </c>
      <c r="AA85" s="79" t="str">
        <f t="shared" si="66"/>
        <v>04</v>
      </c>
      <c r="AB85" s="79" t="str">
        <f t="shared" si="66"/>
        <v/>
      </c>
      <c r="AC85" s="79" t="str">
        <f t="shared" si="66"/>
        <v/>
      </c>
      <c r="AD85" s="79" t="str">
        <f t="shared" si="66"/>
        <v/>
      </c>
      <c r="AE85" s="79" t="str">
        <f t="shared" si="66"/>
        <v/>
      </c>
      <c r="AF85" s="79" t="str">
        <f t="shared" si="66"/>
        <v/>
      </c>
    </row>
    <row r="86" spans="2:32" x14ac:dyDescent="0.3">
      <c r="B86" s="40">
        <v>82</v>
      </c>
      <c r="C86" s="40" t="str">
        <f t="shared" si="51"/>
        <v>0x052</v>
      </c>
      <c r="D86" s="64" t="s">
        <v>166</v>
      </c>
      <c r="E86" s="43" t="s">
        <v>167</v>
      </c>
      <c r="F86" s="44"/>
      <c r="G86" s="45"/>
      <c r="I86" s="40">
        <v>82</v>
      </c>
      <c r="J86" s="40" t="str">
        <f t="shared" si="52"/>
        <v>0x052</v>
      </c>
      <c r="K86" s="64" t="s">
        <v>166</v>
      </c>
      <c r="L86" s="43" t="s">
        <v>167</v>
      </c>
      <c r="M86" s="44"/>
      <c r="N86" s="45"/>
      <c r="P86" s="78" t="s">
        <v>354</v>
      </c>
      <c r="Q86" s="79" t="str">
        <f t="shared" ref="Q86:AF86" si="67">RIGHT(INDEX($K$4:$K$141,MATCH(Q16,$I$4:$I$141,0)),2)</f>
        <v/>
      </c>
      <c r="R86" s="79" t="str">
        <f t="shared" si="67"/>
        <v/>
      </c>
      <c r="S86" s="79" t="str">
        <f t="shared" si="67"/>
        <v/>
      </c>
      <c r="T86" s="79" t="str">
        <f t="shared" si="67"/>
        <v/>
      </c>
      <c r="U86" s="79" t="str">
        <f t="shared" si="67"/>
        <v/>
      </c>
      <c r="V86" s="79" t="str">
        <f t="shared" si="67"/>
        <v/>
      </c>
      <c r="W86" s="79" t="str">
        <f t="shared" si="67"/>
        <v/>
      </c>
      <c r="X86" s="79" t="str">
        <f t="shared" si="67"/>
        <v/>
      </c>
      <c r="Y86" s="79" t="str">
        <f t="shared" si="67"/>
        <v/>
      </c>
      <c r="Z86" s="79" t="str">
        <f t="shared" si="67"/>
        <v/>
      </c>
      <c r="AA86" s="79" t="str">
        <f t="shared" si="67"/>
        <v/>
      </c>
      <c r="AB86" s="79" t="str">
        <f t="shared" si="67"/>
        <v/>
      </c>
      <c r="AC86" s="79" t="str">
        <f t="shared" si="67"/>
        <v/>
      </c>
      <c r="AD86" s="79" t="str">
        <f t="shared" si="67"/>
        <v/>
      </c>
      <c r="AE86" s="79" t="str">
        <f t="shared" si="67"/>
        <v/>
      </c>
      <c r="AF86" s="79" t="str">
        <f t="shared" si="67"/>
        <v/>
      </c>
    </row>
    <row r="87" spans="2:32" x14ac:dyDescent="0.3">
      <c r="B87" s="40">
        <v>83</v>
      </c>
      <c r="C87" s="40" t="str">
        <f t="shared" si="51"/>
        <v>0x053</v>
      </c>
      <c r="D87" s="64" t="s">
        <v>102</v>
      </c>
      <c r="E87" s="43" t="s">
        <v>168</v>
      </c>
      <c r="F87" s="44"/>
      <c r="G87" s="45"/>
      <c r="I87" s="40">
        <v>83</v>
      </c>
      <c r="J87" s="40" t="str">
        <f t="shared" si="52"/>
        <v>0x053</v>
      </c>
      <c r="K87" s="64" t="s">
        <v>102</v>
      </c>
      <c r="L87" s="43" t="s">
        <v>168</v>
      </c>
      <c r="M87" s="44"/>
      <c r="N87" s="45"/>
      <c r="P87" s="78" t="s">
        <v>355</v>
      </c>
      <c r="Q87" s="79" t="str">
        <f t="shared" ref="Q87:AF87" si="68">RIGHT(INDEX($K$4:$K$141,MATCH(Q17,$I$4:$I$141,0)),2)</f>
        <v/>
      </c>
      <c r="R87" s="79" t="str">
        <f t="shared" si="68"/>
        <v>05</v>
      </c>
      <c r="S87" s="79" t="str">
        <f t="shared" si="68"/>
        <v/>
      </c>
      <c r="T87" s="79" t="str">
        <f t="shared" si="68"/>
        <v/>
      </c>
      <c r="U87" s="79" t="str">
        <f t="shared" si="68"/>
        <v/>
      </c>
      <c r="V87" s="79" t="str">
        <f t="shared" si="68"/>
        <v/>
      </c>
      <c r="W87" s="79" t="str">
        <f t="shared" si="68"/>
        <v/>
      </c>
      <c r="X87" s="79" t="str">
        <f t="shared" si="68"/>
        <v/>
      </c>
      <c r="Y87" s="79" t="str">
        <f t="shared" si="68"/>
        <v/>
      </c>
      <c r="Z87" s="79" t="str">
        <f t="shared" si="68"/>
        <v/>
      </c>
      <c r="AA87" s="79" t="str">
        <f t="shared" si="68"/>
        <v/>
      </c>
      <c r="AB87" s="79" t="str">
        <f t="shared" si="68"/>
        <v/>
      </c>
      <c r="AC87" s="79" t="str">
        <f t="shared" si="68"/>
        <v/>
      </c>
      <c r="AD87" s="79" t="str">
        <f t="shared" si="68"/>
        <v/>
      </c>
      <c r="AE87" s="79" t="str">
        <f t="shared" si="68"/>
        <v/>
      </c>
      <c r="AF87" s="79" t="str">
        <f t="shared" si="68"/>
        <v/>
      </c>
    </row>
    <row r="88" spans="2:32" x14ac:dyDescent="0.3">
      <c r="B88" s="40">
        <v>84</v>
      </c>
      <c r="C88" s="40" t="str">
        <f t="shared" si="51"/>
        <v>0x054</v>
      </c>
      <c r="D88" s="64" t="s">
        <v>65</v>
      </c>
      <c r="E88" s="43" t="s">
        <v>169</v>
      </c>
      <c r="F88" s="44"/>
      <c r="G88" s="45"/>
      <c r="I88" s="40">
        <v>84</v>
      </c>
      <c r="J88" s="40" t="str">
        <f t="shared" si="52"/>
        <v>0x054</v>
      </c>
      <c r="K88" s="64" t="s">
        <v>65</v>
      </c>
      <c r="L88" s="43" t="s">
        <v>169</v>
      </c>
      <c r="M88" s="44"/>
      <c r="N88" s="45"/>
      <c r="P88" s="78" t="s">
        <v>356</v>
      </c>
      <c r="Q88" s="79" t="str">
        <f t="shared" ref="Q88:AF88" si="69">RIGHT(INDEX($K$4:$K$141,MATCH(Q18,$I$4:$I$141,0)),2)</f>
        <v/>
      </c>
      <c r="R88" s="79" t="str">
        <f t="shared" si="69"/>
        <v/>
      </c>
      <c r="S88" s="79" t="str">
        <f t="shared" si="69"/>
        <v/>
      </c>
      <c r="T88" s="79" t="str">
        <f t="shared" si="69"/>
        <v/>
      </c>
      <c r="U88" s="79" t="str">
        <f t="shared" si="69"/>
        <v/>
      </c>
      <c r="V88" s="79" t="str">
        <f t="shared" si="69"/>
        <v/>
      </c>
      <c r="W88" s="79" t="str">
        <f t="shared" si="69"/>
        <v/>
      </c>
      <c r="X88" s="79" t="str">
        <f t="shared" si="69"/>
        <v/>
      </c>
      <c r="Y88" s="79" t="str">
        <f t="shared" si="69"/>
        <v>06</v>
      </c>
      <c r="Z88" s="79" t="str">
        <f t="shared" si="69"/>
        <v/>
      </c>
      <c r="AA88" s="79" t="str">
        <f t="shared" si="69"/>
        <v/>
      </c>
      <c r="AB88" s="79" t="str">
        <f t="shared" si="69"/>
        <v/>
      </c>
      <c r="AC88" s="79" t="str">
        <f t="shared" si="69"/>
        <v/>
      </c>
      <c r="AD88" s="79" t="str">
        <f t="shared" si="69"/>
        <v/>
      </c>
      <c r="AE88" s="79" t="str">
        <f t="shared" si="69"/>
        <v/>
      </c>
      <c r="AF88" s="79" t="str">
        <f t="shared" si="69"/>
        <v/>
      </c>
    </row>
    <row r="89" spans="2:32" x14ac:dyDescent="0.3">
      <c r="B89" s="40">
        <v>85</v>
      </c>
      <c r="C89" s="40" t="str">
        <f t="shared" si="51"/>
        <v>0x055</v>
      </c>
      <c r="D89" s="64" t="s">
        <v>170</v>
      </c>
      <c r="E89" s="43" t="s">
        <v>171</v>
      </c>
      <c r="F89" s="44"/>
      <c r="G89" s="45"/>
      <c r="I89" s="40">
        <v>85</v>
      </c>
      <c r="J89" s="40" t="str">
        <f t="shared" si="52"/>
        <v>0x055</v>
      </c>
      <c r="K89" s="64" t="s">
        <v>170</v>
      </c>
      <c r="L89" s="43" t="s">
        <v>171</v>
      </c>
      <c r="M89" s="44"/>
      <c r="N89" s="45"/>
      <c r="P89" s="78" t="s">
        <v>357</v>
      </c>
      <c r="Q89" s="79" t="str">
        <f t="shared" ref="Q89:AF89" si="70">RIGHT(INDEX($K$4:$K$141,MATCH(Q19,$I$4:$I$141,0)),2)</f>
        <v/>
      </c>
      <c r="R89" s="79" t="str">
        <f t="shared" si="70"/>
        <v/>
      </c>
      <c r="S89" s="79" t="str">
        <f t="shared" si="70"/>
        <v/>
      </c>
      <c r="T89" s="79" t="str">
        <f t="shared" si="70"/>
        <v/>
      </c>
      <c r="U89" s="79" t="str">
        <f t="shared" si="70"/>
        <v/>
      </c>
      <c r="V89" s="79" t="str">
        <f t="shared" si="70"/>
        <v/>
      </c>
      <c r="W89" s="79" t="str">
        <f t="shared" si="70"/>
        <v/>
      </c>
      <c r="X89" s="79" t="str">
        <f t="shared" si="70"/>
        <v/>
      </c>
      <c r="Y89" s="79" t="str">
        <f t="shared" si="70"/>
        <v/>
      </c>
      <c r="Z89" s="79" t="str">
        <f t="shared" si="70"/>
        <v/>
      </c>
      <c r="AA89" s="79" t="str">
        <f t="shared" si="70"/>
        <v/>
      </c>
      <c r="AB89" s="79" t="str">
        <f t="shared" si="70"/>
        <v/>
      </c>
      <c r="AC89" s="79" t="str">
        <f t="shared" si="70"/>
        <v/>
      </c>
      <c r="AD89" s="79" t="str">
        <f t="shared" si="70"/>
        <v/>
      </c>
      <c r="AE89" s="79" t="str">
        <f t="shared" si="70"/>
        <v/>
      </c>
      <c r="AF89" s="79" t="str">
        <f t="shared" si="70"/>
        <v>07</v>
      </c>
    </row>
    <row r="90" spans="2:32" x14ac:dyDescent="0.3">
      <c r="B90" s="40">
        <v>86</v>
      </c>
      <c r="C90" s="40" t="str">
        <f t="shared" si="51"/>
        <v>0x056</v>
      </c>
      <c r="D90" s="64" t="s">
        <v>51</v>
      </c>
      <c r="E90" s="43" t="s">
        <v>172</v>
      </c>
      <c r="F90" s="44"/>
      <c r="G90" s="45"/>
      <c r="I90" s="40">
        <v>86</v>
      </c>
      <c r="J90" s="40" t="str">
        <f t="shared" si="52"/>
        <v>0x056</v>
      </c>
      <c r="K90" s="64" t="s">
        <v>51</v>
      </c>
      <c r="L90" s="43" t="s">
        <v>172</v>
      </c>
      <c r="M90" s="44"/>
      <c r="N90" s="45"/>
      <c r="P90" s="78" t="s">
        <v>358</v>
      </c>
      <c r="Q90" s="79" t="str">
        <f t="shared" ref="Q90:AF90" si="71">RIGHT(INDEX($K$4:$K$141,MATCH(Q20,$I$4:$I$141,0)),2)</f>
        <v/>
      </c>
      <c r="R90" s="79" t="str">
        <f t="shared" si="71"/>
        <v/>
      </c>
      <c r="S90" s="79" t="str">
        <f t="shared" si="71"/>
        <v/>
      </c>
      <c r="T90" s="79" t="str">
        <f t="shared" si="71"/>
        <v/>
      </c>
      <c r="U90" s="79" t="str">
        <f t="shared" si="71"/>
        <v/>
      </c>
      <c r="V90" s="79" t="str">
        <f t="shared" si="71"/>
        <v/>
      </c>
      <c r="W90" s="79" t="str">
        <f t="shared" si="71"/>
        <v/>
      </c>
      <c r="X90" s="79" t="str">
        <f t="shared" si="71"/>
        <v/>
      </c>
      <c r="Y90" s="79" t="str">
        <f t="shared" si="71"/>
        <v/>
      </c>
      <c r="Z90" s="79" t="str">
        <f t="shared" si="71"/>
        <v/>
      </c>
      <c r="AA90" s="79" t="str">
        <f t="shared" si="71"/>
        <v/>
      </c>
      <c r="AB90" s="79" t="str">
        <f t="shared" si="71"/>
        <v/>
      </c>
      <c r="AC90" s="79" t="str">
        <f t="shared" si="71"/>
        <v/>
      </c>
      <c r="AD90" s="79" t="str">
        <f t="shared" si="71"/>
        <v/>
      </c>
      <c r="AE90" s="79" t="str">
        <f t="shared" si="71"/>
        <v/>
      </c>
      <c r="AF90" s="79" t="str">
        <f t="shared" si="71"/>
        <v/>
      </c>
    </row>
    <row r="91" spans="2:32" x14ac:dyDescent="0.3">
      <c r="B91" s="40">
        <v>87</v>
      </c>
      <c r="C91" s="40" t="str">
        <f t="shared" si="51"/>
        <v>0x057</v>
      </c>
      <c r="D91" s="64" t="s">
        <v>81</v>
      </c>
      <c r="E91" s="43" t="s">
        <v>173</v>
      </c>
      <c r="F91" s="44"/>
      <c r="G91" s="45"/>
      <c r="I91" s="40">
        <v>87</v>
      </c>
      <c r="J91" s="40" t="str">
        <f t="shared" si="52"/>
        <v>0x057</v>
      </c>
      <c r="K91" s="64" t="s">
        <v>81</v>
      </c>
      <c r="L91" s="43" t="s">
        <v>173</v>
      </c>
      <c r="M91" s="44"/>
      <c r="N91" s="45"/>
      <c r="P91" s="78" t="s">
        <v>359</v>
      </c>
      <c r="Q91" s="79" t="str">
        <f t="shared" ref="Q91:AF91" si="72">RIGHT(INDEX($K$4:$K$141,MATCH(Q21,$I$4:$I$141,0)),2)</f>
        <v/>
      </c>
      <c r="R91" s="79" t="str">
        <f t="shared" si="72"/>
        <v/>
      </c>
      <c r="S91" s="79" t="str">
        <f t="shared" si="72"/>
        <v/>
      </c>
      <c r="T91" s="79" t="str">
        <f t="shared" si="72"/>
        <v/>
      </c>
      <c r="U91" s="79" t="str">
        <f t="shared" si="72"/>
        <v/>
      </c>
      <c r="V91" s="79" t="str">
        <f t="shared" si="72"/>
        <v/>
      </c>
      <c r="W91" s="79" t="str">
        <f t="shared" si="72"/>
        <v>08</v>
      </c>
      <c r="X91" s="79" t="str">
        <f t="shared" si="72"/>
        <v/>
      </c>
      <c r="Y91" s="79" t="str">
        <f t="shared" si="72"/>
        <v/>
      </c>
      <c r="Z91" s="79" t="str">
        <f t="shared" si="72"/>
        <v/>
      </c>
      <c r="AA91" s="79" t="str">
        <f t="shared" si="72"/>
        <v/>
      </c>
      <c r="AB91" s="79" t="str">
        <f t="shared" si="72"/>
        <v/>
      </c>
      <c r="AC91" s="79" t="str">
        <f t="shared" si="72"/>
        <v/>
      </c>
      <c r="AD91" s="79" t="str">
        <f t="shared" si="72"/>
        <v/>
      </c>
      <c r="AE91" s="79" t="str">
        <f t="shared" si="72"/>
        <v/>
      </c>
      <c r="AF91" s="79" t="str">
        <f t="shared" si="72"/>
        <v/>
      </c>
    </row>
    <row r="92" spans="2:32" x14ac:dyDescent="0.3">
      <c r="B92" s="40">
        <v>88</v>
      </c>
      <c r="C92" s="40" t="str">
        <f t="shared" si="51"/>
        <v>0x058</v>
      </c>
      <c r="D92" s="64" t="s">
        <v>174</v>
      </c>
      <c r="E92" s="43" t="s">
        <v>175</v>
      </c>
      <c r="F92" s="44"/>
      <c r="G92" s="45"/>
      <c r="I92" s="40">
        <v>88</v>
      </c>
      <c r="J92" s="40" t="str">
        <f t="shared" si="52"/>
        <v>0x058</v>
      </c>
      <c r="K92" s="64" t="s">
        <v>174</v>
      </c>
      <c r="L92" s="43" t="s">
        <v>175</v>
      </c>
      <c r="M92" s="44"/>
      <c r="N92" s="45"/>
      <c r="P92" s="78" t="s">
        <v>360</v>
      </c>
      <c r="Q92" s="79" t="str">
        <f t="shared" ref="Q92:AF92" si="73">RIGHT(INDEX($K$4:$K$141,MATCH(Q22,$I$4:$I$141,0)),2)</f>
        <v/>
      </c>
      <c r="R92" s="79" t="str">
        <f t="shared" si="73"/>
        <v/>
      </c>
      <c r="S92" s="79" t="str">
        <f t="shared" si="73"/>
        <v/>
      </c>
      <c r="T92" s="79" t="str">
        <f t="shared" si="73"/>
        <v/>
      </c>
      <c r="U92" s="79" t="str">
        <f t="shared" si="73"/>
        <v/>
      </c>
      <c r="V92" s="79" t="str">
        <f t="shared" si="73"/>
        <v/>
      </c>
      <c r="W92" s="79" t="str">
        <f t="shared" si="73"/>
        <v/>
      </c>
      <c r="X92" s="79" t="str">
        <f t="shared" si="73"/>
        <v/>
      </c>
      <c r="Y92" s="79" t="str">
        <f t="shared" si="73"/>
        <v/>
      </c>
      <c r="Z92" s="79" t="str">
        <f t="shared" si="73"/>
        <v/>
      </c>
      <c r="AA92" s="79" t="str">
        <f t="shared" si="73"/>
        <v/>
      </c>
      <c r="AB92" s="79" t="str">
        <f t="shared" si="73"/>
        <v/>
      </c>
      <c r="AC92" s="79" t="str">
        <f t="shared" si="73"/>
        <v/>
      </c>
      <c r="AD92" s="79" t="str">
        <f t="shared" si="73"/>
        <v>09</v>
      </c>
      <c r="AE92" s="79" t="str">
        <f t="shared" si="73"/>
        <v/>
      </c>
      <c r="AF92" s="79" t="str">
        <f t="shared" si="73"/>
        <v/>
      </c>
    </row>
    <row r="93" spans="2:32" x14ac:dyDescent="0.3">
      <c r="B93" s="40">
        <v>89</v>
      </c>
      <c r="C93" s="40" t="str">
        <f t="shared" si="51"/>
        <v>0x059</v>
      </c>
      <c r="D93" s="64" t="s">
        <v>51</v>
      </c>
      <c r="E93" s="43" t="s">
        <v>176</v>
      </c>
      <c r="F93" s="44"/>
      <c r="G93" s="45"/>
      <c r="I93" s="40">
        <v>89</v>
      </c>
      <c r="J93" s="40" t="str">
        <f t="shared" si="52"/>
        <v>0x059</v>
      </c>
      <c r="K93" s="64" t="s">
        <v>51</v>
      </c>
      <c r="L93" s="43" t="s">
        <v>176</v>
      </c>
      <c r="M93" s="44"/>
      <c r="N93" s="45"/>
      <c r="P93" s="78" t="s">
        <v>361</v>
      </c>
      <c r="Q93" s="79" t="str">
        <f t="shared" ref="Q93:AF93" si="74">RIGHT(INDEX($K$4:$K$141,MATCH(Q23,$I$4:$I$141,0)),2)</f>
        <v/>
      </c>
      <c r="R93" s="79" t="str">
        <f t="shared" si="74"/>
        <v/>
      </c>
      <c r="S93" s="79" t="str">
        <f t="shared" si="74"/>
        <v/>
      </c>
      <c r="T93" s="79" t="str">
        <f t="shared" si="74"/>
        <v/>
      </c>
      <c r="U93" s="79" t="str">
        <f t="shared" si="74"/>
        <v/>
      </c>
      <c r="V93" s="79" t="str">
        <f t="shared" si="74"/>
        <v/>
      </c>
      <c r="W93" s="79" t="str">
        <f t="shared" si="74"/>
        <v/>
      </c>
      <c r="X93" s="79" t="str">
        <f t="shared" si="74"/>
        <v/>
      </c>
      <c r="Y93" s="79" t="str">
        <f t="shared" si="74"/>
        <v/>
      </c>
      <c r="Z93" s="79" t="str">
        <f t="shared" si="74"/>
        <v/>
      </c>
      <c r="AA93" s="79" t="str">
        <f t="shared" si="74"/>
        <v/>
      </c>
      <c r="AB93" s="79" t="str">
        <f t="shared" si="74"/>
        <v/>
      </c>
      <c r="AC93" s="79" t="str">
        <f t="shared" si="74"/>
        <v/>
      </c>
      <c r="AD93" s="79" t="str">
        <f t="shared" si="74"/>
        <v/>
      </c>
      <c r="AE93" s="79" t="str">
        <f t="shared" si="74"/>
        <v/>
      </c>
      <c r="AF93" s="79" t="str">
        <f t="shared" si="74"/>
        <v/>
      </c>
    </row>
    <row r="94" spans="2:32" x14ac:dyDescent="0.3">
      <c r="B94" s="40">
        <v>90</v>
      </c>
      <c r="C94" s="40" t="str">
        <f t="shared" si="51"/>
        <v>0x05A</v>
      </c>
      <c r="D94" s="64" t="s">
        <v>51</v>
      </c>
      <c r="E94" s="43" t="s">
        <v>378</v>
      </c>
      <c r="F94" s="44"/>
      <c r="G94" s="45"/>
      <c r="I94" s="40">
        <v>90</v>
      </c>
      <c r="J94" s="40" t="str">
        <f t="shared" si="52"/>
        <v>0x05A</v>
      </c>
      <c r="K94" s="64" t="s">
        <v>51</v>
      </c>
      <c r="L94" s="43" t="s">
        <v>177</v>
      </c>
      <c r="M94" s="44"/>
      <c r="N94" s="45"/>
      <c r="P94" s="78" t="s">
        <v>362</v>
      </c>
      <c r="Q94" s="79" t="str">
        <f t="shared" ref="Q94:AF94" si="75">RIGHT(INDEX($K$4:$K$141,MATCH(Q24,$I$4:$I$141,0)),2)</f>
        <v/>
      </c>
      <c r="R94" s="79" t="str">
        <f t="shared" si="75"/>
        <v/>
      </c>
      <c r="S94" s="79" t="str">
        <f t="shared" si="75"/>
        <v/>
      </c>
      <c r="T94" s="79" t="str">
        <f t="shared" si="75"/>
        <v/>
      </c>
      <c r="U94" s="79" t="str">
        <f t="shared" si="75"/>
        <v>0A</v>
      </c>
      <c r="V94" s="79" t="str">
        <f t="shared" si="75"/>
        <v/>
      </c>
      <c r="W94" s="79" t="str">
        <f t="shared" si="75"/>
        <v/>
      </c>
      <c r="X94" s="79" t="str">
        <f t="shared" si="75"/>
        <v/>
      </c>
      <c r="Y94" s="79" t="str">
        <f t="shared" si="75"/>
        <v/>
      </c>
      <c r="Z94" s="79" t="str">
        <f t="shared" si="75"/>
        <v/>
      </c>
      <c r="AA94" s="79" t="str">
        <f t="shared" si="75"/>
        <v/>
      </c>
      <c r="AB94" s="79" t="str">
        <f t="shared" si="75"/>
        <v/>
      </c>
      <c r="AC94" s="79" t="str">
        <f t="shared" si="75"/>
        <v/>
      </c>
      <c r="AD94" s="79" t="str">
        <f t="shared" si="75"/>
        <v/>
      </c>
      <c r="AE94" s="79" t="str">
        <f t="shared" si="75"/>
        <v/>
      </c>
      <c r="AF94" s="79" t="str">
        <f t="shared" si="75"/>
        <v/>
      </c>
    </row>
    <row r="95" spans="2:32" x14ac:dyDescent="0.3">
      <c r="B95" s="40">
        <v>91</v>
      </c>
      <c r="C95" s="40" t="str">
        <f t="shared" si="51"/>
        <v>0x05B</v>
      </c>
      <c r="D95" s="65"/>
      <c r="E95" s="43" t="s">
        <v>178</v>
      </c>
      <c r="F95" s="44"/>
      <c r="G95" s="45"/>
      <c r="I95" s="40">
        <v>91</v>
      </c>
      <c r="J95" s="40" t="str">
        <f t="shared" si="52"/>
        <v>0x05B</v>
      </c>
      <c r="K95" s="65"/>
      <c r="L95" s="43" t="s">
        <v>248</v>
      </c>
      <c r="M95" s="44"/>
      <c r="N95" s="45"/>
      <c r="P95" s="78" t="s">
        <v>363</v>
      </c>
      <c r="Q95" s="79" t="str">
        <f t="shared" ref="Q95:AF95" si="76">RIGHT(INDEX($K$4:$K$141,MATCH(Q25,$I$4:$I$141,0)),2)</f>
        <v/>
      </c>
      <c r="R95" s="79" t="str">
        <f t="shared" si="76"/>
        <v/>
      </c>
      <c r="S95" s="79" t="str">
        <f t="shared" si="76"/>
        <v/>
      </c>
      <c r="T95" s="79" t="str">
        <f t="shared" si="76"/>
        <v/>
      </c>
      <c r="U95" s="79" t="str">
        <f t="shared" si="76"/>
        <v/>
      </c>
      <c r="V95" s="79" t="str">
        <f t="shared" si="76"/>
        <v/>
      </c>
      <c r="W95" s="79" t="str">
        <f t="shared" si="76"/>
        <v/>
      </c>
      <c r="X95" s="79" t="str">
        <f t="shared" si="76"/>
        <v/>
      </c>
      <c r="Y95" s="79" t="str">
        <f t="shared" si="76"/>
        <v/>
      </c>
      <c r="Z95" s="79" t="str">
        <f t="shared" si="76"/>
        <v/>
      </c>
      <c r="AA95" s="79" t="str">
        <f t="shared" si="76"/>
        <v/>
      </c>
      <c r="AB95" s="79" t="str">
        <f t="shared" si="76"/>
        <v>0B</v>
      </c>
      <c r="AC95" s="79" t="str">
        <f t="shared" si="76"/>
        <v/>
      </c>
      <c r="AD95" s="79" t="str">
        <f t="shared" si="76"/>
        <v/>
      </c>
      <c r="AE95" s="79" t="str">
        <f t="shared" si="76"/>
        <v/>
      </c>
      <c r="AF95" s="79" t="str">
        <f t="shared" si="76"/>
        <v/>
      </c>
    </row>
    <row r="96" spans="2:32" x14ac:dyDescent="0.3">
      <c r="B96" s="40">
        <v>92</v>
      </c>
      <c r="C96" s="40" t="str">
        <f t="shared" si="51"/>
        <v>0x05C</v>
      </c>
      <c r="D96" s="65"/>
      <c r="E96" s="43" t="s">
        <v>179</v>
      </c>
      <c r="F96" s="44"/>
      <c r="G96" s="45"/>
      <c r="I96" s="40">
        <v>92</v>
      </c>
      <c r="J96" s="40" t="str">
        <f t="shared" si="52"/>
        <v>0x05C</v>
      </c>
      <c r="K96" s="65"/>
      <c r="L96" s="43" t="s">
        <v>248</v>
      </c>
      <c r="M96" s="44"/>
      <c r="N96" s="45"/>
      <c r="P96" s="78" t="s">
        <v>364</v>
      </c>
      <c r="Q96" s="79" t="str">
        <f t="shared" ref="Q96:AF96" si="77">RIGHT(INDEX($K$4:$K$141,MATCH(Q26,$I$4:$I$141,0)),2)</f>
        <v/>
      </c>
      <c r="R96" s="79" t="str">
        <f t="shared" si="77"/>
        <v/>
      </c>
      <c r="S96" s="79" t="str">
        <f t="shared" si="77"/>
        <v/>
      </c>
      <c r="T96" s="79" t="str">
        <f t="shared" si="77"/>
        <v/>
      </c>
      <c r="U96" s="79" t="str">
        <f t="shared" si="77"/>
        <v/>
      </c>
      <c r="V96" s="79" t="str">
        <f t="shared" si="77"/>
        <v/>
      </c>
      <c r="W96" s="79" t="str">
        <f t="shared" si="77"/>
        <v/>
      </c>
      <c r="X96" s="79" t="str">
        <f t="shared" si="77"/>
        <v/>
      </c>
      <c r="Y96" s="79" t="str">
        <f t="shared" si="77"/>
        <v/>
      </c>
      <c r="Z96" s="79" t="str">
        <f t="shared" si="77"/>
        <v/>
      </c>
      <c r="AA96" s="79" t="str">
        <f t="shared" si="77"/>
        <v/>
      </c>
      <c r="AB96" s="79" t="str">
        <f t="shared" si="77"/>
        <v/>
      </c>
      <c r="AC96" s="79" t="str">
        <f t="shared" si="77"/>
        <v/>
      </c>
      <c r="AD96" s="79" t="str">
        <f t="shared" si="77"/>
        <v/>
      </c>
      <c r="AE96" s="79" t="str">
        <f t="shared" si="77"/>
        <v/>
      </c>
      <c r="AF96" s="79" t="str">
        <f t="shared" si="77"/>
        <v/>
      </c>
    </row>
    <row r="97" spans="2:32" x14ac:dyDescent="0.3">
      <c r="B97" s="40">
        <v>93</v>
      </c>
      <c r="C97" s="40" t="str">
        <f t="shared" si="51"/>
        <v>0x05D</v>
      </c>
      <c r="D97" s="65"/>
      <c r="E97" s="43" t="s">
        <v>180</v>
      </c>
      <c r="F97" s="44"/>
      <c r="G97" s="45"/>
      <c r="I97" s="40">
        <v>93</v>
      </c>
      <c r="J97" s="40" t="str">
        <f t="shared" si="52"/>
        <v>0x05D</v>
      </c>
      <c r="K97" s="65"/>
      <c r="L97" s="43" t="s">
        <v>248</v>
      </c>
      <c r="M97" s="44"/>
      <c r="N97" s="45"/>
      <c r="P97" s="78" t="s">
        <v>365</v>
      </c>
      <c r="Q97" s="79" t="str">
        <f t="shared" ref="Q97:AF97" si="78">RIGHT(INDEX($K$4:$K$141,MATCH(Q27,$I$4:$I$141,0)),2)</f>
        <v/>
      </c>
      <c r="R97" s="79" t="str">
        <f t="shared" si="78"/>
        <v/>
      </c>
      <c r="S97" s="79" t="str">
        <f t="shared" si="78"/>
        <v>0C</v>
      </c>
      <c r="T97" s="79" t="str">
        <f t="shared" si="78"/>
        <v/>
      </c>
      <c r="U97" s="79" t="str">
        <f t="shared" si="78"/>
        <v/>
      </c>
      <c r="V97" s="79" t="str">
        <f t="shared" si="78"/>
        <v/>
      </c>
      <c r="W97" s="79" t="str">
        <f t="shared" si="78"/>
        <v/>
      </c>
      <c r="X97" s="79" t="str">
        <f t="shared" si="78"/>
        <v/>
      </c>
      <c r="Y97" s="79" t="str">
        <f t="shared" si="78"/>
        <v/>
      </c>
      <c r="Z97" s="79" t="str">
        <f t="shared" si="78"/>
        <v/>
      </c>
      <c r="AA97" s="79" t="str">
        <f t="shared" si="78"/>
        <v/>
      </c>
      <c r="AB97" s="79" t="str">
        <f t="shared" si="78"/>
        <v/>
      </c>
      <c r="AC97" s="79" t="str">
        <f t="shared" si="78"/>
        <v/>
      </c>
      <c r="AD97" s="79" t="str">
        <f t="shared" si="78"/>
        <v/>
      </c>
      <c r="AE97" s="79" t="str">
        <f t="shared" si="78"/>
        <v/>
      </c>
      <c r="AF97" s="79" t="str">
        <f t="shared" si="78"/>
        <v/>
      </c>
    </row>
    <row r="98" spans="2:32" x14ac:dyDescent="0.3">
      <c r="B98" s="40">
        <v>94</v>
      </c>
      <c r="C98" s="40" t="str">
        <f t="shared" si="51"/>
        <v>0x05E</v>
      </c>
      <c r="D98" s="65"/>
      <c r="E98" s="43" t="s">
        <v>181</v>
      </c>
      <c r="F98" s="44"/>
      <c r="G98" s="45"/>
      <c r="I98" s="40">
        <v>94</v>
      </c>
      <c r="J98" s="40" t="str">
        <f t="shared" si="52"/>
        <v>0x05E</v>
      </c>
      <c r="K98" s="65"/>
      <c r="L98" s="43" t="s">
        <v>248</v>
      </c>
      <c r="M98" s="44"/>
      <c r="N98" s="45"/>
      <c r="P98" s="78" t="s">
        <v>366</v>
      </c>
      <c r="Q98" s="79" t="str">
        <f t="shared" ref="Q98:AF98" si="79">RIGHT(INDEX($K$4:$K$141,MATCH(Q28,$I$4:$I$141,0)),2)</f>
        <v/>
      </c>
      <c r="R98" s="79" t="str">
        <f t="shared" si="79"/>
        <v/>
      </c>
      <c r="S98" s="79" t="str">
        <f t="shared" si="79"/>
        <v/>
      </c>
      <c r="T98" s="79" t="str">
        <f t="shared" si="79"/>
        <v/>
      </c>
      <c r="U98" s="79" t="str">
        <f t="shared" si="79"/>
        <v/>
      </c>
      <c r="V98" s="79" t="str">
        <f t="shared" si="79"/>
        <v/>
      </c>
      <c r="W98" s="79" t="str">
        <f t="shared" si="79"/>
        <v/>
      </c>
      <c r="X98" s="79" t="str">
        <f t="shared" si="79"/>
        <v/>
      </c>
      <c r="Y98" s="79" t="str">
        <f t="shared" si="79"/>
        <v/>
      </c>
      <c r="Z98" s="79" t="str">
        <f t="shared" si="79"/>
        <v>0D</v>
      </c>
      <c r="AA98" s="79" t="str">
        <f t="shared" si="79"/>
        <v/>
      </c>
      <c r="AB98" s="79" t="str">
        <f t="shared" si="79"/>
        <v/>
      </c>
      <c r="AC98" s="79" t="str">
        <f t="shared" si="79"/>
        <v/>
      </c>
      <c r="AD98" s="79" t="str">
        <f t="shared" si="79"/>
        <v/>
      </c>
      <c r="AE98" s="79" t="str">
        <f t="shared" si="79"/>
        <v/>
      </c>
      <c r="AF98" s="79" t="str">
        <f t="shared" si="79"/>
        <v/>
      </c>
    </row>
    <row r="99" spans="2:32" x14ac:dyDescent="0.3">
      <c r="B99" s="40">
        <v>95</v>
      </c>
      <c r="C99" s="40" t="str">
        <f t="shared" si="51"/>
        <v>0x05F</v>
      </c>
      <c r="D99" s="65"/>
      <c r="E99" s="43" t="s">
        <v>308</v>
      </c>
      <c r="F99" s="44"/>
      <c r="G99" s="45"/>
      <c r="I99" s="40">
        <v>95</v>
      </c>
      <c r="J99" s="40" t="str">
        <f t="shared" si="52"/>
        <v>0x05F</v>
      </c>
      <c r="K99" s="65"/>
      <c r="L99" s="43" t="s">
        <v>249</v>
      </c>
      <c r="M99" s="44"/>
      <c r="N99" s="45"/>
      <c r="P99" s="78" t="s">
        <v>367</v>
      </c>
      <c r="Q99" s="79" t="str">
        <f t="shared" ref="Q99:AF99" si="80">RIGHT(INDEX($K$4:$K$141,MATCH(Q29,$I$4:$I$141,0)),2)</f>
        <v/>
      </c>
      <c r="R99" s="79" t="str">
        <f t="shared" si="80"/>
        <v/>
      </c>
      <c r="S99" s="79" t="str">
        <f t="shared" si="80"/>
        <v/>
      </c>
      <c r="T99" s="79" t="str">
        <f t="shared" si="80"/>
        <v/>
      </c>
      <c r="U99" s="79" t="str">
        <f t="shared" si="80"/>
        <v/>
      </c>
      <c r="V99" s="79" t="str">
        <f t="shared" si="80"/>
        <v/>
      </c>
      <c r="W99" s="79" t="str">
        <f t="shared" si="80"/>
        <v/>
      </c>
      <c r="X99" s="79" t="str">
        <f t="shared" si="80"/>
        <v/>
      </c>
      <c r="Y99" s="79" t="str">
        <f t="shared" si="80"/>
        <v/>
      </c>
      <c r="Z99" s="79" t="str">
        <f t="shared" si="80"/>
        <v/>
      </c>
      <c r="AA99" s="79" t="str">
        <f t="shared" si="80"/>
        <v/>
      </c>
      <c r="AB99" s="79" t="str">
        <f t="shared" si="80"/>
        <v/>
      </c>
      <c r="AC99" s="79" t="str">
        <f t="shared" si="80"/>
        <v/>
      </c>
      <c r="AD99" s="79" t="str">
        <f t="shared" si="80"/>
        <v/>
      </c>
      <c r="AE99" s="79" t="str">
        <f t="shared" si="80"/>
        <v/>
      </c>
      <c r="AF99" s="79" t="str">
        <f t="shared" si="80"/>
        <v/>
      </c>
    </row>
    <row r="100" spans="2:32" x14ac:dyDescent="0.3">
      <c r="B100" s="40">
        <v>96</v>
      </c>
      <c r="C100" s="40" t="str">
        <f t="shared" si="51"/>
        <v>0x060</v>
      </c>
      <c r="D100" s="65"/>
      <c r="E100" s="43" t="s">
        <v>185</v>
      </c>
      <c r="F100" s="44"/>
      <c r="G100" s="45"/>
      <c r="I100" s="40">
        <v>96</v>
      </c>
      <c r="J100" s="40" t="str">
        <f t="shared" si="52"/>
        <v>0x060</v>
      </c>
      <c r="K100" s="65"/>
      <c r="L100" s="43" t="s">
        <v>185</v>
      </c>
      <c r="M100" s="44"/>
      <c r="N100" s="45"/>
      <c r="P100" s="78" t="s">
        <v>368</v>
      </c>
      <c r="Q100" s="79" t="str">
        <f t="shared" ref="Q100:AF100" si="81">RIGHT(INDEX($K$4:$K$141,MATCH(Q30,$I$4:$I$141,0)),2)</f>
        <v>0E</v>
      </c>
      <c r="R100" s="79" t="str">
        <f t="shared" si="81"/>
        <v/>
      </c>
      <c r="S100" s="79" t="str">
        <f t="shared" si="81"/>
        <v/>
      </c>
      <c r="T100" s="79" t="str">
        <f t="shared" si="81"/>
        <v/>
      </c>
      <c r="U100" s="79" t="str">
        <f t="shared" si="81"/>
        <v/>
      </c>
      <c r="V100" s="79" t="str">
        <f t="shared" si="81"/>
        <v/>
      </c>
      <c r="W100" s="79" t="str">
        <f t="shared" si="81"/>
        <v/>
      </c>
      <c r="X100" s="79" t="str">
        <f t="shared" si="81"/>
        <v/>
      </c>
      <c r="Y100" s="79" t="str">
        <f t="shared" si="81"/>
        <v/>
      </c>
      <c r="Z100" s="79" t="str">
        <f t="shared" si="81"/>
        <v/>
      </c>
      <c r="AA100" s="79" t="str">
        <f t="shared" si="81"/>
        <v/>
      </c>
      <c r="AB100" s="79" t="str">
        <f t="shared" si="81"/>
        <v/>
      </c>
      <c r="AC100" s="79" t="str">
        <f t="shared" si="81"/>
        <v/>
      </c>
      <c r="AD100" s="79" t="str">
        <f t="shared" si="81"/>
        <v/>
      </c>
      <c r="AE100" s="79" t="str">
        <f t="shared" si="81"/>
        <v/>
      </c>
      <c r="AF100" s="79" t="str">
        <f t="shared" si="81"/>
        <v/>
      </c>
    </row>
    <row r="101" spans="2:32" x14ac:dyDescent="0.3">
      <c r="B101" s="40">
        <v>97</v>
      </c>
      <c r="C101" s="40" t="str">
        <f t="shared" si="51"/>
        <v>0x061</v>
      </c>
      <c r="D101" s="65"/>
      <c r="E101" s="43" t="s">
        <v>183</v>
      </c>
      <c r="F101" s="44"/>
      <c r="G101" s="45"/>
      <c r="I101" s="40">
        <v>97</v>
      </c>
      <c r="J101" s="40" t="str">
        <f t="shared" si="52"/>
        <v>0x061</v>
      </c>
      <c r="K101" s="65"/>
      <c r="L101" s="43" t="s">
        <v>183</v>
      </c>
      <c r="M101" s="44"/>
      <c r="N101" s="45"/>
      <c r="P101" s="78" t="s">
        <v>369</v>
      </c>
      <c r="Q101" s="79" t="str">
        <f t="shared" ref="Q101:AF101" si="82">RIGHT(INDEX($K$4:$K$141,MATCH(Q31,$I$4:$I$141,0)),2)</f>
        <v/>
      </c>
      <c r="R101" s="79" t="str">
        <f t="shared" si="82"/>
        <v/>
      </c>
      <c r="S101" s="79" t="str">
        <f t="shared" si="82"/>
        <v/>
      </c>
      <c r="T101" s="79" t="str">
        <f t="shared" si="82"/>
        <v/>
      </c>
      <c r="U101" s="79" t="str">
        <f t="shared" si="82"/>
        <v/>
      </c>
      <c r="V101" s="79" t="str">
        <f t="shared" si="82"/>
        <v/>
      </c>
      <c r="W101" s="79" t="str">
        <f t="shared" si="82"/>
        <v/>
      </c>
      <c r="X101" s="79" t="str">
        <f t="shared" si="82"/>
        <v>0F</v>
      </c>
      <c r="Y101" s="79" t="str">
        <f t="shared" si="82"/>
        <v/>
      </c>
      <c r="Z101" s="79" t="str">
        <f t="shared" si="82"/>
        <v/>
      </c>
      <c r="AA101" s="79" t="str">
        <f t="shared" si="82"/>
        <v/>
      </c>
      <c r="AB101" s="79" t="str">
        <f t="shared" si="82"/>
        <v/>
      </c>
      <c r="AC101" s="79" t="str">
        <f t="shared" si="82"/>
        <v/>
      </c>
      <c r="AD101" s="79" t="str">
        <f t="shared" si="82"/>
        <v/>
      </c>
      <c r="AE101" s="79" t="str">
        <f t="shared" si="82"/>
        <v/>
      </c>
      <c r="AF101" s="79" t="str">
        <f t="shared" si="82"/>
        <v/>
      </c>
    </row>
    <row r="102" spans="2:32" x14ac:dyDescent="0.3">
      <c r="B102" s="40">
        <v>98</v>
      </c>
      <c r="C102" s="40" t="str">
        <f t="shared" si="51"/>
        <v>0x062</v>
      </c>
      <c r="D102" s="65"/>
      <c r="E102" s="43" t="s">
        <v>184</v>
      </c>
      <c r="F102" s="44"/>
      <c r="G102" s="45"/>
      <c r="I102" s="40">
        <v>98</v>
      </c>
      <c r="J102" s="40" t="str">
        <f t="shared" si="52"/>
        <v>0x062</v>
      </c>
      <c r="K102" s="65"/>
      <c r="L102" s="43" t="s">
        <v>184</v>
      </c>
      <c r="M102" s="44"/>
      <c r="N102" s="45"/>
      <c r="P102" s="78" t="s">
        <v>370</v>
      </c>
      <c r="Q102" s="79" t="str">
        <f t="shared" ref="Q102:AF102" si="83">RIGHT(INDEX($K$4:$K$141,MATCH(Q32,$I$4:$I$141,0)),2)</f>
        <v/>
      </c>
      <c r="R102" s="79" t="str">
        <f t="shared" si="83"/>
        <v/>
      </c>
      <c r="S102" s="79" t="str">
        <f t="shared" si="83"/>
        <v/>
      </c>
      <c r="T102" s="79" t="str">
        <f t="shared" si="83"/>
        <v/>
      </c>
      <c r="U102" s="79" t="str">
        <f t="shared" si="83"/>
        <v/>
      </c>
      <c r="V102" s="79" t="str">
        <f t="shared" si="83"/>
        <v/>
      </c>
      <c r="W102" s="79" t="str">
        <f t="shared" si="83"/>
        <v/>
      </c>
      <c r="X102" s="79" t="str">
        <f t="shared" si="83"/>
        <v/>
      </c>
      <c r="Y102" s="79" t="str">
        <f t="shared" si="83"/>
        <v/>
      </c>
      <c r="Z102" s="79" t="str">
        <f t="shared" si="83"/>
        <v/>
      </c>
      <c r="AA102" s="79" t="str">
        <f t="shared" si="83"/>
        <v/>
      </c>
      <c r="AB102" s="79" t="str">
        <f t="shared" si="83"/>
        <v/>
      </c>
      <c r="AC102" s="79" t="str">
        <f t="shared" si="83"/>
        <v/>
      </c>
      <c r="AD102" s="79" t="str">
        <f t="shared" si="83"/>
        <v/>
      </c>
      <c r="AE102" s="79" t="str">
        <f t="shared" si="83"/>
        <v>10</v>
      </c>
      <c r="AF102" s="79" t="str">
        <f t="shared" si="83"/>
        <v/>
      </c>
    </row>
    <row r="103" spans="2:32" x14ac:dyDescent="0.3">
      <c r="B103" s="40">
        <v>99</v>
      </c>
      <c r="C103" s="40" t="str">
        <f t="shared" si="51"/>
        <v>0x063</v>
      </c>
      <c r="D103" s="65"/>
      <c r="E103" s="43" t="s">
        <v>186</v>
      </c>
      <c r="F103" s="44"/>
      <c r="G103" s="45"/>
      <c r="I103" s="40">
        <v>99</v>
      </c>
      <c r="J103" s="40" t="str">
        <f t="shared" si="52"/>
        <v>0x063</v>
      </c>
      <c r="K103" s="65"/>
      <c r="L103" s="43" t="s">
        <v>186</v>
      </c>
      <c r="M103" s="44"/>
      <c r="N103" s="45"/>
      <c r="P103" s="78" t="s">
        <v>371</v>
      </c>
      <c r="Q103" s="79" t="str">
        <f t="shared" ref="Q103:AF103" si="84">RIGHT(INDEX($K$4:$K$141,MATCH(Q33,$I$4:$I$141,0)),2)</f>
        <v/>
      </c>
      <c r="R103" s="79" t="str">
        <f t="shared" si="84"/>
        <v/>
      </c>
      <c r="S103" s="79" t="str">
        <f t="shared" si="84"/>
        <v/>
      </c>
      <c r="T103" s="79" t="str">
        <f t="shared" si="84"/>
        <v/>
      </c>
      <c r="U103" s="79" t="str">
        <f t="shared" si="84"/>
        <v/>
      </c>
      <c r="V103" s="79" t="str">
        <f t="shared" si="84"/>
        <v/>
      </c>
      <c r="W103" s="79" t="str">
        <f t="shared" si="84"/>
        <v/>
      </c>
      <c r="X103" s="79" t="str">
        <f t="shared" si="84"/>
        <v/>
      </c>
      <c r="Y103" s="79" t="str">
        <f t="shared" si="84"/>
        <v/>
      </c>
      <c r="Z103" s="79" t="str">
        <f t="shared" si="84"/>
        <v/>
      </c>
      <c r="AA103" s="79" t="str">
        <f t="shared" si="84"/>
        <v/>
      </c>
      <c r="AB103" s="79" t="str">
        <f t="shared" si="84"/>
        <v/>
      </c>
      <c r="AC103" s="79" t="str">
        <f t="shared" si="84"/>
        <v/>
      </c>
      <c r="AD103" s="79" t="str">
        <f t="shared" si="84"/>
        <v/>
      </c>
      <c r="AE103" s="79" t="str">
        <f t="shared" si="84"/>
        <v/>
      </c>
      <c r="AF103" s="79" t="str">
        <f t="shared" si="84"/>
        <v/>
      </c>
    </row>
    <row r="104" spans="2:32" x14ac:dyDescent="0.3">
      <c r="B104" s="40">
        <v>100</v>
      </c>
      <c r="C104" s="40" t="str">
        <f t="shared" si="51"/>
        <v>0x064</v>
      </c>
      <c r="D104" s="65"/>
      <c r="E104" s="43" t="s">
        <v>186</v>
      </c>
      <c r="F104" s="44"/>
      <c r="G104" s="45"/>
      <c r="I104" s="40">
        <v>100</v>
      </c>
      <c r="J104" s="40" t="str">
        <f t="shared" si="52"/>
        <v>0x064</v>
      </c>
      <c r="K104" s="65"/>
      <c r="L104" s="43" t="s">
        <v>186</v>
      </c>
      <c r="M104" s="44"/>
      <c r="N104" s="45"/>
      <c r="P104" s="78" t="s">
        <v>372</v>
      </c>
      <c r="Q104" s="79" t="str">
        <f t="shared" ref="Q104:AF104" si="85">RIGHT(INDEX($K$4:$K$141,MATCH(Q34,$I$4:$I$141,0)),2)</f>
        <v/>
      </c>
      <c r="R104" s="79" t="str">
        <f t="shared" si="85"/>
        <v/>
      </c>
      <c r="S104" s="79" t="str">
        <f t="shared" si="85"/>
        <v/>
      </c>
      <c r="T104" s="79" t="str">
        <f t="shared" si="85"/>
        <v/>
      </c>
      <c r="U104" s="79" t="str">
        <f t="shared" si="85"/>
        <v/>
      </c>
      <c r="V104" s="79" t="str">
        <f t="shared" si="85"/>
        <v>11</v>
      </c>
      <c r="W104" s="79" t="str">
        <f t="shared" si="85"/>
        <v/>
      </c>
      <c r="X104" s="79" t="str">
        <f t="shared" si="85"/>
        <v/>
      </c>
      <c r="Y104" s="79" t="str">
        <f t="shared" si="85"/>
        <v/>
      </c>
      <c r="Z104" s="79" t="str">
        <f t="shared" si="85"/>
        <v/>
      </c>
      <c r="AA104" s="79" t="str">
        <f t="shared" si="85"/>
        <v/>
      </c>
      <c r="AB104" s="79" t="str">
        <f t="shared" si="85"/>
        <v/>
      </c>
      <c r="AC104" s="79" t="str">
        <f t="shared" si="85"/>
        <v/>
      </c>
      <c r="AD104" s="79" t="str">
        <f t="shared" si="85"/>
        <v/>
      </c>
      <c r="AE104" s="79" t="str">
        <f t="shared" si="85"/>
        <v/>
      </c>
      <c r="AF104" s="79" t="str">
        <f t="shared" si="85"/>
        <v/>
      </c>
    </row>
    <row r="105" spans="2:32" x14ac:dyDescent="0.3">
      <c r="B105" s="40">
        <v>101</v>
      </c>
      <c r="C105" s="40" t="str">
        <f t="shared" si="51"/>
        <v>0x065</v>
      </c>
      <c r="D105" s="65"/>
      <c r="E105" s="43" t="s">
        <v>187</v>
      </c>
      <c r="F105" s="44"/>
      <c r="G105" s="45"/>
      <c r="I105" s="40">
        <v>101</v>
      </c>
      <c r="J105" s="40" t="str">
        <f t="shared" si="52"/>
        <v>0x065</v>
      </c>
      <c r="K105" s="65"/>
      <c r="L105" s="43" t="s">
        <v>187</v>
      </c>
      <c r="M105" s="44"/>
      <c r="N105" s="45"/>
      <c r="P105" s="78" t="s">
        <v>373</v>
      </c>
      <c r="Q105" s="79" t="str">
        <f t="shared" ref="Q105:AF105" si="86">RIGHT(INDEX($K$4:$K$141,MATCH(Q35,$I$4:$I$141,0)),2)</f>
        <v/>
      </c>
      <c r="R105" s="79" t="str">
        <f t="shared" si="86"/>
        <v/>
      </c>
      <c r="S105" s="79" t="str">
        <f t="shared" si="86"/>
        <v/>
      </c>
      <c r="T105" s="79" t="str">
        <f t="shared" si="86"/>
        <v/>
      </c>
      <c r="U105" s="79" t="str">
        <f t="shared" si="86"/>
        <v/>
      </c>
      <c r="V105" s="79" t="str">
        <f t="shared" si="86"/>
        <v/>
      </c>
      <c r="W105" s="79" t="str">
        <f t="shared" si="86"/>
        <v/>
      </c>
      <c r="X105" s="79" t="str">
        <f t="shared" si="86"/>
        <v/>
      </c>
      <c r="Y105" s="79" t="str">
        <f t="shared" si="86"/>
        <v/>
      </c>
      <c r="Z105" s="79" t="str">
        <f t="shared" si="86"/>
        <v/>
      </c>
      <c r="AA105" s="79" t="str">
        <f t="shared" si="86"/>
        <v/>
      </c>
      <c r="AB105" s="79" t="str">
        <f t="shared" si="86"/>
        <v/>
      </c>
      <c r="AC105" s="79" t="str">
        <f t="shared" si="86"/>
        <v>12</v>
      </c>
      <c r="AD105" s="79" t="str">
        <f t="shared" si="86"/>
        <v>80</v>
      </c>
      <c r="AE105" s="79" t="str">
        <f t="shared" si="86"/>
        <v>00</v>
      </c>
      <c r="AF105" s="79" t="str">
        <f t="shared" si="86"/>
        <v>00</v>
      </c>
    </row>
    <row r="106" spans="2:32" x14ac:dyDescent="0.3">
      <c r="B106" s="40">
        <v>102</v>
      </c>
      <c r="C106" s="40" t="str">
        <f t="shared" si="51"/>
        <v>0x066</v>
      </c>
      <c r="D106" s="65"/>
      <c r="E106" s="43" t="s">
        <v>187</v>
      </c>
      <c r="F106" s="44"/>
      <c r="G106" s="45"/>
      <c r="I106" s="40">
        <v>102</v>
      </c>
      <c r="J106" s="40" t="str">
        <f t="shared" si="52"/>
        <v>0x066</v>
      </c>
      <c r="K106" s="65"/>
      <c r="L106" s="43" t="s">
        <v>187</v>
      </c>
      <c r="M106" s="44"/>
      <c r="N106" s="45"/>
    </row>
    <row r="107" spans="2:32" x14ac:dyDescent="0.3">
      <c r="B107" s="40">
        <v>103</v>
      </c>
      <c r="C107" s="40" t="str">
        <f t="shared" si="51"/>
        <v>0x067</v>
      </c>
      <c r="D107" s="65"/>
      <c r="E107" s="43" t="s">
        <v>187</v>
      </c>
      <c r="F107" s="44"/>
      <c r="G107" s="45"/>
      <c r="I107" s="40">
        <v>103</v>
      </c>
      <c r="J107" s="40" t="str">
        <f t="shared" si="52"/>
        <v>0x067</v>
      </c>
      <c r="K107" s="65"/>
      <c r="L107" s="43" t="s">
        <v>187</v>
      </c>
      <c r="M107" s="44"/>
      <c r="N107" s="45"/>
    </row>
    <row r="108" spans="2:32" x14ac:dyDescent="0.3">
      <c r="B108" s="40">
        <v>104</v>
      </c>
      <c r="C108" s="40" t="str">
        <f t="shared" si="51"/>
        <v>0x068</v>
      </c>
      <c r="D108" s="65"/>
      <c r="E108" s="43" t="s">
        <v>187</v>
      </c>
      <c r="F108" s="44"/>
      <c r="G108" s="45"/>
      <c r="I108" s="40">
        <v>104</v>
      </c>
      <c r="J108" s="40" t="str">
        <f t="shared" si="52"/>
        <v>0x068</v>
      </c>
      <c r="K108" s="65"/>
      <c r="L108" s="43" t="s">
        <v>187</v>
      </c>
      <c r="M108" s="44"/>
      <c r="N108" s="45"/>
    </row>
    <row r="109" spans="2:32" x14ac:dyDescent="0.3">
      <c r="B109" s="40">
        <v>105</v>
      </c>
      <c r="C109" s="40" t="str">
        <f t="shared" si="51"/>
        <v>0x069</v>
      </c>
      <c r="D109" s="64" t="s">
        <v>51</v>
      </c>
      <c r="E109" s="43" t="s">
        <v>188</v>
      </c>
      <c r="F109" s="44"/>
      <c r="G109" s="45"/>
      <c r="I109" s="40">
        <v>105</v>
      </c>
      <c r="J109" s="40" t="str">
        <f t="shared" si="52"/>
        <v>0x069</v>
      </c>
      <c r="K109" s="65"/>
      <c r="L109" s="159" t="s">
        <v>562</v>
      </c>
      <c r="M109" s="44"/>
      <c r="N109" s="45"/>
    </row>
    <row r="110" spans="2:32" x14ac:dyDescent="0.3">
      <c r="B110" s="40">
        <v>106</v>
      </c>
      <c r="C110" s="40" t="str">
        <f t="shared" si="51"/>
        <v>0x06A</v>
      </c>
      <c r="D110" s="64" t="s">
        <v>51</v>
      </c>
      <c r="E110" s="43" t="s">
        <v>188</v>
      </c>
      <c r="F110" s="44"/>
      <c r="G110" s="45"/>
      <c r="I110" s="40">
        <v>106</v>
      </c>
      <c r="J110" s="40" t="str">
        <f t="shared" si="52"/>
        <v>0x06A</v>
      </c>
      <c r="K110" s="65"/>
      <c r="L110" s="159" t="s">
        <v>562</v>
      </c>
      <c r="M110" s="44"/>
      <c r="N110" s="45"/>
    </row>
    <row r="111" spans="2:32" x14ac:dyDescent="0.3">
      <c r="B111" s="40">
        <v>107</v>
      </c>
      <c r="C111" s="40" t="str">
        <f t="shared" si="51"/>
        <v>0x06B</v>
      </c>
      <c r="D111" s="64" t="s">
        <v>51</v>
      </c>
      <c r="E111" s="43" t="s">
        <v>188</v>
      </c>
      <c r="F111" s="44"/>
      <c r="G111" s="45"/>
      <c r="I111" s="40">
        <v>107</v>
      </c>
      <c r="J111" s="40" t="str">
        <f t="shared" si="52"/>
        <v>0x06B</v>
      </c>
      <c r="K111" s="65"/>
      <c r="L111" s="159" t="s">
        <v>562</v>
      </c>
      <c r="M111" s="44"/>
      <c r="N111" s="45"/>
    </row>
    <row r="112" spans="2:32" x14ac:dyDescent="0.3">
      <c r="B112" s="40">
        <v>108</v>
      </c>
      <c r="C112" s="40" t="str">
        <f t="shared" si="51"/>
        <v>0x06C</v>
      </c>
      <c r="D112" s="64" t="s">
        <v>51</v>
      </c>
      <c r="E112" s="43" t="s">
        <v>188</v>
      </c>
      <c r="F112" s="44"/>
      <c r="G112" s="45"/>
      <c r="I112" s="40">
        <v>108</v>
      </c>
      <c r="J112" s="40" t="str">
        <f t="shared" si="52"/>
        <v>0x06C</v>
      </c>
      <c r="K112" s="65"/>
      <c r="L112" s="159" t="s">
        <v>562</v>
      </c>
      <c r="M112" s="44"/>
      <c r="N112" s="45"/>
    </row>
    <row r="113" spans="2:14" x14ac:dyDescent="0.3">
      <c r="B113" s="40">
        <v>109</v>
      </c>
      <c r="C113" s="40" t="str">
        <f t="shared" si="51"/>
        <v>0x06D</v>
      </c>
      <c r="D113" s="64" t="s">
        <v>51</v>
      </c>
      <c r="E113" s="43" t="s">
        <v>188</v>
      </c>
      <c r="F113" s="44"/>
      <c r="G113" s="45"/>
      <c r="I113" s="40">
        <v>109</v>
      </c>
      <c r="J113" s="40" t="str">
        <f t="shared" si="52"/>
        <v>0x06D</v>
      </c>
      <c r="K113" s="65"/>
      <c r="L113" s="159" t="s">
        <v>807</v>
      </c>
      <c r="M113" s="44"/>
      <c r="N113" s="45"/>
    </row>
    <row r="114" spans="2:14" x14ac:dyDescent="0.3">
      <c r="B114" s="40">
        <v>110</v>
      </c>
      <c r="C114" s="40" t="str">
        <f t="shared" si="51"/>
        <v>0x06E</v>
      </c>
      <c r="D114" s="64" t="s">
        <v>51</v>
      </c>
      <c r="E114" s="43" t="s">
        <v>188</v>
      </c>
      <c r="F114" s="44"/>
      <c r="G114" s="45"/>
      <c r="I114" s="40">
        <v>110</v>
      </c>
      <c r="J114" s="40" t="str">
        <f t="shared" si="52"/>
        <v>0x06E</v>
      </c>
      <c r="K114" s="65"/>
      <c r="L114" s="159" t="s">
        <v>808</v>
      </c>
      <c r="M114" s="44"/>
      <c r="N114" s="45"/>
    </row>
    <row r="115" spans="2:14" x14ac:dyDescent="0.3">
      <c r="B115" s="40">
        <v>111</v>
      </c>
      <c r="C115" s="40" t="str">
        <f t="shared" si="51"/>
        <v>0x06F</v>
      </c>
      <c r="D115" s="64" t="s">
        <v>51</v>
      </c>
      <c r="E115" s="43" t="s">
        <v>188</v>
      </c>
      <c r="F115" s="44"/>
      <c r="G115" s="45"/>
      <c r="I115" s="40">
        <v>111</v>
      </c>
      <c r="J115" s="40" t="str">
        <f t="shared" si="52"/>
        <v>0x06F</v>
      </c>
      <c r="K115" s="65"/>
      <c r="L115" s="43" t="s">
        <v>559</v>
      </c>
      <c r="M115" s="44"/>
      <c r="N115" s="45"/>
    </row>
    <row r="116" spans="2:14" x14ac:dyDescent="0.3">
      <c r="B116" s="40">
        <v>112</v>
      </c>
      <c r="C116" s="40" t="str">
        <f t="shared" si="51"/>
        <v>0x070</v>
      </c>
      <c r="D116" s="64" t="s">
        <v>51</v>
      </c>
      <c r="E116" s="43" t="s">
        <v>188</v>
      </c>
      <c r="F116" s="44"/>
      <c r="G116" s="45"/>
      <c r="I116" s="40">
        <v>112</v>
      </c>
      <c r="J116" s="40" t="str">
        <f t="shared" si="52"/>
        <v>0x070</v>
      </c>
      <c r="K116" s="65"/>
      <c r="L116" s="43" t="s">
        <v>560</v>
      </c>
      <c r="M116" s="44"/>
      <c r="N116" s="45"/>
    </row>
    <row r="117" spans="2:14" x14ac:dyDescent="0.3">
      <c r="B117" s="40">
        <v>113</v>
      </c>
      <c r="C117" s="40" t="str">
        <f t="shared" si="51"/>
        <v>0x071</v>
      </c>
      <c r="D117" s="65"/>
      <c r="E117" s="43" t="s">
        <v>73</v>
      </c>
      <c r="F117" s="44"/>
      <c r="G117" s="45"/>
      <c r="I117" s="40">
        <v>113</v>
      </c>
      <c r="J117" s="40" t="str">
        <f t="shared" si="52"/>
        <v>0x071</v>
      </c>
      <c r="K117" s="65"/>
      <c r="L117" s="43" t="s">
        <v>584</v>
      </c>
      <c r="M117" s="44"/>
      <c r="N117" s="45"/>
    </row>
    <row r="118" spans="2:14" x14ac:dyDescent="0.3">
      <c r="B118" s="40">
        <v>114</v>
      </c>
      <c r="C118" s="40" t="str">
        <f t="shared" si="51"/>
        <v>0x072</v>
      </c>
      <c r="D118" s="65"/>
      <c r="E118" s="43" t="s">
        <v>189</v>
      </c>
      <c r="F118" s="44"/>
      <c r="G118" s="45"/>
      <c r="I118" s="40">
        <v>114</v>
      </c>
      <c r="J118" s="40" t="str">
        <f t="shared" si="52"/>
        <v>0x072</v>
      </c>
      <c r="K118" s="65"/>
      <c r="L118" s="43" t="s">
        <v>805</v>
      </c>
      <c r="M118" s="44"/>
      <c r="N118" s="45"/>
    </row>
    <row r="119" spans="2:14" x14ac:dyDescent="0.3">
      <c r="B119" s="40">
        <v>115</v>
      </c>
      <c r="C119" s="40" t="str">
        <f t="shared" si="51"/>
        <v>0x073</v>
      </c>
      <c r="D119" s="65"/>
      <c r="E119" s="43" t="s">
        <v>190</v>
      </c>
      <c r="F119" s="44"/>
      <c r="G119" s="45"/>
      <c r="I119" s="40">
        <v>115</v>
      </c>
      <c r="J119" s="40" t="str">
        <f t="shared" si="52"/>
        <v>0x073</v>
      </c>
      <c r="K119" s="65"/>
      <c r="L119" s="43" t="s">
        <v>806</v>
      </c>
      <c r="M119" s="44"/>
      <c r="N119" s="45"/>
    </row>
    <row r="120" spans="2:14" x14ac:dyDescent="0.3">
      <c r="B120" s="40">
        <v>116</v>
      </c>
      <c r="C120" s="40" t="str">
        <f t="shared" si="51"/>
        <v>0x074</v>
      </c>
      <c r="D120" s="65"/>
      <c r="E120" s="43" t="s">
        <v>191</v>
      </c>
      <c r="F120" s="44"/>
      <c r="G120" s="45"/>
      <c r="I120" s="40">
        <v>116</v>
      </c>
      <c r="J120" s="40" t="str">
        <f t="shared" si="52"/>
        <v>0x074</v>
      </c>
      <c r="K120" s="65"/>
      <c r="L120" s="43" t="s">
        <v>191</v>
      </c>
      <c r="M120" s="44"/>
      <c r="N120" s="45"/>
    </row>
    <row r="121" spans="2:14" x14ac:dyDescent="0.3">
      <c r="B121" s="40">
        <v>117</v>
      </c>
      <c r="C121" s="83" t="str">
        <f t="shared" si="51"/>
        <v>0x075</v>
      </c>
      <c r="D121" s="64" t="s">
        <v>67</v>
      </c>
      <c r="E121" s="43" t="s">
        <v>379</v>
      </c>
      <c r="F121" s="44"/>
      <c r="G121" s="45"/>
      <c r="I121" s="40">
        <v>117</v>
      </c>
      <c r="J121" s="83" t="str">
        <f t="shared" si="52"/>
        <v>0x075</v>
      </c>
      <c r="K121" s="64" t="s">
        <v>67</v>
      </c>
      <c r="L121" s="43" t="s">
        <v>379</v>
      </c>
      <c r="M121" s="44"/>
      <c r="N121" s="45"/>
    </row>
    <row r="122" spans="2:14" x14ac:dyDescent="0.3">
      <c r="B122" s="40">
        <v>140</v>
      </c>
      <c r="C122" s="83" t="str">
        <f t="shared" si="51"/>
        <v>0x08C</v>
      </c>
      <c r="D122" s="64" t="s">
        <v>79</v>
      </c>
      <c r="E122" s="43" t="s">
        <v>380</v>
      </c>
      <c r="F122" s="44"/>
      <c r="G122" s="45"/>
      <c r="I122" s="40">
        <v>140</v>
      </c>
      <c r="J122" s="83" t="str">
        <f t="shared" si="52"/>
        <v>0x08C</v>
      </c>
      <c r="K122" s="64" t="s">
        <v>79</v>
      </c>
      <c r="L122" s="43" t="s">
        <v>380</v>
      </c>
      <c r="M122" s="44"/>
      <c r="N122" s="45"/>
    </row>
    <row r="123" spans="2:14" x14ac:dyDescent="0.3">
      <c r="B123" s="40">
        <v>163</v>
      </c>
      <c r="C123" s="83" t="str">
        <f t="shared" si="51"/>
        <v>0x0A3</v>
      </c>
      <c r="D123" s="64" t="s">
        <v>70</v>
      </c>
      <c r="E123" s="43" t="s">
        <v>381</v>
      </c>
      <c r="F123" s="44"/>
      <c r="G123" s="45"/>
      <c r="I123" s="40">
        <v>163</v>
      </c>
      <c r="J123" s="83" t="str">
        <f t="shared" si="52"/>
        <v>0x0A3</v>
      </c>
      <c r="K123" s="64" t="s">
        <v>70</v>
      </c>
      <c r="L123" s="43" t="s">
        <v>381</v>
      </c>
      <c r="M123" s="44"/>
      <c r="N123" s="45"/>
    </row>
    <row r="124" spans="2:14" x14ac:dyDescent="0.3">
      <c r="B124" s="40">
        <v>186</v>
      </c>
      <c r="C124" s="83" t="str">
        <f t="shared" si="51"/>
        <v>0x0BA</v>
      </c>
      <c r="D124" s="64" t="s">
        <v>107</v>
      </c>
      <c r="E124" s="43" t="s">
        <v>382</v>
      </c>
      <c r="F124" s="44"/>
      <c r="G124" s="45"/>
      <c r="I124" s="40">
        <v>186</v>
      </c>
      <c r="J124" s="83" t="str">
        <f t="shared" si="52"/>
        <v>0x0BA</v>
      </c>
      <c r="K124" s="64" t="s">
        <v>107</v>
      </c>
      <c r="L124" s="43" t="s">
        <v>382</v>
      </c>
      <c r="M124" s="44"/>
      <c r="N124" s="45"/>
    </row>
    <row r="125" spans="2:14" x14ac:dyDescent="0.3">
      <c r="B125" s="40">
        <v>209</v>
      </c>
      <c r="C125" s="83" t="str">
        <f t="shared" si="51"/>
        <v>0x0D1</v>
      </c>
      <c r="D125" s="64" t="s">
        <v>307</v>
      </c>
      <c r="E125" s="43" t="s">
        <v>383</v>
      </c>
      <c r="F125" s="44"/>
      <c r="G125" s="45"/>
      <c r="I125" s="40">
        <v>209</v>
      </c>
      <c r="J125" s="83" t="str">
        <f t="shared" si="52"/>
        <v>0x0D1</v>
      </c>
      <c r="K125" s="64" t="s">
        <v>307</v>
      </c>
      <c r="L125" s="43" t="s">
        <v>383</v>
      </c>
      <c r="M125" s="44"/>
      <c r="N125" s="45"/>
    </row>
    <row r="126" spans="2:14" x14ac:dyDescent="0.3">
      <c r="B126" s="40">
        <v>232</v>
      </c>
      <c r="C126" s="83" t="str">
        <f t="shared" si="51"/>
        <v>0x0E8</v>
      </c>
      <c r="D126" s="64" t="s">
        <v>75</v>
      </c>
      <c r="E126" s="43" t="s">
        <v>384</v>
      </c>
      <c r="F126" s="44"/>
      <c r="G126" s="45"/>
      <c r="I126" s="40">
        <v>232</v>
      </c>
      <c r="J126" s="83" t="str">
        <f t="shared" si="52"/>
        <v>0x0E8</v>
      </c>
      <c r="K126" s="64" t="s">
        <v>75</v>
      </c>
      <c r="L126" s="43" t="s">
        <v>384</v>
      </c>
      <c r="M126" s="44"/>
      <c r="N126" s="45"/>
    </row>
    <row r="127" spans="2:14" x14ac:dyDescent="0.3">
      <c r="B127" s="40">
        <v>255</v>
      </c>
      <c r="C127" s="83" t="str">
        <f t="shared" si="51"/>
        <v>0x0FF</v>
      </c>
      <c r="D127" s="64" t="s">
        <v>100</v>
      </c>
      <c r="E127" s="43" t="s">
        <v>385</v>
      </c>
      <c r="F127" s="44"/>
      <c r="G127" s="45"/>
      <c r="I127" s="40">
        <v>255</v>
      </c>
      <c r="J127" s="83" t="str">
        <f t="shared" si="52"/>
        <v>0x0FF</v>
      </c>
      <c r="K127" s="64" t="s">
        <v>100</v>
      </c>
      <c r="L127" s="43" t="s">
        <v>385</v>
      </c>
      <c r="M127" s="44"/>
      <c r="N127" s="45"/>
    </row>
    <row r="128" spans="2:14" x14ac:dyDescent="0.3">
      <c r="B128" s="40">
        <v>278</v>
      </c>
      <c r="C128" s="83" t="str">
        <f t="shared" si="51"/>
        <v>0x116</v>
      </c>
      <c r="D128" s="64" t="s">
        <v>85</v>
      </c>
      <c r="E128" s="43" t="s">
        <v>386</v>
      </c>
      <c r="F128" s="44"/>
      <c r="G128" s="45"/>
      <c r="I128" s="40">
        <v>278</v>
      </c>
      <c r="J128" s="83" t="str">
        <f t="shared" si="52"/>
        <v>0x116</v>
      </c>
      <c r="K128" s="64" t="s">
        <v>85</v>
      </c>
      <c r="L128" s="43" t="s">
        <v>386</v>
      </c>
      <c r="M128" s="44"/>
      <c r="N128" s="45"/>
    </row>
    <row r="129" spans="2:14" x14ac:dyDescent="0.3">
      <c r="B129" s="40">
        <v>301</v>
      </c>
      <c r="C129" s="83" t="str">
        <f t="shared" si="51"/>
        <v>0x12D</v>
      </c>
      <c r="D129" s="64" t="s">
        <v>250</v>
      </c>
      <c r="E129" s="43" t="s">
        <v>387</v>
      </c>
      <c r="F129" s="44"/>
      <c r="G129" s="45"/>
      <c r="I129" s="40">
        <v>301</v>
      </c>
      <c r="J129" s="83" t="str">
        <f t="shared" si="52"/>
        <v>0x12D</v>
      </c>
      <c r="K129" s="64" t="s">
        <v>250</v>
      </c>
      <c r="L129" s="43" t="s">
        <v>387</v>
      </c>
      <c r="M129" s="44"/>
      <c r="N129" s="45"/>
    </row>
    <row r="130" spans="2:14" x14ac:dyDescent="0.3">
      <c r="B130" s="40">
        <v>324</v>
      </c>
      <c r="C130" s="83" t="str">
        <f t="shared" si="51"/>
        <v>0x144</v>
      </c>
      <c r="D130" s="64" t="s">
        <v>377</v>
      </c>
      <c r="E130" s="43" t="s">
        <v>388</v>
      </c>
      <c r="F130" s="44"/>
      <c r="G130" s="45"/>
      <c r="I130" s="40">
        <v>324</v>
      </c>
      <c r="J130" s="83" t="str">
        <f t="shared" si="52"/>
        <v>0x144</v>
      </c>
      <c r="K130" s="64" t="s">
        <v>377</v>
      </c>
      <c r="L130" s="43" t="s">
        <v>388</v>
      </c>
      <c r="M130" s="44"/>
      <c r="N130" s="45"/>
    </row>
    <row r="131" spans="2:14" x14ac:dyDescent="0.3">
      <c r="B131" s="40">
        <v>347</v>
      </c>
      <c r="C131" s="83" t="str">
        <f t="shared" si="51"/>
        <v>0x15B</v>
      </c>
      <c r="D131" s="64" t="s">
        <v>251</v>
      </c>
      <c r="E131" s="43" t="s">
        <v>389</v>
      </c>
      <c r="F131" s="44"/>
      <c r="G131" s="45"/>
      <c r="I131" s="40">
        <v>347</v>
      </c>
      <c r="J131" s="83" t="str">
        <f t="shared" si="52"/>
        <v>0x15B</v>
      </c>
      <c r="K131" s="64" t="s">
        <v>251</v>
      </c>
      <c r="L131" s="43" t="s">
        <v>389</v>
      </c>
      <c r="M131" s="44"/>
      <c r="N131" s="45"/>
    </row>
    <row r="132" spans="2:14" x14ac:dyDescent="0.3">
      <c r="B132" s="40">
        <v>370</v>
      </c>
      <c r="C132" s="83" t="str">
        <f t="shared" si="51"/>
        <v>0x172</v>
      </c>
      <c r="D132" s="64" t="s">
        <v>83</v>
      </c>
      <c r="E132" s="43" t="s">
        <v>390</v>
      </c>
      <c r="F132" s="44"/>
      <c r="G132" s="45"/>
      <c r="I132" s="40">
        <v>370</v>
      </c>
      <c r="J132" s="83" t="str">
        <f t="shared" si="52"/>
        <v>0x172</v>
      </c>
      <c r="K132" s="64" t="s">
        <v>83</v>
      </c>
      <c r="L132" s="43" t="s">
        <v>390</v>
      </c>
      <c r="M132" s="44"/>
      <c r="N132" s="45"/>
    </row>
    <row r="133" spans="2:14" x14ac:dyDescent="0.3">
      <c r="B133" s="40">
        <v>393</v>
      </c>
      <c r="C133" s="83" t="str">
        <f t="shared" si="51"/>
        <v>0x189</v>
      </c>
      <c r="D133" s="64" t="s">
        <v>63</v>
      </c>
      <c r="E133" s="43" t="s">
        <v>391</v>
      </c>
      <c r="F133" s="44"/>
      <c r="G133" s="45"/>
      <c r="I133" s="40">
        <v>393</v>
      </c>
      <c r="J133" s="83" t="str">
        <f t="shared" ref="J133:J141" si="87">CONCATENATE("0x",DEC2HEX(I133,3))</f>
        <v>0x189</v>
      </c>
      <c r="K133" s="64" t="s">
        <v>63</v>
      </c>
      <c r="L133" s="43" t="s">
        <v>391</v>
      </c>
      <c r="M133" s="44"/>
      <c r="N133" s="45"/>
    </row>
    <row r="134" spans="2:14" x14ac:dyDescent="0.3">
      <c r="B134" s="40">
        <v>416</v>
      </c>
      <c r="C134" s="83" t="str">
        <f t="shared" si="51"/>
        <v>0x1A0</v>
      </c>
      <c r="D134" s="64" t="s">
        <v>321</v>
      </c>
      <c r="E134" s="43" t="s">
        <v>392</v>
      </c>
      <c r="F134" s="44"/>
      <c r="G134" s="45"/>
      <c r="I134" s="40">
        <v>416</v>
      </c>
      <c r="J134" s="83" t="str">
        <f t="shared" si="87"/>
        <v>0x1A0</v>
      </c>
      <c r="K134" s="64" t="s">
        <v>321</v>
      </c>
      <c r="L134" s="43" t="s">
        <v>392</v>
      </c>
      <c r="M134" s="44"/>
      <c r="N134" s="45"/>
    </row>
    <row r="135" spans="2:14" x14ac:dyDescent="0.3">
      <c r="B135" s="40">
        <v>439</v>
      </c>
      <c r="C135" s="83" t="str">
        <f t="shared" si="51"/>
        <v>0x1B7</v>
      </c>
      <c r="D135" s="64" t="s">
        <v>130</v>
      </c>
      <c r="E135" s="43" t="s">
        <v>393</v>
      </c>
      <c r="F135" s="44"/>
      <c r="G135" s="45"/>
      <c r="I135" s="40">
        <v>439</v>
      </c>
      <c r="J135" s="83" t="str">
        <f t="shared" si="87"/>
        <v>0x1B7</v>
      </c>
      <c r="K135" s="64" t="s">
        <v>130</v>
      </c>
      <c r="L135" s="43" t="s">
        <v>393</v>
      </c>
      <c r="M135" s="44"/>
      <c r="N135" s="45"/>
    </row>
    <row r="136" spans="2:14" x14ac:dyDescent="0.3">
      <c r="B136" s="40">
        <v>462</v>
      </c>
      <c r="C136" s="83" t="str">
        <f t="shared" si="51"/>
        <v>0x1CE</v>
      </c>
      <c r="D136" s="64" t="s">
        <v>102</v>
      </c>
      <c r="E136" s="43" t="s">
        <v>394</v>
      </c>
      <c r="F136" s="44"/>
      <c r="G136" s="45"/>
      <c r="I136" s="40">
        <v>462</v>
      </c>
      <c r="J136" s="83" t="str">
        <f t="shared" si="87"/>
        <v>0x1CE</v>
      </c>
      <c r="K136" s="64" t="s">
        <v>102</v>
      </c>
      <c r="L136" s="43" t="s">
        <v>394</v>
      </c>
      <c r="M136" s="44"/>
      <c r="N136" s="45"/>
    </row>
    <row r="137" spans="2:14" x14ac:dyDescent="0.3">
      <c r="B137" s="40">
        <v>485</v>
      </c>
      <c r="C137" s="83" t="str">
        <f t="shared" si="51"/>
        <v>0x1E5</v>
      </c>
      <c r="D137" s="64" t="s">
        <v>375</v>
      </c>
      <c r="E137" s="43" t="s">
        <v>395</v>
      </c>
      <c r="F137" s="44"/>
      <c r="G137" s="45"/>
      <c r="I137" s="40">
        <v>485</v>
      </c>
      <c r="J137" s="83" t="str">
        <f t="shared" si="87"/>
        <v>0x1E5</v>
      </c>
      <c r="K137" s="64" t="s">
        <v>375</v>
      </c>
      <c r="L137" s="43" t="s">
        <v>395</v>
      </c>
      <c r="M137" s="44"/>
      <c r="N137" s="45"/>
    </row>
    <row r="138" spans="2:14" x14ac:dyDescent="0.3">
      <c r="B138" s="40">
        <v>508</v>
      </c>
      <c r="C138" s="83" t="str">
        <f t="shared" si="51"/>
        <v>0x1FC</v>
      </c>
      <c r="D138" s="64" t="s">
        <v>376</v>
      </c>
      <c r="E138" s="43" t="s">
        <v>396</v>
      </c>
      <c r="F138" s="44"/>
      <c r="G138" s="45"/>
      <c r="I138" s="40">
        <v>508</v>
      </c>
      <c r="J138" s="83" t="str">
        <f t="shared" si="87"/>
        <v>0x1FC</v>
      </c>
      <c r="K138" s="64" t="s">
        <v>376</v>
      </c>
      <c r="L138" s="43" t="s">
        <v>396</v>
      </c>
      <c r="M138" s="44"/>
      <c r="N138" s="45"/>
    </row>
    <row r="139" spans="2:14" x14ac:dyDescent="0.3">
      <c r="B139" s="40">
        <v>509</v>
      </c>
      <c r="C139" s="83" t="str">
        <f t="shared" si="51"/>
        <v>0x1FD</v>
      </c>
      <c r="D139" s="64" t="s">
        <v>51</v>
      </c>
      <c r="E139" s="43" t="s">
        <v>74</v>
      </c>
      <c r="F139" s="44"/>
      <c r="G139" s="45"/>
      <c r="I139" s="40">
        <v>509</v>
      </c>
      <c r="J139" s="83" t="str">
        <f t="shared" si="87"/>
        <v>0x1FD</v>
      </c>
      <c r="K139" s="64" t="s">
        <v>399</v>
      </c>
      <c r="L139" s="43" t="s">
        <v>459</v>
      </c>
      <c r="M139" s="44"/>
      <c r="N139" s="45"/>
    </row>
    <row r="140" spans="2:14" x14ac:dyDescent="0.3">
      <c r="B140" s="40">
        <v>510</v>
      </c>
      <c r="C140" s="83" t="str">
        <f t="shared" si="51"/>
        <v>0x1FE</v>
      </c>
      <c r="D140" s="64" t="s">
        <v>51</v>
      </c>
      <c r="E140" s="43" t="s">
        <v>74</v>
      </c>
      <c r="F140" s="44"/>
      <c r="G140" s="45"/>
      <c r="I140" s="40">
        <v>510</v>
      </c>
      <c r="J140" s="83" t="str">
        <f t="shared" si="87"/>
        <v>0x1FE</v>
      </c>
      <c r="K140" s="64" t="s">
        <v>51</v>
      </c>
      <c r="L140" s="43" t="s">
        <v>74</v>
      </c>
      <c r="M140" s="44"/>
      <c r="N140" s="45"/>
    </row>
    <row r="141" spans="2:14" x14ac:dyDescent="0.3">
      <c r="B141" s="40">
        <v>511</v>
      </c>
      <c r="C141" s="83" t="str">
        <f t="shared" si="51"/>
        <v>0x1FF</v>
      </c>
      <c r="D141" s="64" t="s">
        <v>51</v>
      </c>
      <c r="E141" s="43" t="s">
        <v>74</v>
      </c>
      <c r="F141" s="44"/>
      <c r="G141" s="45"/>
      <c r="I141" s="40">
        <v>511</v>
      </c>
      <c r="J141" s="83" t="str">
        <f t="shared" si="87"/>
        <v>0x1FF</v>
      </c>
      <c r="K141" s="64" t="s">
        <v>51</v>
      </c>
      <c r="L141" s="43" t="s">
        <v>74</v>
      </c>
      <c r="M141" s="44"/>
      <c r="N141" s="45"/>
    </row>
  </sheetData>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AF47"/>
  <sheetViews>
    <sheetView topLeftCell="A7" workbookViewId="0">
      <selection activeCell="B4" sqref="B4"/>
    </sheetView>
  </sheetViews>
  <sheetFormatPr defaultColWidth="8.5546875" defaultRowHeight="14.4" x14ac:dyDescent="0.3"/>
  <cols>
    <col min="1" max="1" width="3" customWidth="1"/>
    <col min="6" max="6" width="9.5546875" bestFit="1" customWidth="1"/>
    <col min="9" max="9" width="10.5546875" bestFit="1" customWidth="1"/>
    <col min="15" max="30" width="5.44140625" customWidth="1"/>
    <col min="32" max="32" width="64.44140625" bestFit="1" customWidth="1"/>
  </cols>
  <sheetData>
    <row r="2" spans="2:32" x14ac:dyDescent="0.3">
      <c r="B2" s="437" t="s">
        <v>295</v>
      </c>
      <c r="C2" s="437"/>
      <c r="D2" s="437"/>
      <c r="E2" s="437"/>
      <c r="F2" s="437"/>
      <c r="G2" s="437"/>
      <c r="H2" s="437"/>
      <c r="I2" s="437"/>
      <c r="J2" s="437"/>
      <c r="K2" s="437"/>
      <c r="L2" s="437"/>
    </row>
    <row r="3" spans="2:32" x14ac:dyDescent="0.3">
      <c r="B3" s="61" t="s">
        <v>197</v>
      </c>
      <c r="C3" s="61" t="s">
        <v>296</v>
      </c>
      <c r="D3" s="61" t="s">
        <v>297</v>
      </c>
      <c r="E3" s="61" t="s">
        <v>298</v>
      </c>
      <c r="F3" s="61" t="s">
        <v>73</v>
      </c>
      <c r="G3" s="61" t="s">
        <v>299</v>
      </c>
      <c r="H3" s="61" t="s">
        <v>300</v>
      </c>
      <c r="I3" s="61" t="s">
        <v>301</v>
      </c>
      <c r="J3" s="61" t="s">
        <v>199</v>
      </c>
      <c r="K3" s="61" t="s">
        <v>200</v>
      </c>
      <c r="L3" s="25" t="s">
        <v>182</v>
      </c>
    </row>
    <row r="4" spans="2:32" x14ac:dyDescent="0.3">
      <c r="B4" s="23">
        <v>6003</v>
      </c>
      <c r="C4" s="23">
        <v>5</v>
      </c>
      <c r="D4" s="23"/>
      <c r="E4" s="23"/>
      <c r="F4" s="25" t="str">
        <f>'FTS-Initialization'!$AA$28</f>
        <v>BF</v>
      </c>
      <c r="G4" s="25">
        <f>INDEX('FTS-Initialization'!$W$20:$W$32,MATCH(FLOOR($B$4,1000),'FTS-Initialization'!$V$20:$V$32,0))</f>
        <v>84</v>
      </c>
      <c r="H4" s="25" t="str">
        <f>INDEX('FTS-Initialization'!$X$20:$X$32,MATCH(FLOOR($B$4,1000),'FTS-Initialization'!$V$20:$V$32,0))</f>
        <v>TKA</v>
      </c>
      <c r="I4" s="60">
        <f ca="1">TODAY()</f>
        <v>42738</v>
      </c>
      <c r="J4" s="25">
        <f>'FTS-Initialization'!$AA$29</f>
        <v>100</v>
      </c>
      <c r="K4" s="25">
        <f>'FTS-Initialization'!$AA$29</f>
        <v>100</v>
      </c>
      <c r="L4" s="25">
        <v>9</v>
      </c>
    </row>
    <row r="5" spans="2:32" x14ac:dyDescent="0.3">
      <c r="B5" s="71" t="str">
        <f>DEC2HEX(B4,4)</f>
        <v>1773</v>
      </c>
      <c r="C5" s="71" t="str">
        <f>DEC2HEX(C4*2,2)</f>
        <v>0A</v>
      </c>
      <c r="D5" s="71" t="str">
        <f>DEC2HEX(D4,8)</f>
        <v>00000000</v>
      </c>
      <c r="E5" s="71" t="str">
        <f>DEC2HEX(E4,8)</f>
        <v>00000000</v>
      </c>
      <c r="F5" s="72" t="str">
        <f ca="1">DEC2HEX(YEAR($I$4)-2010,2)</f>
        <v>07</v>
      </c>
      <c r="G5" s="71" t="str">
        <f ca="1">DEC2HEX(MONTH($I$4),2)</f>
        <v>01</v>
      </c>
      <c r="H5" s="71" t="str">
        <f ca="1">DEC2HEX(DAY($I$4),2)</f>
        <v>03</v>
      </c>
      <c r="I5" s="71" t="str">
        <f>DEC2HEX('FTS-Initialization'!$AA$31,2)</f>
        <v>00</v>
      </c>
      <c r="J5" s="71" t="str">
        <f t="shared" ref="J5:K5" si="0">DEC2HEX(J4)</f>
        <v>64</v>
      </c>
      <c r="K5" s="71" t="str">
        <f t="shared" si="0"/>
        <v>64</v>
      </c>
      <c r="L5" s="71" t="str">
        <f>DEC2HEX(L4,2)</f>
        <v>09</v>
      </c>
    </row>
    <row r="6" spans="2:32" x14ac:dyDescent="0.3">
      <c r="B6" s="61" t="str">
        <f>B3</f>
        <v>DevType</v>
      </c>
      <c r="C6" s="61" t="str">
        <f t="shared" ref="C6:E6" si="1">C3</f>
        <v>Channel</v>
      </c>
      <c r="D6" s="61" t="str">
        <f t="shared" si="1"/>
        <v>Lot #</v>
      </c>
      <c r="E6" s="61" t="str">
        <f t="shared" si="1"/>
        <v>Serial #</v>
      </c>
      <c r="F6" s="61" t="s">
        <v>185</v>
      </c>
      <c r="G6" s="61" t="s">
        <v>183</v>
      </c>
      <c r="H6" s="61" t="s">
        <v>184</v>
      </c>
      <c r="I6" s="61" t="s">
        <v>323</v>
      </c>
      <c r="J6" s="61" t="s">
        <v>199</v>
      </c>
      <c r="K6" s="61" t="s">
        <v>200</v>
      </c>
      <c r="L6" s="25" t="s">
        <v>322</v>
      </c>
    </row>
    <row r="8" spans="2:32" ht="15" thickBot="1" x14ac:dyDescent="0.35">
      <c r="B8" t="s">
        <v>416</v>
      </c>
      <c r="N8" t="s">
        <v>401</v>
      </c>
      <c r="AF8" t="s">
        <v>402</v>
      </c>
    </row>
    <row r="9" spans="2:32" x14ac:dyDescent="0.3">
      <c r="B9" s="85">
        <f>'EEPROM-Contents'!B33</f>
        <v>29</v>
      </c>
      <c r="C9" s="74">
        <f t="shared" ref="C9:C21" ca="1" si="2">HEX2DEC(D9)</f>
        <v>2</v>
      </c>
      <c r="D9" s="77" t="str">
        <f ca="1">DEC2HEX(OFFSET('FTS-Initialization'!AC37,0,MATCH(H4,'FTS-Initialization'!$AD$36:$AE$36,0)),2)</f>
        <v>02</v>
      </c>
      <c r="E9" s="69" t="str">
        <f>'EEPROM-Contents'!E33</f>
        <v>SEN(0) X</v>
      </c>
      <c r="F9" s="70"/>
      <c r="G9" s="73"/>
      <c r="N9" s="78" t="s">
        <v>325</v>
      </c>
      <c r="O9" s="78" t="s">
        <v>326</v>
      </c>
      <c r="P9" s="78" t="s">
        <v>327</v>
      </c>
      <c r="Q9" s="78" t="s">
        <v>328</v>
      </c>
      <c r="R9" s="78" t="s">
        <v>329</v>
      </c>
      <c r="S9" s="78" t="s">
        <v>330</v>
      </c>
      <c r="T9" s="78" t="s">
        <v>331</v>
      </c>
      <c r="U9" s="78" t="s">
        <v>332</v>
      </c>
      <c r="V9" s="78" t="s">
        <v>333</v>
      </c>
      <c r="W9" s="78" t="s">
        <v>334</v>
      </c>
      <c r="X9" s="78" t="s">
        <v>335</v>
      </c>
      <c r="Y9" s="78" t="s">
        <v>336</v>
      </c>
      <c r="Z9" s="78" t="s">
        <v>337</v>
      </c>
      <c r="AA9" s="78" t="s">
        <v>338</v>
      </c>
      <c r="AB9" s="78" t="s">
        <v>339</v>
      </c>
      <c r="AC9" s="78" t="s">
        <v>340</v>
      </c>
      <c r="AD9" s="78" t="s">
        <v>341</v>
      </c>
      <c r="AF9" s="80" t="s">
        <v>374</v>
      </c>
    </row>
    <row r="10" spans="2:32" x14ac:dyDescent="0.3">
      <c r="B10" s="85">
        <f>'EEPROM-Contents'!B34</f>
        <v>30</v>
      </c>
      <c r="C10" s="74">
        <f t="shared" ca="1" si="2"/>
        <v>2</v>
      </c>
      <c r="D10" s="77" t="str">
        <f ca="1">DEC2HEX(OFFSET('FTS-Initialization'!AC38,0,MATCH($H$4,'FTS-Initialization'!$AD$36:$AE$36,0)),2)</f>
        <v>02</v>
      </c>
      <c r="E10" s="69" t="str">
        <f>'EEPROM-Contents'!E34</f>
        <v>SEN(1) Y</v>
      </c>
      <c r="F10" s="70"/>
      <c r="G10" s="73"/>
      <c r="N10" s="78" t="s">
        <v>326</v>
      </c>
      <c r="O10" s="79" t="str">
        <f>RIGHT(INDEX('EEPROM-Contents'!$D$4:'EEPROM-Contents'!$D$141,MATCH('EEPROM-Contents'!Q4,'EEPROM-Contents'!$B$4:'EEPROM-Contents'!$B$141,0)),2)</f>
        <v>1B</v>
      </c>
      <c r="P10" s="79" t="str">
        <f>RIGHT(INDEX('EEPROM-Contents'!$D$4:'EEPROM-Contents'!$D$141,MATCH('EEPROM-Contents'!R4,'EEPROM-Contents'!$B$4:'EEPROM-Contents'!$B$141,0)),2)</f>
        <v>00</v>
      </c>
      <c r="Q10" s="79" t="str">
        <f>RIGHT(INDEX('EEPROM-Contents'!$D$4:'EEPROM-Contents'!$D$141,MATCH('EEPROM-Contents'!S4,'EEPROM-Contents'!$B$4:'EEPROM-Contents'!$B$141,0)),2)</f>
        <v>00</v>
      </c>
      <c r="R10" s="79" t="str">
        <f>RIGHT(INDEX('EEPROM-Contents'!$D$4:'EEPROM-Contents'!$D$141,MATCH('EEPROM-Contents'!T4,'EEPROM-Contents'!$B$4:'EEPROM-Contents'!$B$141,0)),2)</f>
        <v>00</v>
      </c>
      <c r="S10" s="79" t="str">
        <f>RIGHT(INDEX('EEPROM-Contents'!$D$4:'EEPROM-Contents'!$D$141,MATCH('EEPROM-Contents'!U4,'EEPROM-Contents'!$B$4:'EEPROM-Contents'!$B$141,0)),2)</f>
        <v>00</v>
      </c>
      <c r="T10" s="79" t="str">
        <f>RIGHT(INDEX('EEPROM-Contents'!$D$4:'EEPROM-Contents'!$D$141,MATCH('EEPROM-Contents'!V4,'EEPROM-Contents'!$B$4:'EEPROM-Contents'!$B$141,0)),2)</f>
        <v>00</v>
      </c>
      <c r="U10" s="79" t="str">
        <f>RIGHT(INDEX('EEPROM-Contents'!$D$4:'EEPROM-Contents'!$D$141,MATCH('EEPROM-Contents'!W4,'EEPROM-Contents'!$B$4:'EEPROM-Contents'!$B$141,0)),2)</f>
        <v>00</v>
      </c>
      <c r="V10" s="79" t="str">
        <f>RIGHT(INDEX('EEPROM-Contents'!$D$4:'EEPROM-Contents'!$D$141,MATCH('EEPROM-Contents'!X4,'EEPROM-Contents'!$B$4:'EEPROM-Contents'!$B$141,0)),2)</f>
        <v>00</v>
      </c>
      <c r="W10" s="79" t="str">
        <f>RIGHT(INDEX('EEPROM-Contents'!$D$4:'EEPROM-Contents'!$D$141,MATCH('EEPROM-Contents'!Y4,'EEPROM-Contents'!$B$4:'EEPROM-Contents'!$B$141,0)),2)</f>
        <v>84</v>
      </c>
      <c r="X10" s="79" t="str">
        <f>RIGHT(INDEX('EEPROM-Contents'!$D$4:'EEPROM-Contents'!$D$141,MATCH('EEPROM-Contents'!Z4,'EEPROM-Contents'!$B$4:'EEPROM-Contents'!$B$141,0)),2)</f>
        <v>60</v>
      </c>
      <c r="Y10" s="79" t="str">
        <f>RIGHT(INDEX('EEPROM-Contents'!$D$4:'EEPROM-Contents'!$D$141,MATCH('EEPROM-Contents'!AA4,'EEPROM-Contents'!$B$4:'EEPROM-Contents'!$B$141,0)),2)</f>
        <v>0D</v>
      </c>
      <c r="Z10" s="79" t="str">
        <f>RIGHT(INDEX('EEPROM-Contents'!$D$4:'EEPROM-Contents'!$D$141,MATCH('EEPROM-Contents'!AB4,'EEPROM-Contents'!$B$4:'EEPROM-Contents'!$B$141,0)),2)</f>
        <v>EA</v>
      </c>
      <c r="AA10" s="79" t="str">
        <f>RIGHT(INDEX('EEPROM-Contents'!$D$4:'EEPROM-Contents'!$D$141,MATCH('EEPROM-Contents'!AC4,'EEPROM-Contents'!$B$4:'EEPROM-Contents'!$B$141,0)),2)</f>
        <v>01</v>
      </c>
      <c r="AB10" s="79" t="str">
        <f>RIGHT(INDEX('EEPROM-Contents'!$D$4:'EEPROM-Contents'!$D$141,MATCH('EEPROM-Contents'!AD4,'EEPROM-Contents'!$B$4:'EEPROM-Contents'!$B$141,0)),2)</f>
        <v>00</v>
      </c>
      <c r="AC10" s="79" t="str">
        <f>RIGHT(INDEX('EEPROM-Contents'!$D$4:'EEPROM-Contents'!$D$141,MATCH('EEPROM-Contents'!AE4,'EEPROM-Contents'!$B$4:'EEPROM-Contents'!$B$141,0)),2)</f>
        <v>03</v>
      </c>
      <c r="AD10" s="79" t="str">
        <f>RIGHT(INDEX('EEPROM-Contents'!$D$4:'EEPROM-Contents'!$D$141,MATCH('EEPROM-Contents'!AF4,'EEPROM-Contents'!$B$4:'EEPROM-Contents'!$B$141,0)),2)</f>
        <v>00</v>
      </c>
      <c r="AF10" s="81" t="str">
        <f>CONCATENATE("00000000000000000000",O10,P10,Q10,R10,S10,T10,U10,V10,W10,X10,Y10,Z10,AA10,AB10,AC10,AD10,"00")</f>
        <v>000000000000000000001B0000000000000084600DEA0100030000</v>
      </c>
    </row>
    <row r="11" spans="2:32" x14ac:dyDescent="0.3">
      <c r="B11" s="85">
        <f>'EEPROM-Contents'!B35</f>
        <v>31</v>
      </c>
      <c r="C11" s="74">
        <f t="shared" ca="1" si="2"/>
        <v>4</v>
      </c>
      <c r="D11" s="77" t="str">
        <f ca="1">DEC2HEX(OFFSET('FTS-Initialization'!AC39,0,MATCH($H$4,'FTS-Initialization'!$AD$36:$AE$36,0)),2)</f>
        <v>04</v>
      </c>
      <c r="E11" s="69" t="str">
        <f>'EEPROM-Contents'!E35</f>
        <v>SEN(2) Z</v>
      </c>
      <c r="F11" s="70"/>
      <c r="G11" s="73"/>
      <c r="N11" s="78" t="s">
        <v>342</v>
      </c>
      <c r="O11" s="84" t="str">
        <f>RIGHT(INDEX($D$9:$D$47,MATCH('EEPROM-Contents'!Q5,$B$9:$B$47,0)),2)</f>
        <v>BF</v>
      </c>
      <c r="P11" s="79" t="str">
        <f>RIGHT(INDEX('EEPROM-Contents'!$D$4:'EEPROM-Contents'!$D$141,MATCH('EEPROM-Contents'!R5,'EEPROM-Contents'!$B$4:'EEPROM-Contents'!$B$141,0)),2)</f>
        <v>00</v>
      </c>
      <c r="Q11" s="79" t="str">
        <f>RIGHT(INDEX('EEPROM-Contents'!$D$4:'EEPROM-Contents'!$D$141,MATCH('EEPROM-Contents'!S5,'EEPROM-Contents'!$B$4:'EEPROM-Contents'!$B$141,0)),2)</f>
        <v>00</v>
      </c>
      <c r="R11" s="79" t="str">
        <f>RIGHT(INDEX('EEPROM-Contents'!$D$4:'EEPROM-Contents'!$D$141,MATCH('EEPROM-Contents'!T5,'EEPROM-Contents'!$B$4:'EEPROM-Contents'!$B$141,0)),2)</f>
        <v>00</v>
      </c>
      <c r="S11" s="79" t="str">
        <f>RIGHT(INDEX('EEPROM-Contents'!$D$4:'EEPROM-Contents'!$D$141,MATCH('EEPROM-Contents'!U5,'EEPROM-Contents'!$B$4:'EEPROM-Contents'!$B$141,0)),2)</f>
        <v>00</v>
      </c>
      <c r="T11" s="79" t="str">
        <f>RIGHT(INDEX('EEPROM-Contents'!$D$4:'EEPROM-Contents'!$D$141,MATCH('EEPROM-Contents'!V5,'EEPROM-Contents'!$B$4:'EEPROM-Contents'!$B$141,0)),2)</f>
        <v>00</v>
      </c>
      <c r="U11" s="79" t="str">
        <f>RIGHT(INDEX('EEPROM-Contents'!$D$4:'EEPROM-Contents'!$D$141,MATCH('EEPROM-Contents'!W5,'EEPROM-Contents'!$B$4:'EEPROM-Contents'!$B$141,0)),2)</f>
        <v>06</v>
      </c>
      <c r="V11" s="79" t="str">
        <f>RIGHT(INDEX('EEPROM-Contents'!$D$4:'EEPROM-Contents'!$D$141,MATCH('EEPROM-Contents'!X5,'EEPROM-Contents'!$B$4:'EEPROM-Contents'!$B$141,0)),2)</f>
        <v>01</v>
      </c>
      <c r="W11" s="79" t="str">
        <f>RIGHT(INDEX('EEPROM-Contents'!$D$4:'EEPROM-Contents'!$D$141,MATCH('EEPROM-Contents'!Y5,'EEPROM-Contents'!$B$4:'EEPROM-Contents'!$B$141,0)),2)</f>
        <v>01</v>
      </c>
      <c r="X11" s="79" t="str">
        <f>RIGHT(INDEX('EEPROM-Contents'!$D$4:'EEPROM-Contents'!$D$141,MATCH('EEPROM-Contents'!Z5,'EEPROM-Contents'!$B$4:'EEPROM-Contents'!$B$141,0)),2)</f>
        <v>02</v>
      </c>
      <c r="Y11" s="79" t="str">
        <f>RIGHT(INDEX('EEPROM-Contents'!$D$4:'EEPROM-Contents'!$D$141,MATCH('EEPROM-Contents'!AA5,'EEPROM-Contents'!$B$4:'EEPROM-Contents'!$B$141,0)),2)</f>
        <v>1F</v>
      </c>
      <c r="Z11" s="79" t="str">
        <f>RIGHT(INDEX('EEPROM-Contents'!$D$4:'EEPROM-Contents'!$D$141,MATCH('EEPROM-Contents'!AB5,'EEPROM-Contents'!$B$4:'EEPROM-Contents'!$B$141,0)),2)</f>
        <v>0C</v>
      </c>
      <c r="AA11" s="79" t="str">
        <f>RIGHT(INDEX('EEPROM-Contents'!$D$4:'EEPROM-Contents'!$D$141,MATCH('EEPROM-Contents'!AC5,'EEPROM-Contents'!$B$4:'EEPROM-Contents'!$B$141,0)),2)</f>
        <v>08</v>
      </c>
      <c r="AB11" s="84" t="str">
        <f ca="1">RIGHT(INDEX($D$9:$D$47,MATCH('EEPROM-Contents'!AD5,$B$9:$B$47,0)),2)</f>
        <v>02</v>
      </c>
      <c r="AC11" s="84" t="str">
        <f ca="1">RIGHT(INDEX($D$9:$D$47,MATCH('EEPROM-Contents'!AE5,$B$9:$B$47,0)),2)</f>
        <v>02</v>
      </c>
      <c r="AD11" s="84" t="str">
        <f ca="1">RIGHT(INDEX($D$9:$D$47,MATCH('EEPROM-Contents'!AF5,$B$9:$B$47,0)),2)</f>
        <v>04</v>
      </c>
      <c r="AF11" s="81" t="str">
        <f t="shared" ref="AF11:AF41" ca="1" si="3">CONCATENATE("00000000000000000000",O11,P11,Q11,R11,S11,T11,U11,V11,W11,X11,Y11,Z11,AA11,AB11,AC11,AD11,"00")</f>
        <v>00000000000000000000BF0000000000060101021F0C0802020400</v>
      </c>
    </row>
    <row r="12" spans="2:32" x14ac:dyDescent="0.3">
      <c r="B12" s="85">
        <f>'EEPROM-Contents'!B36</f>
        <v>32</v>
      </c>
      <c r="C12" s="74">
        <f t="shared" ca="1" si="2"/>
        <v>4</v>
      </c>
      <c r="D12" s="77" t="str">
        <f ca="1">DEC2HEX(OFFSET('FTS-Initialization'!AC40,0,MATCH($H$4,'FTS-Initialization'!$AD$36:$AE$36,0)),2)</f>
        <v>04</v>
      </c>
      <c r="E12" s="69" t="str">
        <f>'EEPROM-Contents'!E36</f>
        <v>SEN(3) SP6B</v>
      </c>
      <c r="F12" s="70"/>
      <c r="G12" s="73"/>
      <c r="N12" s="78" t="s">
        <v>343</v>
      </c>
      <c r="O12" s="84" t="str">
        <f ca="1">RIGHT(INDEX($D$9:$D$47,MATCH('EEPROM-Contents'!Q6,$B$9:$B$47,0)),2)</f>
        <v>04</v>
      </c>
      <c r="P12" s="84" t="str">
        <f ca="1">RIGHT(INDEX($D$9:$D$47,MATCH('EEPROM-Contents'!R6,$B$9:$B$47,0)),2)</f>
        <v>04</v>
      </c>
      <c r="Q12" s="84" t="str">
        <f ca="1">RIGHT(INDEX($D$9:$D$47,MATCH('EEPROM-Contents'!S6,$B$9:$B$47,0)),2)</f>
        <v>04</v>
      </c>
      <c r="R12" s="84" t="str">
        <f ca="1">RIGHT(INDEX($D$9:$D$47,MATCH('EEPROM-Contents'!T6,$B$9:$B$47,0)),2)</f>
        <v>04</v>
      </c>
      <c r="S12" s="84" t="str">
        <f ca="1">RIGHT(INDEX($D$9:$D$47,MATCH('EEPROM-Contents'!U6,$B$9:$B$47,0)),2)</f>
        <v>04</v>
      </c>
      <c r="T12" s="84" t="str">
        <f ca="1">RIGHT(INDEX($D$9:$D$47,MATCH('EEPROM-Contents'!V6,$B$9:$B$47,0)),2)</f>
        <v>04</v>
      </c>
      <c r="U12" s="84" t="str">
        <f ca="1">RIGHT(INDEX($D$9:$D$47,MATCH('EEPROM-Contents'!W6,$B$9:$B$47,0)),2)</f>
        <v>04</v>
      </c>
      <c r="V12" s="79" t="str">
        <f>RIGHT(INDEX('EEPROM-Contents'!$D$4:'EEPROM-Contents'!$D$141,MATCH('EEPROM-Contents'!X6,'EEPROM-Contents'!$B$4:'EEPROM-Contents'!$B$141,0)),2)</f>
        <v>03</v>
      </c>
      <c r="W12" s="79" t="str">
        <f>RIGHT(INDEX('EEPROM-Contents'!$D$4:'EEPROM-Contents'!$D$141,MATCH('EEPROM-Contents'!Y6,'EEPROM-Contents'!$B$4:'EEPROM-Contents'!$B$141,0)),2)</f>
        <v>21</v>
      </c>
      <c r="X12" s="79" t="str">
        <f>RIGHT(INDEX('EEPROM-Contents'!$D$4:'EEPROM-Contents'!$D$141,MATCH('EEPROM-Contents'!Z6,'EEPROM-Contents'!$B$4:'EEPROM-Contents'!$B$141,0)),2)</f>
        <v>07</v>
      </c>
      <c r="Y12" s="79" t="str">
        <f>RIGHT(INDEX('EEPROM-Contents'!$D$4:'EEPROM-Contents'!$D$141,MATCH('EEPROM-Contents'!AA6,'EEPROM-Contents'!$B$4:'EEPROM-Contents'!$B$141,0)),2)</f>
        <v>10</v>
      </c>
      <c r="Z12" s="79" t="str">
        <f>RIGHT(INDEX('EEPROM-Contents'!$D$4:'EEPROM-Contents'!$D$141,MATCH('EEPROM-Contents'!AB6,'EEPROM-Contents'!$B$4:'EEPROM-Contents'!$B$141,0)),2)</f>
        <v>02</v>
      </c>
      <c r="AA12" s="79" t="str">
        <f>RIGHT(INDEX('EEPROM-Contents'!$D$4:'EEPROM-Contents'!$D$141,MATCH('EEPROM-Contents'!AC6,'EEPROM-Contents'!$B$4:'EEPROM-Contents'!$B$141,0)),2)</f>
        <v>20</v>
      </c>
      <c r="AB12" s="79" t="str">
        <f>RIGHT(INDEX('EEPROM-Contents'!$D$4:'EEPROM-Contents'!$D$141,MATCH('EEPROM-Contents'!AD6,'EEPROM-Contents'!$B$4:'EEPROM-Contents'!$B$141,0)),2)</f>
        <v>04</v>
      </c>
      <c r="AC12" s="79" t="str">
        <f>RIGHT(INDEX('EEPROM-Contents'!$D$4:'EEPROM-Contents'!$D$141,MATCH('EEPROM-Contents'!AE6,'EEPROM-Contents'!$B$4:'EEPROM-Contents'!$B$141,0)),2)</f>
        <v>40</v>
      </c>
      <c r="AD12" s="84" t="str">
        <f>RIGHT(INDEX($D$9:$D$47,MATCH('EEPROM-Contents'!AF6,$B$9:$B$47,0)),2)</f>
        <v>84</v>
      </c>
      <c r="AF12" s="81" t="str">
        <f t="shared" ca="1" si="3"/>
        <v>000000000000000000000404040404040403210710022004408400</v>
      </c>
    </row>
    <row r="13" spans="2:32" x14ac:dyDescent="0.3">
      <c r="B13" s="85">
        <f>'EEPROM-Contents'!B37</f>
        <v>33</v>
      </c>
      <c r="C13" s="74">
        <f t="shared" ca="1" si="2"/>
        <v>4</v>
      </c>
      <c r="D13" s="77" t="str">
        <f ca="1">DEC2HEX(OFFSET('FTS-Initialization'!AC41,0,MATCH($H$4,'FTS-Initialization'!$AD$36:$AE$36,0)),2)</f>
        <v>04</v>
      </c>
      <c r="E13" s="69" t="str">
        <f>'EEPROM-Contents'!E37</f>
        <v>SEN(4) SP5B</v>
      </c>
      <c r="F13" s="70"/>
      <c r="G13" s="73"/>
      <c r="N13" s="78" t="s">
        <v>344</v>
      </c>
      <c r="O13" s="79" t="str">
        <f>RIGHT(INDEX('EEPROM-Contents'!$D$4:'EEPROM-Contents'!$D$141,MATCH('EEPROM-Contents'!Q7,'EEPROM-Contents'!$B$4:'EEPROM-Contents'!$B$141,0)),2)</f>
        <v>A8</v>
      </c>
      <c r="P13" s="79" t="str">
        <f>RIGHT(INDEX('EEPROM-Contents'!$D$4:'EEPROM-Contents'!$D$141,MATCH('EEPROM-Contents'!R7,'EEPROM-Contents'!$B$4:'EEPROM-Contents'!$B$141,0)),2)</f>
        <v>06</v>
      </c>
      <c r="Q13" s="79" t="str">
        <f>RIGHT(INDEX('EEPROM-Contents'!$D$4:'EEPROM-Contents'!$D$141,MATCH('EEPROM-Contents'!S7,'EEPROM-Contents'!$B$4:'EEPROM-Contents'!$B$141,0)),2)</f>
        <v>2E</v>
      </c>
      <c r="R13" s="79" t="str">
        <f>RIGHT(INDEX('EEPROM-Contents'!$D$4:'EEPROM-Contents'!$D$141,MATCH('EEPROM-Contents'!T7,'EEPROM-Contents'!$B$4:'EEPROM-Contents'!$B$141,0)),2)</f>
        <v>2F</v>
      </c>
      <c r="S13" s="79" t="str">
        <f>RIGHT(INDEX('EEPROM-Contents'!$D$4:'EEPROM-Contents'!$D$141,MATCH('EEPROM-Contents'!U7,'EEPROM-Contents'!$B$4:'EEPROM-Contents'!$B$141,0)),2)</f>
        <v>1B</v>
      </c>
      <c r="T13" s="79" t="str">
        <f>RIGHT(INDEX('EEPROM-Contents'!$D$4:'EEPROM-Contents'!$D$141,MATCH('EEPROM-Contents'!V7,'EEPROM-Contents'!$B$4:'EEPROM-Contents'!$B$141,0)),2)</f>
        <v>D3</v>
      </c>
      <c r="U13" s="79" t="str">
        <f>RIGHT(INDEX('EEPROM-Contents'!$D$4:'EEPROM-Contents'!$D$141,MATCH('EEPROM-Contents'!W7,'EEPROM-Contents'!$B$4:'EEPROM-Contents'!$B$141,0)),2)</f>
        <v>91</v>
      </c>
      <c r="V13" s="79" t="str">
        <f>RIGHT(INDEX('EEPROM-Contents'!$D$4:'EEPROM-Contents'!$D$141,MATCH('EEPROM-Contents'!X7,'EEPROM-Contents'!$B$4:'EEPROM-Contents'!$B$141,0)),2)</f>
        <v>1B</v>
      </c>
      <c r="W13" s="79" t="str">
        <f>RIGHT(INDEX('EEPROM-Contents'!$D$4:'EEPROM-Contents'!$D$141,MATCH('EEPROM-Contents'!Y7,'EEPROM-Contents'!$B$4:'EEPROM-Contents'!$B$141,0)),2)</f>
        <v>08</v>
      </c>
      <c r="X13" s="79" t="str">
        <f>RIGHT(INDEX('EEPROM-Contents'!$D$4:'EEPROM-Contents'!$D$141,MATCH('EEPROM-Contents'!Z7,'EEPROM-Contents'!$B$4:'EEPROM-Contents'!$B$141,0)),2)</f>
        <v>44</v>
      </c>
      <c r="Y13" s="79" t="str">
        <f>RIGHT(INDEX('EEPROM-Contents'!$D$4:'EEPROM-Contents'!$D$141,MATCH('EEPROM-Contents'!AA7,'EEPROM-Contents'!$B$4:'EEPROM-Contents'!$B$141,0)),2)</f>
        <v>00</v>
      </c>
      <c r="Z13" s="84" t="str">
        <f>RIGHT(INDEX($D$9:$D$47,MATCH('EEPROM-Contents'!AB7,$B$9:$B$47,0)),2)</f>
        <v>0A</v>
      </c>
      <c r="AA13" s="79" t="str">
        <f>RIGHT(INDEX('EEPROM-Contents'!$D$4:'EEPROM-Contents'!$D$141,MATCH('EEPROM-Contents'!AC7,'EEPROM-Contents'!$B$4:'EEPROM-Contents'!$B$141,0)),2)</f>
        <v>0F</v>
      </c>
      <c r="AB13" s="79" t="str">
        <f>RIGHT(INDEX('EEPROM-Contents'!$D$4:'EEPROM-Contents'!$D$141,MATCH('EEPROM-Contents'!AD7,'EEPROM-Contents'!$B$4:'EEPROM-Contents'!$B$141,0)),2)</f>
        <v>00</v>
      </c>
      <c r="AC13" s="79" t="str">
        <f>RIGHT(INDEX('EEPROM-Contents'!$D$4:'EEPROM-Contents'!$D$141,MATCH('EEPROM-Contents'!AE7,'EEPROM-Contents'!$B$4:'EEPROM-Contents'!$B$141,0)),2)</f>
        <v>0F</v>
      </c>
      <c r="AD13" s="79" t="str">
        <f>RIGHT(INDEX('EEPROM-Contents'!$D$4:'EEPROM-Contents'!$D$141,MATCH('EEPROM-Contents'!AF7,'EEPROM-Contents'!$B$4:'EEPROM-Contents'!$B$141,0)),2)</f>
        <v>6C</v>
      </c>
      <c r="AF13" s="81" t="str">
        <f t="shared" si="3"/>
        <v>00000000000000000000A8062E2F1BD3911B0844000A0F000F6C00</v>
      </c>
    </row>
    <row r="14" spans="2:32" x14ac:dyDescent="0.3">
      <c r="B14" s="85">
        <f>'EEPROM-Contents'!B38</f>
        <v>34</v>
      </c>
      <c r="C14" s="74">
        <f t="shared" ca="1" si="2"/>
        <v>4</v>
      </c>
      <c r="D14" s="77" t="str">
        <f ca="1">DEC2HEX(OFFSET('FTS-Initialization'!AC42,0,MATCH($H$4,'FTS-Initialization'!$AD$36:$AE$36,0)),2)</f>
        <v>04</v>
      </c>
      <c r="E14" s="69" t="str">
        <f>'EEPROM-Contents'!E38</f>
        <v>SEN(5) SP4B</v>
      </c>
      <c r="F14" s="70"/>
      <c r="G14" s="73"/>
      <c r="N14" s="78" t="s">
        <v>346</v>
      </c>
      <c r="O14" s="79" t="str">
        <f>RIGHT(INDEX('EEPROM-Contents'!$D$4:'EEPROM-Contents'!$D$141,MATCH('EEPROM-Contents'!Q8,'EEPROM-Contents'!$B$4:'EEPROM-Contents'!$B$141,0)),2)</f>
        <v>CC</v>
      </c>
      <c r="P14" s="79" t="str">
        <f>RIGHT(INDEX('EEPROM-Contents'!$D$4:'EEPROM-Contents'!$D$141,MATCH('EEPROM-Contents'!R8,'EEPROM-Contents'!$B$4:'EEPROM-Contents'!$B$141,0)),2)</f>
        <v>5B</v>
      </c>
      <c r="Q14" s="79" t="str">
        <f>RIGHT(INDEX('EEPROM-Contents'!$D$4:'EEPROM-Contents'!$D$141,MATCH('EEPROM-Contents'!S8,'EEPROM-Contents'!$B$4:'EEPROM-Contents'!$B$141,0)),2)</f>
        <v>F8</v>
      </c>
      <c r="R14" s="79" t="str">
        <f>RIGHT(INDEX('EEPROM-Contents'!$D$4:'EEPROM-Contents'!$D$141,MATCH('EEPROM-Contents'!T8,'EEPROM-Contents'!$B$4:'EEPROM-Contents'!$B$141,0)),2)</f>
        <v>17</v>
      </c>
      <c r="S14" s="79" t="str">
        <f>RIGHT(INDEX('EEPROM-Contents'!$D$4:'EEPROM-Contents'!$D$141,MATCH('EEPROM-Contents'!U8,'EEPROM-Contents'!$B$4:'EEPROM-Contents'!$B$141,0)),2)</f>
        <v>23</v>
      </c>
      <c r="T14" s="79" t="str">
        <f>RIGHT(INDEX('EEPROM-Contents'!$D$4:'EEPROM-Contents'!$D$141,MATCH('EEPROM-Contents'!V8,'EEPROM-Contents'!$B$4:'EEPROM-Contents'!$B$141,0)),2)</f>
        <v>9A</v>
      </c>
      <c r="U14" s="79" t="str">
        <f>RIGHT(INDEX('EEPROM-Contents'!$D$4:'EEPROM-Contents'!$D$141,MATCH('EEPROM-Contents'!W8,'EEPROM-Contents'!$B$4:'EEPROM-Contents'!$B$141,0)),2)</f>
        <v>47</v>
      </c>
      <c r="V14" s="79" t="str">
        <f>RIGHT(INDEX('EEPROM-Contents'!$D$4:'EEPROM-Contents'!$D$141,MATCH('EEPROM-Contents'!X8,'EEPROM-Contents'!$B$4:'EEPROM-Contents'!$B$141,0)),2)</f>
        <v>00</v>
      </c>
      <c r="W14" s="79" t="str">
        <f>RIGHT(INDEX('EEPROM-Contents'!$D$4:'EEPROM-Contents'!$D$141,MATCH('EEPROM-Contents'!Y8,'EEPROM-Contents'!$B$4:'EEPROM-Contents'!$B$141,0)),2)</f>
        <v>30</v>
      </c>
      <c r="X14" s="79" t="str">
        <f>RIGHT(INDEX('EEPROM-Contents'!$D$4:'EEPROM-Contents'!$D$141,MATCH('EEPROM-Contents'!Z8,'EEPROM-Contents'!$B$4:'EEPROM-Contents'!$B$141,0)),2)</f>
        <v>18</v>
      </c>
      <c r="Y14" s="79" t="str">
        <f>RIGHT(INDEX('EEPROM-Contents'!$D$4:'EEPROM-Contents'!$D$141,MATCH('EEPROM-Contents'!AA8,'EEPROM-Contents'!$B$4:'EEPROM-Contents'!$B$141,0)),2)</f>
        <v>16</v>
      </c>
      <c r="Z14" s="79" t="str">
        <f>RIGHT(INDEX('EEPROM-Contents'!$D$4:'EEPROM-Contents'!$D$141,MATCH('EEPROM-Contents'!AB8,'EEPROM-Contents'!$B$4:'EEPROM-Contents'!$B$141,0)),2)</f>
        <v>6C</v>
      </c>
      <c r="AA14" s="79" t="str">
        <f>RIGHT(INDEX('EEPROM-Contents'!$D$4:'EEPROM-Contents'!$D$141,MATCH('EEPROM-Contents'!AC8,'EEPROM-Contents'!$B$4:'EEPROM-Contents'!$B$141,0)),2)</f>
        <v>03</v>
      </c>
      <c r="AB14" s="79" t="str">
        <f>RIGHT(INDEX('EEPROM-Contents'!$D$4:'EEPROM-Contents'!$D$141,MATCH('EEPROM-Contents'!AD8,'EEPROM-Contents'!$B$4:'EEPROM-Contents'!$B$141,0)),2)</f>
        <v>40</v>
      </c>
      <c r="AC14" s="79" t="str">
        <f>RIGHT(INDEX('EEPROM-Contents'!$D$4:'EEPROM-Contents'!$D$141,MATCH('EEPROM-Contents'!AE8,'EEPROM-Contents'!$B$4:'EEPROM-Contents'!$B$141,0)),2)</f>
        <v>91</v>
      </c>
      <c r="AD14" s="79" t="str">
        <f>RIGHT(INDEX('EEPROM-Contents'!$D$4:'EEPROM-Contents'!$D$141,MATCH('EEPROM-Contents'!AF8,'EEPROM-Contents'!$B$4:'EEPROM-Contents'!$B$141,0)),2)</f>
        <v>00</v>
      </c>
      <c r="AF14" s="81" t="str">
        <f t="shared" si="3"/>
        <v>00000000000000000000CC5BF817239A47003018166C0340910000</v>
      </c>
    </row>
    <row r="15" spans="2:32" x14ac:dyDescent="0.3">
      <c r="B15" s="85">
        <f>'EEPROM-Contents'!B39</f>
        <v>35</v>
      </c>
      <c r="C15" s="74">
        <f t="shared" ca="1" si="2"/>
        <v>4</v>
      </c>
      <c r="D15" s="77" t="str">
        <f ca="1">DEC2HEX(OFFSET('FTS-Initialization'!AC43,0,MATCH($H$4,'FTS-Initialization'!$AD$36:$AE$36,0)),2)</f>
        <v>04</v>
      </c>
      <c r="E15" s="69" t="str">
        <f>'EEPROM-Contents'!E39</f>
        <v>SEN(6) SP3B</v>
      </c>
      <c r="F15" s="70"/>
      <c r="G15" s="73"/>
      <c r="N15" s="78" t="s">
        <v>347</v>
      </c>
      <c r="O15" s="79" t="str">
        <f>RIGHT(INDEX('EEPROM-Contents'!$D$4:'EEPROM-Contents'!$D$141,MATCH('EEPROM-Contents'!Q9,'EEPROM-Contents'!$B$4:'EEPROM-Contents'!$B$141,0)),2)</f>
        <v>C0</v>
      </c>
      <c r="P15" s="79" t="str">
        <f>RIGHT(INDEX('EEPROM-Contents'!$D$4:'EEPROM-Contents'!$D$141,MATCH('EEPROM-Contents'!R9,'EEPROM-Contents'!$B$4:'EEPROM-Contents'!$B$141,0)),2)</f>
        <v>78</v>
      </c>
      <c r="Q15" s="79" t="str">
        <f>RIGHT(INDEX('EEPROM-Contents'!$D$4:'EEPROM-Contents'!$D$141,MATCH('EEPROM-Contents'!S9,'EEPROM-Contents'!$B$4:'EEPROM-Contents'!$B$141,0)),2)</f>
        <v>56</v>
      </c>
      <c r="R15" s="79" t="str">
        <f>RIGHT(INDEX('EEPROM-Contents'!$D$4:'EEPROM-Contents'!$D$141,MATCH('EEPROM-Contents'!T9,'EEPROM-Contents'!$B$4:'EEPROM-Contents'!$B$141,0)),2)</f>
        <v>10</v>
      </c>
      <c r="S15" s="79" t="str">
        <f>RIGHT(INDEX('EEPROM-Contents'!$D$4:'EEPROM-Contents'!$D$141,MATCH('EEPROM-Contents'!U9,'EEPROM-Contents'!$B$4:'EEPROM-Contents'!$B$141,0)),2)</f>
        <v>EA</v>
      </c>
      <c r="T15" s="79" t="str">
        <f>RIGHT(INDEX('EEPROM-Contents'!$D$4:'EEPROM-Contents'!$D$141,MATCH('EEPROM-Contents'!V9,'EEPROM-Contents'!$B$4:'EEPROM-Contents'!$B$141,0)),2)</f>
        <v>2A</v>
      </c>
      <c r="U15" s="79" t="str">
        <f>RIGHT(INDEX('EEPROM-Contents'!$D$4:'EEPROM-Contents'!$D$141,MATCH('EEPROM-Contents'!W9,'EEPROM-Contents'!$B$4:'EEPROM-Contents'!$B$141,0)),2)</f>
        <v>00</v>
      </c>
      <c r="V15" s="79" t="str">
        <f>RIGHT(INDEX('EEPROM-Contents'!$D$4:'EEPROM-Contents'!$D$141,MATCH('EEPROM-Contents'!X9,'EEPROM-Contents'!$B$4:'EEPROM-Contents'!$B$141,0)),2)</f>
        <v>1F</v>
      </c>
      <c r="W15" s="79" t="str">
        <f>RIGHT(INDEX('EEPROM-Contents'!$D$4:'EEPROM-Contents'!$D$141,MATCH('EEPROM-Contents'!Y9,'EEPROM-Contents'!$B$4:'EEPROM-Contents'!$B$141,0)),2)</f>
        <v>41</v>
      </c>
      <c r="X15" s="79" t="str">
        <f>RIGHT(INDEX('EEPROM-Contents'!$D$4:'EEPROM-Contents'!$D$141,MATCH('EEPROM-Contents'!Z9,'EEPROM-Contents'!$B$4:'EEPROM-Contents'!$B$141,0)),2)</f>
        <v>00</v>
      </c>
      <c r="Y15" s="79" t="str">
        <f>RIGHT(INDEX('EEPROM-Contents'!$D$4:'EEPROM-Contents'!$D$141,MATCH('EEPROM-Contents'!AA9,'EEPROM-Contents'!$B$4:'EEPROM-Contents'!$B$141,0)),2)</f>
        <v>00</v>
      </c>
      <c r="Z15" s="84" t="str">
        <f>RIGHT(INDEX($D$9:$D$47,MATCH('EEPROM-Contents'!AB9,$B$9:$B$47,0)),2)</f>
        <v>00</v>
      </c>
      <c r="AA15" s="84" t="str">
        <f>RIGHT(INDEX($D$9:$D$47,MATCH('EEPROM-Contents'!AC9,$B$9:$B$47,0)),2)</f>
        <v>00</v>
      </c>
      <c r="AB15" s="84" t="str">
        <f>RIGHT(INDEX($D$9:$D$47,MATCH('EEPROM-Contents'!AD9,$B$9:$B$47,0)),2)</f>
        <v>00</v>
      </c>
      <c r="AC15" s="84" t="str">
        <f>RIGHT(INDEX($D$9:$D$47,MATCH('EEPROM-Contents'!AE9,$B$9:$B$47,0)),2)</f>
        <v>00</v>
      </c>
      <c r="AD15" s="84" t="str">
        <f>RIGHT(INDEX($D$9:$D$47,MATCH('EEPROM-Contents'!AF9,$B$9:$B$47,0)),2)</f>
        <v>09</v>
      </c>
      <c r="AF15" s="81" t="str">
        <f t="shared" si="3"/>
        <v>00000000000000000000C0785610EA2A001F410000000000000900</v>
      </c>
    </row>
    <row r="16" spans="2:32" x14ac:dyDescent="0.3">
      <c r="B16" s="85">
        <f>'EEPROM-Contents'!B40</f>
        <v>36</v>
      </c>
      <c r="C16" s="74">
        <f t="shared" ca="1" si="2"/>
        <v>4</v>
      </c>
      <c r="D16" s="77" t="str">
        <f ca="1">DEC2HEX(OFFSET('FTS-Initialization'!AC44,0,MATCH($H$4,'FTS-Initialization'!$AD$36:$AE$36,0)),2)</f>
        <v>04</v>
      </c>
      <c r="E16" s="69" t="str">
        <f>'EEPROM-Contents'!E40</f>
        <v>SEN(7) SP2B</v>
      </c>
      <c r="F16" s="70"/>
      <c r="G16" s="73"/>
      <c r="N16" s="78" t="s">
        <v>348</v>
      </c>
      <c r="O16" s="84" t="str">
        <f ca="1">RIGHT(INDEX($D$9:$D$47,MATCH('EEPROM-Contents'!Q10,$B$9:$B$47,0)),2)</f>
        <v>07</v>
      </c>
      <c r="P16" s="84" t="str">
        <f ca="1">RIGHT(INDEX($D$9:$D$47,MATCH('EEPROM-Contents'!R10,$B$9:$B$47,0)),2)</f>
        <v>01</v>
      </c>
      <c r="Q16" s="84" t="str">
        <f ca="1">RIGHT(INDEX($D$9:$D$47,MATCH('EEPROM-Contents'!S10,$B$9:$B$47,0)),2)</f>
        <v>03</v>
      </c>
      <c r="R16" s="84" t="str">
        <f>RIGHT(INDEX($D$9:$D$47,MATCH('EEPROM-Contents'!T10,$B$9:$B$47,0)),2)</f>
        <v>17</v>
      </c>
      <c r="S16" s="84" t="str">
        <f>RIGHT(INDEX($D$9:$D$47,MATCH('EEPROM-Contents'!U10,$B$9:$B$47,0)),2)</f>
        <v>73</v>
      </c>
      <c r="T16" s="84" t="str">
        <f>RIGHT(INDEX($D$9:$D$47,MATCH('EEPROM-Contents'!V10,$B$9:$B$47,0)),2)</f>
        <v>00</v>
      </c>
      <c r="U16" s="84" t="str">
        <f>RIGHT(INDEX($D$9:$D$47,MATCH('EEPROM-Contents'!W10,$B$9:$B$47,0)),2)</f>
        <v>00</v>
      </c>
      <c r="V16" s="84" t="str">
        <f>RIGHT(INDEX($D$9:$D$47,MATCH('EEPROM-Contents'!X10,$B$9:$B$47,0)),2)</f>
        <v>00</v>
      </c>
      <c r="W16" s="84" t="str">
        <f>RIGHT(INDEX($D$9:$D$47,MATCH('EEPROM-Contents'!Y10,$B$9:$B$47,0)),2)</f>
        <v>00</v>
      </c>
      <c r="X16" s="79" t="str">
        <f>RIGHT(INDEX('EEPROM-Contents'!$D$4:'EEPROM-Contents'!$D$141,MATCH('EEPROM-Contents'!Z10,'EEPROM-Contents'!$B$4:'EEPROM-Contents'!$B$141,0)),2)</f>
        <v>00</v>
      </c>
      <c r="Y16" s="79" t="str">
        <f>RIGHT(INDEX('EEPROM-Contents'!$D$4:'EEPROM-Contents'!$D$141,MATCH('EEPROM-Contents'!AA10,'EEPROM-Contents'!$B$4:'EEPROM-Contents'!$B$141,0)),2)</f>
        <v>00</v>
      </c>
      <c r="Z16" s="79" t="str">
        <f>RIGHT(INDEX('EEPROM-Contents'!$D$4:'EEPROM-Contents'!$D$141,MATCH('EEPROM-Contents'!AB10,'EEPROM-Contents'!$B$4:'EEPROM-Contents'!$B$141,0)),2)</f>
        <v>00</v>
      </c>
      <c r="AA16" s="79" t="str">
        <f>RIGHT(INDEX('EEPROM-Contents'!$D$4:'EEPROM-Contents'!$D$141,MATCH('EEPROM-Contents'!AC10,'EEPROM-Contents'!$B$4:'EEPROM-Contents'!$B$141,0)),2)</f>
        <v>00</v>
      </c>
      <c r="AB16" s="79" t="str">
        <f>RIGHT(INDEX('EEPROM-Contents'!$D$4:'EEPROM-Contents'!$D$141,MATCH('EEPROM-Contents'!AD10,'EEPROM-Contents'!$B$4:'EEPROM-Contents'!$B$141,0)),2)</f>
        <v>00</v>
      </c>
      <c r="AC16" s="79" t="str">
        <f>RIGHT(INDEX('EEPROM-Contents'!$D$4:'EEPROM-Contents'!$D$141,MATCH('EEPROM-Contents'!AE10,'EEPROM-Contents'!$B$4:'EEPROM-Contents'!$B$141,0)),2)</f>
        <v>00</v>
      </c>
      <c r="AD16" s="79" t="str">
        <f>RIGHT(INDEX('EEPROM-Contents'!$D$4:'EEPROM-Contents'!$D$141,MATCH('EEPROM-Contents'!AF10,'EEPROM-Contents'!$B$4:'EEPROM-Contents'!$B$141,0)),2)</f>
        <v>00</v>
      </c>
      <c r="AF16" s="81" t="str">
        <f t="shared" ca="1" si="3"/>
        <v>000000000000000000000701031773000000000000000000000000</v>
      </c>
    </row>
    <row r="17" spans="2:32" x14ac:dyDescent="0.3">
      <c r="B17" s="85">
        <f>'EEPROM-Contents'!B41</f>
        <v>37</v>
      </c>
      <c r="C17" s="74">
        <f t="shared" ca="1" si="2"/>
        <v>4</v>
      </c>
      <c r="D17" s="77" t="str">
        <f ca="1">DEC2HEX(OFFSET('FTS-Initialization'!AC45,0,MATCH($H$4,'FTS-Initialization'!$AD$36:$AE$36,0)),2)</f>
        <v>04</v>
      </c>
      <c r="E17" s="69" t="str">
        <f>'EEPROM-Contents'!E41</f>
        <v>SEN(8) SP1B</v>
      </c>
      <c r="F17" s="70"/>
      <c r="G17" s="73"/>
      <c r="N17" s="78" t="s">
        <v>349</v>
      </c>
      <c r="O17" s="79" t="str">
        <f>RIGHT(INDEX('EEPROM-Contents'!$D$4:'EEPROM-Contents'!$D$141,MATCH('EEPROM-Contents'!Q11,'EEPROM-Contents'!$B$4:'EEPROM-Contents'!$B$141,0)),2)</f>
        <v>00</v>
      </c>
      <c r="P17" s="84" t="str">
        <f>RIGHT(INDEX($D$9:$D$47,MATCH('EEPROM-Contents'!R11,$B$9:$B$47,0)),2)</f>
        <v>BF</v>
      </c>
      <c r="Q17" s="84" t="str">
        <f>RIGHT(INDEX($D$9:$D$47,MATCH('EEPROM-Contents'!S11,$B$9:$B$47,0)),2)</f>
        <v>64</v>
      </c>
      <c r="R17" s="84" t="str">
        <f>RIGHT(INDEX($D$9:$D$47,MATCH('EEPROM-Contents'!T11,$B$9:$B$47,0)),2)</f>
        <v>64</v>
      </c>
      <c r="S17" s="84" t="str">
        <f ca="1">RIGHT(INDEX($D$9:$D$47,MATCH('EEPROM-Contents'!U11,$B$9:$B$47,0)),2)</f>
        <v>DA</v>
      </c>
      <c r="T17" s="79" t="str">
        <f>RIGHT(INDEX('EEPROM-Contents'!$D$4:'EEPROM-Contents'!$D$141,MATCH('EEPROM-Contents'!V11,'EEPROM-Contents'!$B$4:'EEPROM-Contents'!$B$141,0)),2)</f>
        <v>01</v>
      </c>
      <c r="U17" s="84" t="str">
        <f>RIGHT(INDEX($D$9:$D$47,MATCH('EEPROM-Contents'!W11,$B$9:$B$47,0)),2)</f>
        <v>09</v>
      </c>
      <c r="V17" s="84" t="str">
        <f ca="1">RIGHT(INDEX($D$9:$D$47,MATCH('EEPROM-Contents'!X11,$B$9:$B$47,0)),2)</f>
        <v>07</v>
      </c>
      <c r="W17" s="84" t="str">
        <f ca="1">RIGHT(INDEX($D$9:$D$47,MATCH('EEPROM-Contents'!Y11,$B$9:$B$47,0)),2)</f>
        <v>01</v>
      </c>
      <c r="X17" s="84" t="str">
        <f ca="1">RIGHT(INDEX($D$9:$D$47,MATCH('EEPROM-Contents'!Z11,$B$9:$B$47,0)),2)</f>
        <v>03</v>
      </c>
      <c r="Y17" s="84" t="str">
        <f>RIGHT(INDEX($D$9:$D$47,MATCH('EEPROM-Contents'!AA11,$B$9:$B$47,0)),2)</f>
        <v>17</v>
      </c>
      <c r="Z17" s="84" t="str">
        <f>RIGHT(INDEX($D$9:$D$47,MATCH('EEPROM-Contents'!AB11,$B$9:$B$47,0)),2)</f>
        <v>73</v>
      </c>
      <c r="AA17" s="84" t="str">
        <f>RIGHT(INDEX($D$9:$D$47,MATCH('EEPROM-Contents'!AC11,$B$9:$B$47,0)),2)</f>
        <v>00</v>
      </c>
      <c r="AB17" s="84" t="str">
        <f>RIGHT(INDEX($D$9:$D$47,MATCH('EEPROM-Contents'!AD11,$B$9:$B$47,0)),2)</f>
        <v>00</v>
      </c>
      <c r="AC17" s="84" t="str">
        <f>RIGHT(INDEX($D$9:$D$47,MATCH('EEPROM-Contents'!AE11,$B$9:$B$47,0)),2)</f>
        <v>00</v>
      </c>
      <c r="AD17" s="84" t="str">
        <f>RIGHT(INDEX($D$9:$D$47,MATCH('EEPROM-Contents'!AF11,$B$9:$B$47,0)),2)</f>
        <v>00</v>
      </c>
      <c r="AF17" s="81" t="str">
        <f t="shared" ca="1" si="3"/>
        <v>0000000000000000000000BF6464DA010907010317730000000000</v>
      </c>
    </row>
    <row r="18" spans="2:32" x14ac:dyDescent="0.3">
      <c r="B18" s="85">
        <f>'EEPROM-Contents'!B42</f>
        <v>38</v>
      </c>
      <c r="C18" s="74">
        <f t="shared" ca="1" si="2"/>
        <v>4</v>
      </c>
      <c r="D18" s="77" t="str">
        <f ca="1">DEC2HEX(OFFSET('FTS-Initialization'!AC46,0,MATCH($H$4,'FTS-Initialization'!$AD$36:$AE$36,0)),2)</f>
        <v>04</v>
      </c>
      <c r="E18" s="69" t="str">
        <f>'EEPROM-Contents'!E42</f>
        <v>SEN(9) CP1B</v>
      </c>
      <c r="F18" s="70"/>
      <c r="G18" s="73"/>
      <c r="N18" s="78" t="s">
        <v>350</v>
      </c>
      <c r="O18" s="79" t="str">
        <f>RIGHT(INDEX('EEPROM-Contents'!$D$4:'EEPROM-Contents'!$D$141,MATCH('EEPROM-Contents'!Q12,'EEPROM-Contents'!$B$4:'EEPROM-Contents'!$B$141,0)),2)</f>
        <v>00</v>
      </c>
      <c r="P18" s="79" t="str">
        <f>RIGHT(INDEX('EEPROM-Contents'!$D$4:'EEPROM-Contents'!$D$141,MATCH('EEPROM-Contents'!R12,'EEPROM-Contents'!$B$4:'EEPROM-Contents'!$B$141,0)),2)</f>
        <v>00</v>
      </c>
      <c r="Q18" s="79" t="str">
        <f>RIGHT(INDEX('EEPROM-Contents'!$D$4:'EEPROM-Contents'!$D$141,MATCH('EEPROM-Contents'!S12,'EEPROM-Contents'!$B$4:'EEPROM-Contents'!$B$141,0)),2)</f>
        <v>00</v>
      </c>
      <c r="R18" s="79" t="str">
        <f>RIGHT(INDEX('EEPROM-Contents'!$D$4:'EEPROM-Contents'!$D$141,MATCH('EEPROM-Contents'!T12,'EEPROM-Contents'!$B$4:'EEPROM-Contents'!$B$141,0)),2)</f>
        <v>00</v>
      </c>
      <c r="S18" s="79" t="str">
        <f>RIGHT(INDEX('EEPROM-Contents'!$D$4:'EEPROM-Contents'!$D$141,MATCH('EEPROM-Contents'!U12,'EEPROM-Contents'!$B$4:'EEPROM-Contents'!$B$141,0)),2)</f>
        <v>00</v>
      </c>
      <c r="T18" s="79" t="str">
        <f>RIGHT(INDEX('EEPROM-Contents'!$D$4:'EEPROM-Contents'!$D$141,MATCH('EEPROM-Contents'!V12,'EEPROM-Contents'!$B$4:'EEPROM-Contents'!$B$141,0)),2)</f>
        <v>00</v>
      </c>
      <c r="U18" s="79" t="str">
        <f>RIGHT(INDEX('EEPROM-Contents'!$D$4:'EEPROM-Contents'!$D$141,MATCH('EEPROM-Contents'!W12,'EEPROM-Contents'!$B$4:'EEPROM-Contents'!$B$141,0)),2)</f>
        <v>00</v>
      </c>
      <c r="V18" s="79" t="str">
        <f>RIGHT(INDEX('EEPROM-Contents'!$D$4:'EEPROM-Contents'!$D$141,MATCH('EEPROM-Contents'!X12,'EEPROM-Contents'!$B$4:'EEPROM-Contents'!$B$141,0)),2)</f>
        <v>00</v>
      </c>
      <c r="W18" s="84" t="str">
        <f>RIGHT(INDEX($D$9:$D$47,MATCH('EEPROM-Contents'!Y12,$B$9:$B$47,0)),2)</f>
        <v>BF</v>
      </c>
      <c r="X18" s="84" t="str">
        <f>RIGHT(INDEX($D$9:$D$47,MATCH('EEPROM-Contents'!Z12,$B$9:$B$47,0)),2)</f>
        <v>64</v>
      </c>
      <c r="Y18" s="84" t="str">
        <f>RIGHT(INDEX($D$9:$D$47,MATCH('EEPROM-Contents'!AA12,$B$9:$B$47,0)),2)</f>
        <v>64</v>
      </c>
      <c r="Z18" s="84" t="str">
        <f ca="1">RIGHT(INDEX($D$9:$D$47,MATCH('EEPROM-Contents'!AB12,$B$9:$B$47,0)),2)</f>
        <v>DA</v>
      </c>
      <c r="AA18" s="79" t="str">
        <f>RIGHT(INDEX('EEPROM-Contents'!$D$4:'EEPROM-Contents'!$D$141,MATCH('EEPROM-Contents'!AC12,'EEPROM-Contents'!$B$4:'EEPROM-Contents'!$B$141,0)),2)</f>
        <v>02</v>
      </c>
      <c r="AB18" s="84" t="str">
        <f>RIGHT(INDEX($D$9:$D$47,MATCH('EEPROM-Contents'!AD12,$B$9:$B$47,0)),2)</f>
        <v>09</v>
      </c>
      <c r="AC18" s="84" t="str">
        <f ca="1">RIGHT(INDEX($D$9:$D$47,MATCH('EEPROM-Contents'!AE12,$B$9:$B$47,0)),2)</f>
        <v>07</v>
      </c>
      <c r="AD18" s="84" t="str">
        <f ca="1">RIGHT(INDEX($D$9:$D$47,MATCH('EEPROM-Contents'!AF12,$B$9:$B$47,0)),2)</f>
        <v>01</v>
      </c>
      <c r="AF18" s="81" t="str">
        <f t="shared" ca="1" si="3"/>
        <v>000000000000000000000000000000000000BF6464DA0209070100</v>
      </c>
    </row>
    <row r="19" spans="2:32" x14ac:dyDescent="0.3">
      <c r="B19" s="85">
        <f>'EEPROM-Contents'!B20</f>
        <v>16</v>
      </c>
      <c r="C19" s="74">
        <f t="shared" si="2"/>
        <v>191</v>
      </c>
      <c r="D19" s="77" t="str">
        <f>$F$4</f>
        <v>BF</v>
      </c>
      <c r="E19" s="69" t="str">
        <f>'EEPROM-Contents'!E20</f>
        <v>GAINC</v>
      </c>
      <c r="F19" s="70"/>
      <c r="G19" s="73"/>
      <c r="N19" s="78" t="s">
        <v>351</v>
      </c>
      <c r="O19" s="84" t="str">
        <f ca="1">RIGHT(INDEX($D$9:$D$47,MATCH('EEPROM-Contents'!Q13,$B$9:$B$47,0)),2)</f>
        <v>03</v>
      </c>
      <c r="P19" s="84" t="str">
        <f>RIGHT(INDEX($D$9:$D$47,MATCH('EEPROM-Contents'!R13,$B$9:$B$47,0)),2)</f>
        <v>17</v>
      </c>
      <c r="Q19" s="84" t="str">
        <f>RIGHT(INDEX($D$9:$D$47,MATCH('EEPROM-Contents'!S13,$B$9:$B$47,0)),2)</f>
        <v>73</v>
      </c>
      <c r="R19" s="84" t="str">
        <f>RIGHT(INDEX($D$9:$D$47,MATCH('EEPROM-Contents'!T13,$B$9:$B$47,0)),2)</f>
        <v>00</v>
      </c>
      <c r="S19" s="84" t="str">
        <f>RIGHT(INDEX($D$9:$D$47,MATCH('EEPROM-Contents'!U13,$B$9:$B$47,0)),2)</f>
        <v>00</v>
      </c>
      <c r="T19" s="84" t="str">
        <f>RIGHT(INDEX($D$9:$D$47,MATCH('EEPROM-Contents'!V13,$B$9:$B$47,0)),2)</f>
        <v>00</v>
      </c>
      <c r="U19" s="84" t="str">
        <f>RIGHT(INDEX($D$9:$D$47,MATCH('EEPROM-Contents'!W13,$B$9:$B$47,0)),2)</f>
        <v>00</v>
      </c>
      <c r="V19" s="79" t="str">
        <f>RIGHT(INDEX('EEPROM-Contents'!$D$4:'EEPROM-Contents'!$D$141,MATCH('EEPROM-Contents'!X13,'EEPROM-Contents'!$B$4:'EEPROM-Contents'!$B$141,0)),2)</f>
        <v>00</v>
      </c>
      <c r="W19" s="79" t="str">
        <f>RIGHT(INDEX('EEPROM-Contents'!$D$4:'EEPROM-Contents'!$D$141,MATCH('EEPROM-Contents'!Y13,'EEPROM-Contents'!$B$4:'EEPROM-Contents'!$B$141,0)),2)</f>
        <v>00</v>
      </c>
      <c r="X19" s="79" t="str">
        <f>RIGHT(INDEX('EEPROM-Contents'!$D$4:'EEPROM-Contents'!$D$141,MATCH('EEPROM-Contents'!Z13,'EEPROM-Contents'!$B$4:'EEPROM-Contents'!$B$141,0)),2)</f>
        <v>00</v>
      </c>
      <c r="Y19" s="79" t="str">
        <f>RIGHT(INDEX('EEPROM-Contents'!$D$4:'EEPROM-Contents'!$D$141,MATCH('EEPROM-Contents'!AA13,'EEPROM-Contents'!$B$4:'EEPROM-Contents'!$B$141,0)),2)</f>
        <v>00</v>
      </c>
      <c r="Z19" s="79" t="str">
        <f>RIGHT(INDEX('EEPROM-Contents'!$D$4:'EEPROM-Contents'!$D$141,MATCH('EEPROM-Contents'!AB13,'EEPROM-Contents'!$B$4:'EEPROM-Contents'!$B$141,0)),2)</f>
        <v>00</v>
      </c>
      <c r="AA19" s="79" t="str">
        <f>RIGHT(INDEX('EEPROM-Contents'!$D$4:'EEPROM-Contents'!$D$141,MATCH('EEPROM-Contents'!AC13,'EEPROM-Contents'!$B$4:'EEPROM-Contents'!$B$141,0)),2)</f>
        <v>00</v>
      </c>
      <c r="AB19" s="79" t="str">
        <f>RIGHT(INDEX('EEPROM-Contents'!$D$4:'EEPROM-Contents'!$D$141,MATCH('EEPROM-Contents'!AD13,'EEPROM-Contents'!$B$4:'EEPROM-Contents'!$B$141,0)),2)</f>
        <v>00</v>
      </c>
      <c r="AC19" s="79" t="str">
        <f>RIGHT(INDEX('EEPROM-Contents'!$D$4:'EEPROM-Contents'!$D$141,MATCH('EEPROM-Contents'!AE13,'EEPROM-Contents'!$B$4:'EEPROM-Contents'!$B$141,0)),2)</f>
        <v>00</v>
      </c>
      <c r="AD19" s="84" t="str">
        <f>RIGHT(INDEX($D$9:$D$47,MATCH('EEPROM-Contents'!AF13,$B$9:$B$47,0)),2)</f>
        <v>BF</v>
      </c>
      <c r="AF19" s="81" t="str">
        <f t="shared" ca="1" si="3"/>
        <v>00000000000000000000031773000000000000000000000000BF00</v>
      </c>
    </row>
    <row r="20" spans="2:32" x14ac:dyDescent="0.3">
      <c r="B20" s="85">
        <f>'EEPROM-Contents'!B51</f>
        <v>47</v>
      </c>
      <c r="C20" s="74">
        <f t="shared" si="2"/>
        <v>132</v>
      </c>
      <c r="D20" s="77">
        <f>$G$4</f>
        <v>84</v>
      </c>
      <c r="E20" s="69" t="str">
        <f>'EEPROM-Contents'!E51</f>
        <v>PATBL</v>
      </c>
      <c r="F20" s="70"/>
      <c r="G20" s="73"/>
      <c r="N20" s="78" t="s">
        <v>352</v>
      </c>
      <c r="O20" s="84" t="str">
        <f>RIGHT(INDEX($D$9:$D$47,MATCH('EEPROM-Contents'!Q14,$B$9:$B$47,0)),2)</f>
        <v>64</v>
      </c>
      <c r="P20" s="84" t="str">
        <f>RIGHT(INDEX($D$9:$D$47,MATCH('EEPROM-Contents'!R14,$B$9:$B$47,0)),2)</f>
        <v>64</v>
      </c>
      <c r="Q20" s="84" t="str">
        <f ca="1">RIGHT(INDEX($D$9:$D$47,MATCH('EEPROM-Contents'!S14,$B$9:$B$47,0)),2)</f>
        <v>DA</v>
      </c>
      <c r="R20" s="79" t="str">
        <f>RIGHT(INDEX('EEPROM-Contents'!$D$4:'EEPROM-Contents'!$D$141,MATCH('EEPROM-Contents'!T14,'EEPROM-Contents'!$B$4:'EEPROM-Contents'!$B$141,0)),2)</f>
        <v>03</v>
      </c>
      <c r="S20" s="84" t="str">
        <f>RIGHT(INDEX($D$9:$D$47,MATCH('EEPROM-Contents'!U14,$B$9:$B$47,0)),2)</f>
        <v>09</v>
      </c>
      <c r="T20" s="84" t="str">
        <f ca="1">RIGHT(INDEX($D$9:$D$47,MATCH('EEPROM-Contents'!V14,$B$9:$B$47,0)),2)</f>
        <v>07</v>
      </c>
      <c r="U20" s="84" t="str">
        <f ca="1">RIGHT(INDEX($D$9:$D$47,MATCH('EEPROM-Contents'!W14,$B$9:$B$47,0)),2)</f>
        <v>01</v>
      </c>
      <c r="V20" s="84" t="str">
        <f ca="1">RIGHT(INDEX($D$9:$D$47,MATCH('EEPROM-Contents'!X14,$B$9:$B$47,0)),2)</f>
        <v>03</v>
      </c>
      <c r="W20" s="84" t="str">
        <f>RIGHT(INDEX($D$9:$D$47,MATCH('EEPROM-Contents'!Y14,$B$9:$B$47,0)),2)</f>
        <v>17</v>
      </c>
      <c r="X20" s="84" t="str">
        <f>RIGHT(INDEX($D$9:$D$47,MATCH('EEPROM-Contents'!Z14,$B$9:$B$47,0)),2)</f>
        <v>73</v>
      </c>
      <c r="Y20" s="84" t="str">
        <f>RIGHT(INDEX($D$9:$D$47,MATCH('EEPROM-Contents'!AA14,$B$9:$B$47,0)),2)</f>
        <v>00</v>
      </c>
      <c r="Z20" s="84" t="str">
        <f>RIGHT(INDEX($D$9:$D$47,MATCH('EEPROM-Contents'!AB14,$B$9:$B$47,0)),2)</f>
        <v>00</v>
      </c>
      <c r="AA20" s="84" t="str">
        <f>RIGHT(INDEX($D$9:$D$47,MATCH('EEPROM-Contents'!AC14,$B$9:$B$47,0)),2)</f>
        <v>00</v>
      </c>
      <c r="AB20" s="84" t="str">
        <f>RIGHT(INDEX($D$9:$D$47,MATCH('EEPROM-Contents'!AD14,$B$9:$B$47,0)),2)</f>
        <v>00</v>
      </c>
      <c r="AC20" s="79" t="str">
        <f>RIGHT(INDEX('EEPROM-Contents'!$D$4:'EEPROM-Contents'!$D$141,MATCH('EEPROM-Contents'!AE14,'EEPROM-Contents'!$B$4:'EEPROM-Contents'!$B$141,0)),2)</f>
        <v>00</v>
      </c>
      <c r="AD20" s="79" t="str">
        <f>RIGHT(INDEX('EEPROM-Contents'!$D$4:'EEPROM-Contents'!$D$141,MATCH('EEPROM-Contents'!AF14,'EEPROM-Contents'!$B$4:'EEPROM-Contents'!$B$141,0)),2)</f>
        <v>00</v>
      </c>
      <c r="AF20" s="81" t="str">
        <f t="shared" ca="1" si="3"/>
        <v>000000000000000000006464DA0309070103177300000000000000</v>
      </c>
    </row>
    <row r="21" spans="2:32" x14ac:dyDescent="0.3">
      <c r="B21" s="85">
        <f>'EEPROM-Contents'!B63</f>
        <v>59</v>
      </c>
      <c r="C21" s="74">
        <f t="shared" si="2"/>
        <v>10</v>
      </c>
      <c r="D21" s="77" t="str">
        <f>DEC2HEX(2*$C$4,2)</f>
        <v>0A</v>
      </c>
      <c r="E21" s="69" t="str">
        <f>'EEPROM-Contents'!E63</f>
        <v>CHANNR</v>
      </c>
      <c r="F21" s="70"/>
      <c r="G21" s="73"/>
      <c r="N21" s="78" t="s">
        <v>353</v>
      </c>
      <c r="O21" s="79" t="str">
        <f>RIGHT(INDEX('EEPROM-Contents'!$D$4:'EEPROM-Contents'!$D$141,MATCH('EEPROM-Contents'!Q15,'EEPROM-Contents'!$B$4:'EEPROM-Contents'!$B$141,0)),2)</f>
        <v>00</v>
      </c>
      <c r="P21" s="79" t="str">
        <f>RIGHT(INDEX('EEPROM-Contents'!$D$4:'EEPROM-Contents'!$D$141,MATCH('EEPROM-Contents'!R15,'EEPROM-Contents'!$B$4:'EEPROM-Contents'!$B$141,0)),2)</f>
        <v>00</v>
      </c>
      <c r="Q21" s="79" t="str">
        <f>RIGHT(INDEX('EEPROM-Contents'!$D$4:'EEPROM-Contents'!$D$141,MATCH('EEPROM-Contents'!S15,'EEPROM-Contents'!$B$4:'EEPROM-Contents'!$B$141,0)),2)</f>
        <v>00</v>
      </c>
      <c r="R21" s="79" t="str">
        <f>RIGHT(INDEX('EEPROM-Contents'!$D$4:'EEPROM-Contents'!$D$141,MATCH('EEPROM-Contents'!T15,'EEPROM-Contents'!$B$4:'EEPROM-Contents'!$B$141,0)),2)</f>
        <v>00</v>
      </c>
      <c r="S21" s="79" t="str">
        <f>RIGHT(INDEX('EEPROM-Contents'!$D$4:'EEPROM-Contents'!$D$141,MATCH('EEPROM-Contents'!U15,'EEPROM-Contents'!$B$4:'EEPROM-Contents'!$B$141,0)),2)</f>
        <v>00</v>
      </c>
      <c r="T21" s="79" t="str">
        <f>RIGHT(INDEX('EEPROM-Contents'!$D$4:'EEPROM-Contents'!$D$141,MATCH('EEPROM-Contents'!V15,'EEPROM-Contents'!$B$4:'EEPROM-Contents'!$B$141,0)),2)</f>
        <v>00</v>
      </c>
      <c r="U21" s="84" t="str">
        <f>RIGHT(INDEX($D$9:$D$47,MATCH('EEPROM-Contents'!W15,$B$9:$B$47,0)),2)</f>
        <v>BF</v>
      </c>
      <c r="V21" s="84" t="str">
        <f>RIGHT(INDEX($D$9:$D$47,MATCH('EEPROM-Contents'!X15,$B$9:$B$47,0)),2)</f>
        <v>64</v>
      </c>
      <c r="W21" s="84" t="str">
        <f>RIGHT(INDEX($D$9:$D$47,MATCH('EEPROM-Contents'!Y15,$B$9:$B$47,0)),2)</f>
        <v>64</v>
      </c>
      <c r="X21" s="84" t="str">
        <f ca="1">RIGHT(INDEX($D$9:$D$47,MATCH('EEPROM-Contents'!Z15,$B$9:$B$47,0)),2)</f>
        <v>DA</v>
      </c>
      <c r="Y21" s="79" t="str">
        <f>RIGHT(INDEX('EEPROM-Contents'!$D$4:'EEPROM-Contents'!$D$141,MATCH('EEPROM-Contents'!AA15,'EEPROM-Contents'!$B$4:'EEPROM-Contents'!$B$141,0)),2)</f>
        <v>04</v>
      </c>
      <c r="Z21" s="84" t="str">
        <f>RIGHT(INDEX($D$9:$D$47,MATCH('EEPROM-Contents'!AB15,$B$9:$B$47,0)),2)</f>
        <v>09</v>
      </c>
      <c r="AA21" s="84" t="str">
        <f ca="1">RIGHT(INDEX($D$9:$D$47,MATCH('EEPROM-Contents'!AC15,$B$9:$B$47,0)),2)</f>
        <v>07</v>
      </c>
      <c r="AB21" s="84" t="str">
        <f ca="1">RIGHT(INDEX($D$9:$D$47,MATCH('EEPROM-Contents'!AD15,$B$9:$B$47,0)),2)</f>
        <v>01</v>
      </c>
      <c r="AC21" s="84" t="str">
        <f ca="1">RIGHT(INDEX($D$9:$D$47,MATCH('EEPROM-Contents'!AE15,$B$9:$B$47,0)),2)</f>
        <v>03</v>
      </c>
      <c r="AD21" s="84" t="str">
        <f>RIGHT(INDEX($D$9:$D$47,MATCH('EEPROM-Contents'!AF15,$B$9:$B$47,0)),2)</f>
        <v>17</v>
      </c>
      <c r="AF21" s="81" t="str">
        <f t="shared" ca="1" si="3"/>
        <v>00000000000000000000000000000000BF6464DA04090701031700</v>
      </c>
    </row>
    <row r="22" spans="2:32" x14ac:dyDescent="0.3">
      <c r="B22" s="85">
        <f>'EEPROM-Contents'!B95</f>
        <v>91</v>
      </c>
      <c r="C22" s="77">
        <f>HEX2DEC(D22)</f>
        <v>0</v>
      </c>
      <c r="D22" s="77" t="str">
        <f>LEFT(RIGHT($E$5,8),2)</f>
        <v>00</v>
      </c>
      <c r="E22" s="69" t="str">
        <f>'EEPROM-Contents'!E95</f>
        <v>Info byte 1</v>
      </c>
      <c r="F22" s="70"/>
      <c r="G22" s="73"/>
      <c r="N22" s="78" t="s">
        <v>354</v>
      </c>
      <c r="O22" s="84" t="str">
        <f>RIGHT(INDEX($D$9:$D$47,MATCH('EEPROM-Contents'!Q16,$B$9:$B$47,0)),2)</f>
        <v>73</v>
      </c>
      <c r="P22" s="84" t="str">
        <f>RIGHT(INDEX($D$9:$D$47,MATCH('EEPROM-Contents'!R16,$B$9:$B$47,0)),2)</f>
        <v>00</v>
      </c>
      <c r="Q22" s="84" t="str">
        <f>RIGHT(INDEX($D$9:$D$47,MATCH('EEPROM-Contents'!S16,$B$9:$B$47,0)),2)</f>
        <v>00</v>
      </c>
      <c r="R22" s="84" t="str">
        <f>RIGHT(INDEX($D$9:$D$47,MATCH('EEPROM-Contents'!T16,$B$9:$B$47,0)),2)</f>
        <v>00</v>
      </c>
      <c r="S22" s="84" t="str">
        <f>RIGHT(INDEX($D$9:$D$47,MATCH('EEPROM-Contents'!U16,$B$9:$B$47,0)),2)</f>
        <v>00</v>
      </c>
      <c r="T22" s="79" t="str">
        <f>RIGHT(INDEX('EEPROM-Contents'!$D$4:'EEPROM-Contents'!$D$141,MATCH('EEPROM-Contents'!V16,'EEPROM-Contents'!$B$4:'EEPROM-Contents'!$B$141,0)),2)</f>
        <v>00</v>
      </c>
      <c r="U22" s="79" t="str">
        <f>RIGHT(INDEX('EEPROM-Contents'!$D$4:'EEPROM-Contents'!$D$141,MATCH('EEPROM-Contents'!W16,'EEPROM-Contents'!$B$4:'EEPROM-Contents'!$B$141,0)),2)</f>
        <v>00</v>
      </c>
      <c r="V22" s="79" t="str">
        <f>RIGHT(INDEX('EEPROM-Contents'!$D$4:'EEPROM-Contents'!$D$141,MATCH('EEPROM-Contents'!X16,'EEPROM-Contents'!$B$4:'EEPROM-Contents'!$B$141,0)),2)</f>
        <v>00</v>
      </c>
      <c r="W22" s="79" t="str">
        <f>RIGHT(INDEX('EEPROM-Contents'!$D$4:'EEPROM-Contents'!$D$141,MATCH('EEPROM-Contents'!Y16,'EEPROM-Contents'!$B$4:'EEPROM-Contents'!$B$141,0)),2)</f>
        <v>00</v>
      </c>
      <c r="X22" s="79" t="str">
        <f>RIGHT(INDEX('EEPROM-Contents'!$D$4:'EEPROM-Contents'!$D$141,MATCH('EEPROM-Contents'!Z16,'EEPROM-Contents'!$B$4:'EEPROM-Contents'!$B$141,0)),2)</f>
        <v>00</v>
      </c>
      <c r="Y22" s="79" t="str">
        <f>RIGHT(INDEX('EEPROM-Contents'!$D$4:'EEPROM-Contents'!$D$141,MATCH('EEPROM-Contents'!AA16,'EEPROM-Contents'!$B$4:'EEPROM-Contents'!$B$141,0)),2)</f>
        <v>00</v>
      </c>
      <c r="Z22" s="79" t="str">
        <f>RIGHT(INDEX('EEPROM-Contents'!$D$4:'EEPROM-Contents'!$D$141,MATCH('EEPROM-Contents'!AB16,'EEPROM-Contents'!$B$4:'EEPROM-Contents'!$B$141,0)),2)</f>
        <v>00</v>
      </c>
      <c r="AA22" s="79" t="str">
        <f>RIGHT(INDEX('EEPROM-Contents'!$D$4:'EEPROM-Contents'!$D$141,MATCH('EEPROM-Contents'!AC16,'EEPROM-Contents'!$B$4:'EEPROM-Contents'!$B$141,0)),2)</f>
        <v>00</v>
      </c>
      <c r="AB22" s="84" t="str">
        <f>RIGHT(INDEX($D$9:$D$47,MATCH('EEPROM-Contents'!AD16,$B$9:$B$47,0)),2)</f>
        <v>BF</v>
      </c>
      <c r="AC22" s="84" t="str">
        <f>RIGHT(INDEX($D$9:$D$47,MATCH('EEPROM-Contents'!AE16,$B$9:$B$47,0)),2)</f>
        <v>64</v>
      </c>
      <c r="AD22" s="84" t="str">
        <f>RIGHT(INDEX($D$9:$D$47,MATCH('EEPROM-Contents'!AF16,$B$9:$B$47,0)),2)</f>
        <v>64</v>
      </c>
      <c r="AF22" s="81" t="str">
        <f t="shared" si="3"/>
        <v>0000000000000000000073000000000000000000000000BF646400</v>
      </c>
    </row>
    <row r="23" spans="2:32" x14ac:dyDescent="0.3">
      <c r="B23" s="85">
        <f>'EEPROM-Contents'!B96</f>
        <v>92</v>
      </c>
      <c r="C23" s="77">
        <f t="shared" ref="C23:C46" si="4">HEX2DEC(D23)</f>
        <v>0</v>
      </c>
      <c r="D23" s="77" t="str">
        <f>LEFT(RIGHT($E$5,6),2)</f>
        <v>00</v>
      </c>
      <c r="E23" s="69" t="str">
        <f>'EEPROM-Contents'!E96</f>
        <v>Info byte 2</v>
      </c>
      <c r="F23" s="70"/>
      <c r="G23" s="73"/>
      <c r="N23" s="78" t="s">
        <v>355</v>
      </c>
      <c r="O23" s="84" t="str">
        <f ca="1">RIGHT(INDEX($D$9:$D$47,MATCH('EEPROM-Contents'!Q17,$B$9:$B$47,0)),2)</f>
        <v>DA</v>
      </c>
      <c r="P23" s="79" t="str">
        <f>RIGHT(INDEX('EEPROM-Contents'!$D$4:'EEPROM-Contents'!$D$141,MATCH('EEPROM-Contents'!R17,'EEPROM-Contents'!$B$4:'EEPROM-Contents'!$B$141,0)),2)</f>
        <v>05</v>
      </c>
      <c r="Q23" s="84" t="str">
        <f>RIGHT(INDEX($D$9:$D$47,MATCH('EEPROM-Contents'!S17,$B$9:$B$47,0)),2)</f>
        <v>09</v>
      </c>
      <c r="R23" s="84" t="str">
        <f ca="1">RIGHT(INDEX($D$9:$D$47,MATCH('EEPROM-Contents'!T17,$B$9:$B$47,0)),2)</f>
        <v>07</v>
      </c>
      <c r="S23" s="84" t="str">
        <f ca="1">RIGHT(INDEX($D$9:$D$47,MATCH('EEPROM-Contents'!U17,$B$9:$B$47,0)),2)</f>
        <v>01</v>
      </c>
      <c r="T23" s="84" t="str">
        <f ca="1">RIGHT(INDEX($D$9:$D$47,MATCH('EEPROM-Contents'!V17,$B$9:$B$47,0)),2)</f>
        <v>03</v>
      </c>
      <c r="U23" s="84" t="str">
        <f>RIGHT(INDEX($D$9:$D$47,MATCH('EEPROM-Contents'!W17,$B$9:$B$47,0)),2)</f>
        <v>17</v>
      </c>
      <c r="V23" s="84" t="str">
        <f>RIGHT(INDEX($D$9:$D$47,MATCH('EEPROM-Contents'!X17,$B$9:$B$47,0)),2)</f>
        <v>73</v>
      </c>
      <c r="W23" s="84" t="str">
        <f>RIGHT(INDEX($D$9:$D$47,MATCH('EEPROM-Contents'!Y17,$B$9:$B$47,0)),2)</f>
        <v>00</v>
      </c>
      <c r="X23" s="84" t="str">
        <f>RIGHT(INDEX($D$9:$D$47,MATCH('EEPROM-Contents'!Z17,$B$9:$B$47,0)),2)</f>
        <v>00</v>
      </c>
      <c r="Y23" s="84" t="str">
        <f>RIGHT(INDEX($D$9:$D$47,MATCH('EEPROM-Contents'!AA17,$B$9:$B$47,0)),2)</f>
        <v>00</v>
      </c>
      <c r="Z23" s="84" t="str">
        <f>RIGHT(INDEX($D$9:$D$47,MATCH('EEPROM-Contents'!AB17,$B$9:$B$47,0)),2)</f>
        <v>00</v>
      </c>
      <c r="AA23" s="79" t="str">
        <f>RIGHT(INDEX('EEPROM-Contents'!$D$4:'EEPROM-Contents'!$D$141,MATCH('EEPROM-Contents'!AC17,'EEPROM-Contents'!$B$4:'EEPROM-Contents'!$B$141,0)),2)</f>
        <v>00</v>
      </c>
      <c r="AB23" s="79" t="str">
        <f>RIGHT(INDEX('EEPROM-Contents'!$D$4:'EEPROM-Contents'!$D$141,MATCH('EEPROM-Contents'!AD17,'EEPROM-Contents'!$B$4:'EEPROM-Contents'!$B$141,0)),2)</f>
        <v>00</v>
      </c>
      <c r="AC23" s="79" t="str">
        <f>RIGHT(INDEX('EEPROM-Contents'!$D$4:'EEPROM-Contents'!$D$141,MATCH('EEPROM-Contents'!AE17,'EEPROM-Contents'!$B$4:'EEPROM-Contents'!$B$141,0)),2)</f>
        <v>00</v>
      </c>
      <c r="AD23" s="79" t="str">
        <f>RIGHT(INDEX('EEPROM-Contents'!$D$4:'EEPROM-Contents'!$D$141,MATCH('EEPROM-Contents'!AF17,'EEPROM-Contents'!$B$4:'EEPROM-Contents'!$B$141,0)),2)</f>
        <v>00</v>
      </c>
      <c r="AF23" s="81" t="str">
        <f t="shared" ca="1" si="3"/>
        <v>00000000000000000000DA05090701031773000000000000000000</v>
      </c>
    </row>
    <row r="24" spans="2:32" x14ac:dyDescent="0.3">
      <c r="B24" s="85">
        <f>'EEPROM-Contents'!B97</f>
        <v>93</v>
      </c>
      <c r="C24" s="77">
        <f t="shared" si="4"/>
        <v>0</v>
      </c>
      <c r="D24" s="77" t="str">
        <f>LEFT(RIGHT($E$5,4),2)</f>
        <v>00</v>
      </c>
      <c r="E24" s="69" t="str">
        <f>'EEPROM-Contents'!E97</f>
        <v>Info byte 3</v>
      </c>
      <c r="F24" s="70"/>
      <c r="G24" s="73"/>
      <c r="N24" s="78" t="s">
        <v>356</v>
      </c>
      <c r="O24" s="79" t="str">
        <f>RIGHT(INDEX('EEPROM-Contents'!$D$4:'EEPROM-Contents'!$D$141,MATCH('EEPROM-Contents'!Q18,'EEPROM-Contents'!$B$4:'EEPROM-Contents'!$B$141,0)),2)</f>
        <v>00</v>
      </c>
      <c r="P24" s="79" t="str">
        <f>RIGHT(INDEX('EEPROM-Contents'!$D$4:'EEPROM-Contents'!$D$141,MATCH('EEPROM-Contents'!R18,'EEPROM-Contents'!$B$4:'EEPROM-Contents'!$B$141,0)),2)</f>
        <v>00</v>
      </c>
      <c r="Q24" s="79" t="str">
        <f>RIGHT(INDEX('EEPROM-Contents'!$D$4:'EEPROM-Contents'!$D$141,MATCH('EEPROM-Contents'!S18,'EEPROM-Contents'!$B$4:'EEPROM-Contents'!$B$141,0)),2)</f>
        <v>00</v>
      </c>
      <c r="R24" s="79" t="str">
        <f>RIGHT(INDEX('EEPROM-Contents'!$D$4:'EEPROM-Contents'!$D$141,MATCH('EEPROM-Contents'!T18,'EEPROM-Contents'!$B$4:'EEPROM-Contents'!$B$141,0)),2)</f>
        <v>00</v>
      </c>
      <c r="S24" s="84" t="str">
        <f>RIGHT(INDEX($D$9:$D$47,MATCH('EEPROM-Contents'!U18,$B$9:$B$47,0)),2)</f>
        <v>BF</v>
      </c>
      <c r="T24" s="84" t="str">
        <f>RIGHT(INDEX($D$9:$D$47,MATCH('EEPROM-Contents'!V18,$B$9:$B$47,0)),2)</f>
        <v>64</v>
      </c>
      <c r="U24" s="84" t="str">
        <f>RIGHT(INDEX($D$9:$D$47,MATCH('EEPROM-Contents'!W18,$B$9:$B$47,0)),2)</f>
        <v>64</v>
      </c>
      <c r="V24" s="84" t="str">
        <f ca="1">RIGHT(INDEX($D$9:$D$47,MATCH('EEPROM-Contents'!X18,$B$9:$B$47,0)),2)</f>
        <v>DA</v>
      </c>
      <c r="W24" s="79" t="str">
        <f>RIGHT(INDEX('EEPROM-Contents'!$D$4:'EEPROM-Contents'!$D$141,MATCH('EEPROM-Contents'!Y18,'EEPROM-Contents'!$B$4:'EEPROM-Contents'!$B$141,0)),2)</f>
        <v>06</v>
      </c>
      <c r="X24" s="84" t="str">
        <f>RIGHT(INDEX($D$9:$D$47,MATCH('EEPROM-Contents'!Z18,$B$9:$B$47,0)),2)</f>
        <v>09</v>
      </c>
      <c r="Y24" s="84" t="str">
        <f ca="1">RIGHT(INDEX($D$9:$D$47,MATCH('EEPROM-Contents'!AA18,$B$9:$B$47,0)),2)</f>
        <v>07</v>
      </c>
      <c r="Z24" s="84" t="str">
        <f ca="1">RIGHT(INDEX($D$9:$D$47,MATCH('EEPROM-Contents'!AB18,$B$9:$B$47,0)),2)</f>
        <v>01</v>
      </c>
      <c r="AA24" s="84" t="str">
        <f ca="1">RIGHT(INDEX($D$9:$D$47,MATCH('EEPROM-Contents'!AC18,$B$9:$B$47,0)),2)</f>
        <v>03</v>
      </c>
      <c r="AB24" s="84" t="str">
        <f>RIGHT(INDEX($D$9:$D$47,MATCH('EEPROM-Contents'!AD18,$B$9:$B$47,0)),2)</f>
        <v>17</v>
      </c>
      <c r="AC24" s="84" t="str">
        <f>RIGHT(INDEX($D$9:$D$47,MATCH('EEPROM-Contents'!AE18,$B$9:$B$47,0)),2)</f>
        <v>73</v>
      </c>
      <c r="AD24" s="84" t="str">
        <f>RIGHT(INDEX($D$9:$D$47,MATCH('EEPROM-Contents'!AF18,$B$9:$B$47,0)),2)</f>
        <v>00</v>
      </c>
      <c r="AF24" s="81" t="str">
        <f t="shared" ca="1" si="3"/>
        <v>0000000000000000000000000000BF6464DA060907010317730000</v>
      </c>
    </row>
    <row r="25" spans="2:32" x14ac:dyDescent="0.3">
      <c r="B25" s="85">
        <f>'EEPROM-Contents'!B98</f>
        <v>94</v>
      </c>
      <c r="C25" s="77">
        <f t="shared" si="4"/>
        <v>0</v>
      </c>
      <c r="D25" s="77" t="str">
        <f>LEFT(RIGHT($E$5,2),2)</f>
        <v>00</v>
      </c>
      <c r="E25" s="69" t="str">
        <f>'EEPROM-Contents'!E98</f>
        <v>Info byte 4</v>
      </c>
      <c r="F25" s="70"/>
      <c r="G25" s="73"/>
      <c r="N25" s="78" t="s">
        <v>357</v>
      </c>
      <c r="O25" s="84" t="str">
        <f>RIGHT(INDEX($D$9:$D$47,MATCH('EEPROM-Contents'!Q19,$B$9:$B$47,0)),2)</f>
        <v>00</v>
      </c>
      <c r="P25" s="84" t="str">
        <f>RIGHT(INDEX($D$9:$D$47,MATCH('EEPROM-Contents'!R19,$B$9:$B$47,0)),2)</f>
        <v>00</v>
      </c>
      <c r="Q25" s="84" t="str">
        <f>RIGHT(INDEX($D$9:$D$47,MATCH('EEPROM-Contents'!S19,$B$9:$B$47,0)),2)</f>
        <v>00</v>
      </c>
      <c r="R25" s="79" t="str">
        <f>RIGHT(INDEX('EEPROM-Contents'!$D$4:'EEPROM-Contents'!$D$141,MATCH('EEPROM-Contents'!T19,'EEPROM-Contents'!$B$4:'EEPROM-Contents'!$B$141,0)),2)</f>
        <v>00</v>
      </c>
      <c r="S25" s="79" t="str">
        <f>RIGHT(INDEX('EEPROM-Contents'!$D$4:'EEPROM-Contents'!$D$141,MATCH('EEPROM-Contents'!U19,'EEPROM-Contents'!$B$4:'EEPROM-Contents'!$B$141,0)),2)</f>
        <v>00</v>
      </c>
      <c r="T25" s="79" t="str">
        <f>RIGHT(INDEX('EEPROM-Contents'!$D$4:'EEPROM-Contents'!$D$141,MATCH('EEPROM-Contents'!V19,'EEPROM-Contents'!$B$4:'EEPROM-Contents'!$B$141,0)),2)</f>
        <v>00</v>
      </c>
      <c r="U25" s="79" t="str">
        <f>RIGHT(INDEX('EEPROM-Contents'!$D$4:'EEPROM-Contents'!$D$141,MATCH('EEPROM-Contents'!W19,'EEPROM-Contents'!$B$4:'EEPROM-Contents'!$B$141,0)),2)</f>
        <v>00</v>
      </c>
      <c r="V25" s="79" t="str">
        <f>RIGHT(INDEX('EEPROM-Contents'!$D$4:'EEPROM-Contents'!$D$141,MATCH('EEPROM-Contents'!X19,'EEPROM-Contents'!$B$4:'EEPROM-Contents'!$B$141,0)),2)</f>
        <v>00</v>
      </c>
      <c r="W25" s="79" t="str">
        <f>RIGHT(INDEX('EEPROM-Contents'!$D$4:'EEPROM-Contents'!$D$141,MATCH('EEPROM-Contents'!Y19,'EEPROM-Contents'!$B$4:'EEPROM-Contents'!$B$141,0)),2)</f>
        <v>00</v>
      </c>
      <c r="X25" s="79" t="str">
        <f>RIGHT(INDEX('EEPROM-Contents'!$D$4:'EEPROM-Contents'!$D$141,MATCH('EEPROM-Contents'!Z19,'EEPROM-Contents'!$B$4:'EEPROM-Contents'!$B$141,0)),2)</f>
        <v>00</v>
      </c>
      <c r="Y25" s="79" t="str">
        <f>RIGHT(INDEX('EEPROM-Contents'!$D$4:'EEPROM-Contents'!$D$141,MATCH('EEPROM-Contents'!AA19,'EEPROM-Contents'!$B$4:'EEPROM-Contents'!$B$141,0)),2)</f>
        <v>00</v>
      </c>
      <c r="Z25" s="84" t="str">
        <f>RIGHT(INDEX($D$9:$D$47,MATCH('EEPROM-Contents'!AB19,$B$9:$B$47,0)),2)</f>
        <v>BF</v>
      </c>
      <c r="AA25" s="84" t="str">
        <f>RIGHT(INDEX($D$9:$D$47,MATCH('EEPROM-Contents'!AC19,$B$9:$B$47,0)),2)</f>
        <v>64</v>
      </c>
      <c r="AB25" s="84" t="str">
        <f>RIGHT(INDEX($D$9:$D$47,MATCH('EEPROM-Contents'!AD19,$B$9:$B$47,0)),2)</f>
        <v>64</v>
      </c>
      <c r="AC25" s="84" t="str">
        <f ca="1">RIGHT(INDEX($D$9:$D$47,MATCH('EEPROM-Contents'!AE19,$B$9:$B$47,0)),2)</f>
        <v>DA</v>
      </c>
      <c r="AD25" s="79" t="str">
        <f>RIGHT(INDEX('EEPROM-Contents'!$D$4:'EEPROM-Contents'!$D$141,MATCH('EEPROM-Contents'!AF19,'EEPROM-Contents'!$B$4:'EEPROM-Contents'!$B$141,0)),2)</f>
        <v>07</v>
      </c>
      <c r="AF25" s="81" t="str">
        <f t="shared" ca="1" si="3"/>
        <v>000000000000000000000000000000000000000000BF6464DA0700</v>
      </c>
    </row>
    <row r="26" spans="2:32" x14ac:dyDescent="0.3">
      <c r="B26" s="85">
        <f>'EEPROM-Contents'!B99</f>
        <v>95</v>
      </c>
      <c r="C26" s="75">
        <f t="shared" si="4"/>
        <v>9</v>
      </c>
      <c r="D26" s="75" t="str">
        <f>L5</f>
        <v>09</v>
      </c>
      <c r="E26" s="66" t="str">
        <f>'EEPROM-Contents'!E99</f>
        <v>ASIC Identifier</v>
      </c>
      <c r="F26" s="67"/>
      <c r="G26" s="68"/>
      <c r="N26" s="78" t="s">
        <v>358</v>
      </c>
      <c r="O26" s="84" t="str">
        <f>RIGHT(INDEX($D$9:$D$47,MATCH('EEPROM-Contents'!Q20,$B$9:$B$47,0)),2)</f>
        <v>09</v>
      </c>
      <c r="P26" s="84" t="str">
        <f ca="1">RIGHT(INDEX($D$9:$D$47,MATCH('EEPROM-Contents'!R20,$B$9:$B$47,0)),2)</f>
        <v>07</v>
      </c>
      <c r="Q26" s="84" t="str">
        <f ca="1">RIGHT(INDEX($D$9:$D$47,MATCH('EEPROM-Contents'!S20,$B$9:$B$47,0)),2)</f>
        <v>01</v>
      </c>
      <c r="R26" s="84" t="str">
        <f ca="1">RIGHT(INDEX($D$9:$D$47,MATCH('EEPROM-Contents'!T20,$B$9:$B$47,0)),2)</f>
        <v>03</v>
      </c>
      <c r="S26" s="84" t="str">
        <f>RIGHT(INDEX($D$9:$D$47,MATCH('EEPROM-Contents'!U20,$B$9:$B$47,0)),2)</f>
        <v>17</v>
      </c>
      <c r="T26" s="84" t="str">
        <f>RIGHT(INDEX($D$9:$D$47,MATCH('EEPROM-Contents'!V20,$B$9:$B$47,0)),2)</f>
        <v>73</v>
      </c>
      <c r="U26" s="84" t="str">
        <f>RIGHT(INDEX($D$9:$D$47,MATCH('EEPROM-Contents'!W20,$B$9:$B$47,0)),2)</f>
        <v>00</v>
      </c>
      <c r="V26" s="84" t="str">
        <f>RIGHT(INDEX($D$9:$D$47,MATCH('EEPROM-Contents'!X20,$B$9:$B$47,0)),2)</f>
        <v>00</v>
      </c>
      <c r="W26" s="84" t="str">
        <f>RIGHT(INDEX($D$9:$D$47,MATCH('EEPROM-Contents'!Y20,$B$9:$B$47,0)),2)</f>
        <v>00</v>
      </c>
      <c r="X26" s="84" t="str">
        <f>RIGHT(INDEX($D$9:$D$47,MATCH('EEPROM-Contents'!Z20,$B$9:$B$47,0)),2)</f>
        <v>00</v>
      </c>
      <c r="Y26" s="79" t="str">
        <f>RIGHT(INDEX('EEPROM-Contents'!$D$4:'EEPROM-Contents'!$D$141,MATCH('EEPROM-Contents'!AA20,'EEPROM-Contents'!$B$4:'EEPROM-Contents'!$B$141,0)),2)</f>
        <v>00</v>
      </c>
      <c r="Z26" s="79" t="str">
        <f>RIGHT(INDEX('EEPROM-Contents'!$D$4:'EEPROM-Contents'!$D$141,MATCH('EEPROM-Contents'!AB20,'EEPROM-Contents'!$B$4:'EEPROM-Contents'!$B$141,0)),2)</f>
        <v>00</v>
      </c>
      <c r="AA26" s="79" t="str">
        <f>RIGHT(INDEX('EEPROM-Contents'!$D$4:'EEPROM-Contents'!$D$141,MATCH('EEPROM-Contents'!AC20,'EEPROM-Contents'!$B$4:'EEPROM-Contents'!$B$141,0)),2)</f>
        <v>00</v>
      </c>
      <c r="AB26" s="79" t="str">
        <f>RIGHT(INDEX('EEPROM-Contents'!$D$4:'EEPROM-Contents'!$D$141,MATCH('EEPROM-Contents'!AD20,'EEPROM-Contents'!$B$4:'EEPROM-Contents'!$B$141,0)),2)</f>
        <v>00</v>
      </c>
      <c r="AC26" s="79" t="str">
        <f>RIGHT(INDEX('EEPROM-Contents'!$D$4:'EEPROM-Contents'!$D$141,MATCH('EEPROM-Contents'!AE20,'EEPROM-Contents'!$B$4:'EEPROM-Contents'!$B$141,0)),2)</f>
        <v>00</v>
      </c>
      <c r="AD26" s="79" t="str">
        <f>RIGHT(INDEX('EEPROM-Contents'!$D$4:'EEPROM-Contents'!$D$141,MATCH('EEPROM-Contents'!AF20,'EEPROM-Contents'!$B$4:'EEPROM-Contents'!$B$141,0)),2)</f>
        <v>00</v>
      </c>
      <c r="AF26" s="81" t="str">
        <f t="shared" ca="1" si="3"/>
        <v>000000000000000000000907010317730000000000000000000000</v>
      </c>
    </row>
    <row r="27" spans="2:32" x14ac:dyDescent="0.3">
      <c r="B27" s="85">
        <f>'EEPROM-Contents'!B100</f>
        <v>96</v>
      </c>
      <c r="C27" s="75">
        <f t="shared" ca="1" si="4"/>
        <v>7</v>
      </c>
      <c r="D27" s="75" t="str">
        <f ca="1">F5</f>
        <v>07</v>
      </c>
      <c r="E27" s="66" t="str">
        <f>'EEPROM-Contents'!E100</f>
        <v>Year</v>
      </c>
      <c r="F27" s="67"/>
      <c r="G27" s="68"/>
      <c r="N27" s="78" t="s">
        <v>359</v>
      </c>
      <c r="O27" s="79" t="str">
        <f>RIGHT(INDEX('EEPROM-Contents'!$D$4:'EEPROM-Contents'!$D$141,MATCH('EEPROM-Contents'!Q21,'EEPROM-Contents'!$B$4:'EEPROM-Contents'!$B$141,0)),2)</f>
        <v>00</v>
      </c>
      <c r="P27" s="79" t="str">
        <f>RIGHT(INDEX('EEPROM-Contents'!$D$4:'EEPROM-Contents'!$D$141,MATCH('EEPROM-Contents'!R21,'EEPROM-Contents'!$B$4:'EEPROM-Contents'!$B$141,0)),2)</f>
        <v>00</v>
      </c>
      <c r="Q27" s="84" t="str">
        <f>RIGHT(INDEX($D$9:$D$47,MATCH('EEPROM-Contents'!S21,$B$9:$B$47,0)),2)</f>
        <v>BF</v>
      </c>
      <c r="R27" s="84" t="str">
        <f>RIGHT(INDEX($D$9:$D$47,MATCH('EEPROM-Contents'!T21,$B$9:$B$47,0)),2)</f>
        <v>64</v>
      </c>
      <c r="S27" s="84" t="str">
        <f>RIGHT(INDEX($D$9:$D$47,MATCH('EEPROM-Contents'!U21,$B$9:$B$47,0)),2)</f>
        <v>64</v>
      </c>
      <c r="T27" s="84" t="str">
        <f ca="1">RIGHT(INDEX($D$9:$D$47,MATCH('EEPROM-Contents'!V21,$B$9:$B$47,0)),2)</f>
        <v>DA</v>
      </c>
      <c r="U27" s="79" t="str">
        <f>RIGHT(INDEX('EEPROM-Contents'!$D$4:'EEPROM-Contents'!$D$141,MATCH('EEPROM-Contents'!W21,'EEPROM-Contents'!$B$4:'EEPROM-Contents'!$B$141,0)),2)</f>
        <v>08</v>
      </c>
      <c r="V27" s="84" t="str">
        <f>RIGHT(INDEX($D$9:$D$47,MATCH('EEPROM-Contents'!X21,$B$9:$B$47,0)),2)</f>
        <v>09</v>
      </c>
      <c r="W27" s="84" t="str">
        <f ca="1">RIGHT(INDEX($D$9:$D$47,MATCH('EEPROM-Contents'!Y21,$B$9:$B$47,0)),2)</f>
        <v>07</v>
      </c>
      <c r="X27" s="84" t="str">
        <f ca="1">RIGHT(INDEX($D$9:$D$47,MATCH('EEPROM-Contents'!Z21,$B$9:$B$47,0)),2)</f>
        <v>01</v>
      </c>
      <c r="Y27" s="84" t="str">
        <f ca="1">RIGHT(INDEX($D$9:$D$47,MATCH('EEPROM-Contents'!AA21,$B$9:$B$47,0)),2)</f>
        <v>03</v>
      </c>
      <c r="Z27" s="84" t="str">
        <f>RIGHT(INDEX($D$9:$D$47,MATCH('EEPROM-Contents'!AB21,$B$9:$B$47,0)),2)</f>
        <v>17</v>
      </c>
      <c r="AA27" s="84" t="str">
        <f>RIGHT(INDEX($D$9:$D$47,MATCH('EEPROM-Contents'!AC21,$B$9:$B$47,0)),2)</f>
        <v>73</v>
      </c>
      <c r="AB27" s="84" t="str">
        <f>RIGHT(INDEX($D$9:$D$47,MATCH('EEPROM-Contents'!AD21,$B$9:$B$47,0)),2)</f>
        <v>00</v>
      </c>
      <c r="AC27" s="84" t="str">
        <f>RIGHT(INDEX($D$9:$D$47,MATCH('EEPROM-Contents'!AE21,$B$9:$B$47,0)),2)</f>
        <v>00</v>
      </c>
      <c r="AD27" s="84" t="str">
        <f>RIGHT(INDEX($D$9:$D$47,MATCH('EEPROM-Contents'!AF21,$B$9:$B$47,0)),2)</f>
        <v>00</v>
      </c>
      <c r="AF27" s="81" t="str">
        <f t="shared" ca="1" si="3"/>
        <v>000000000000000000000000BF6464DA0809070103177300000000</v>
      </c>
    </row>
    <row r="28" spans="2:32" x14ac:dyDescent="0.3">
      <c r="B28" s="85">
        <f>'EEPROM-Contents'!B101</f>
        <v>97</v>
      </c>
      <c r="C28" s="75">
        <f t="shared" ca="1" si="4"/>
        <v>1</v>
      </c>
      <c r="D28" s="75" t="str">
        <f ca="1">G5</f>
        <v>01</v>
      </c>
      <c r="E28" s="66" t="str">
        <f>'EEPROM-Contents'!E101</f>
        <v>Month</v>
      </c>
      <c r="F28" s="67"/>
      <c r="G28" s="68"/>
      <c r="N28" s="78" t="s">
        <v>360</v>
      </c>
      <c r="O28" s="84" t="str">
        <f>RIGHT(INDEX($D$9:$D$47,MATCH('EEPROM-Contents'!Q22,$B$9:$B$47,0)),2)</f>
        <v>00</v>
      </c>
      <c r="P28" s="79" t="str">
        <f>RIGHT(INDEX('EEPROM-Contents'!$D$4:'EEPROM-Contents'!$D$141,MATCH('EEPROM-Contents'!R22,'EEPROM-Contents'!$B$4:'EEPROM-Contents'!$B$141,0)),2)</f>
        <v>00</v>
      </c>
      <c r="Q28" s="79" t="str">
        <f>RIGHT(INDEX('EEPROM-Contents'!$D$4:'EEPROM-Contents'!$D$141,MATCH('EEPROM-Contents'!S22,'EEPROM-Contents'!$B$4:'EEPROM-Contents'!$B$141,0)),2)</f>
        <v>00</v>
      </c>
      <c r="R28" s="79" t="str">
        <f>RIGHT(INDEX('EEPROM-Contents'!$D$4:'EEPROM-Contents'!$D$141,MATCH('EEPROM-Contents'!T22,'EEPROM-Contents'!$B$4:'EEPROM-Contents'!$B$141,0)),2)</f>
        <v>00</v>
      </c>
      <c r="S28" s="79" t="str">
        <f>RIGHT(INDEX('EEPROM-Contents'!$D$4:'EEPROM-Contents'!$D$141,MATCH('EEPROM-Contents'!U22,'EEPROM-Contents'!$B$4:'EEPROM-Contents'!$B$141,0)),2)</f>
        <v>00</v>
      </c>
      <c r="T28" s="79" t="str">
        <f>RIGHT(INDEX('EEPROM-Contents'!$D$4:'EEPROM-Contents'!$D$141,MATCH('EEPROM-Contents'!V22,'EEPROM-Contents'!$B$4:'EEPROM-Contents'!$B$141,0)),2)</f>
        <v>00</v>
      </c>
      <c r="U28" s="79" t="str">
        <f>RIGHT(INDEX('EEPROM-Contents'!$D$4:'EEPROM-Contents'!$D$141,MATCH('EEPROM-Contents'!W22,'EEPROM-Contents'!$B$4:'EEPROM-Contents'!$B$141,0)),2)</f>
        <v>00</v>
      </c>
      <c r="V28" s="79" t="str">
        <f>RIGHT(INDEX('EEPROM-Contents'!$D$4:'EEPROM-Contents'!$D$141,MATCH('EEPROM-Contents'!X22,'EEPROM-Contents'!$B$4:'EEPROM-Contents'!$B$141,0)),2)</f>
        <v>00</v>
      </c>
      <c r="W28" s="79" t="str">
        <f>RIGHT(INDEX('EEPROM-Contents'!$D$4:'EEPROM-Contents'!$D$141,MATCH('EEPROM-Contents'!Y22,'EEPROM-Contents'!$B$4:'EEPROM-Contents'!$B$141,0)),2)</f>
        <v>00</v>
      </c>
      <c r="X28" s="84" t="str">
        <f>RIGHT(INDEX($D$9:$D$47,MATCH('EEPROM-Contents'!Z22,$B$9:$B$47,0)),2)</f>
        <v>BF</v>
      </c>
      <c r="Y28" s="84" t="str">
        <f>RIGHT(INDEX($D$9:$D$47,MATCH('EEPROM-Contents'!AA22,$B$9:$B$47,0)),2)</f>
        <v>64</v>
      </c>
      <c r="Z28" s="84" t="str">
        <f>RIGHT(INDEX($D$9:$D$47,MATCH('EEPROM-Contents'!AB22,$B$9:$B$47,0)),2)</f>
        <v>64</v>
      </c>
      <c r="AA28" s="84" t="str">
        <f ca="1">RIGHT(INDEX($D$9:$D$47,MATCH('EEPROM-Contents'!AC22,$B$9:$B$47,0)),2)</f>
        <v>DA</v>
      </c>
      <c r="AB28" s="79" t="str">
        <f>RIGHT(INDEX('EEPROM-Contents'!$D$4:'EEPROM-Contents'!$D$141,MATCH('EEPROM-Contents'!AD22,'EEPROM-Contents'!$B$4:'EEPROM-Contents'!$B$141,0)),2)</f>
        <v>09</v>
      </c>
      <c r="AC28" s="84" t="str">
        <f>RIGHT(INDEX($D$9:$D$47,MATCH('EEPROM-Contents'!AE22,$B$9:$B$47,0)),2)</f>
        <v>09</v>
      </c>
      <c r="AD28" s="84" t="str">
        <f ca="1">RIGHT(INDEX($D$9:$D$47,MATCH('EEPROM-Contents'!AF22,$B$9:$B$47,0)),2)</f>
        <v>07</v>
      </c>
      <c r="AF28" s="81" t="str">
        <f t="shared" ca="1" si="3"/>
        <v>00000000000000000000000000000000000000BF6464DA09090700</v>
      </c>
    </row>
    <row r="29" spans="2:32" x14ac:dyDescent="0.3">
      <c r="B29" s="85">
        <f>'EEPROM-Contents'!B102</f>
        <v>98</v>
      </c>
      <c r="C29" s="75">
        <f t="shared" ca="1" si="4"/>
        <v>3</v>
      </c>
      <c r="D29" s="75" t="str">
        <f ca="1">H5</f>
        <v>03</v>
      </c>
      <c r="E29" s="66" t="str">
        <f>'EEPROM-Contents'!E102</f>
        <v>Day</v>
      </c>
      <c r="F29" s="67"/>
      <c r="G29" s="68"/>
      <c r="N29" s="78" t="s">
        <v>361</v>
      </c>
      <c r="O29" s="84" t="str">
        <f ca="1">RIGHT(INDEX($D$9:$D$47,MATCH('EEPROM-Contents'!Q23,$B$9:$B$47,0)),2)</f>
        <v>01</v>
      </c>
      <c r="P29" s="84" t="str">
        <f ca="1">RIGHT(INDEX($D$9:$D$47,MATCH('EEPROM-Contents'!R23,$B$9:$B$47,0)),2)</f>
        <v>03</v>
      </c>
      <c r="Q29" s="84" t="str">
        <f>RIGHT(INDEX($D$9:$D$47,MATCH('EEPROM-Contents'!S23,$B$9:$B$47,0)),2)</f>
        <v>17</v>
      </c>
      <c r="R29" s="84" t="str">
        <f>RIGHT(INDEX($D$9:$D$47,MATCH('EEPROM-Contents'!T23,$B$9:$B$47,0)),2)</f>
        <v>73</v>
      </c>
      <c r="S29" s="84" t="str">
        <f>RIGHT(INDEX($D$9:$D$47,MATCH('EEPROM-Contents'!U23,$B$9:$B$47,0)),2)</f>
        <v>00</v>
      </c>
      <c r="T29" s="84" t="str">
        <f>RIGHT(INDEX($D$9:$D$47,MATCH('EEPROM-Contents'!V23,$B$9:$B$47,0)),2)</f>
        <v>00</v>
      </c>
      <c r="U29" s="84" t="str">
        <f>RIGHT(INDEX($D$9:$D$47,MATCH('EEPROM-Contents'!W23,$B$9:$B$47,0)),2)</f>
        <v>00</v>
      </c>
      <c r="V29" s="84" t="str">
        <f>RIGHT(INDEX($D$9:$D$47,MATCH('EEPROM-Contents'!X23,$B$9:$B$47,0)),2)</f>
        <v>00</v>
      </c>
      <c r="W29" s="79" t="str">
        <f>RIGHT(INDEX('EEPROM-Contents'!$D$4:'EEPROM-Contents'!$D$141,MATCH('EEPROM-Contents'!Y23,'EEPROM-Contents'!$B$4:'EEPROM-Contents'!$B$141,0)),2)</f>
        <v>00</v>
      </c>
      <c r="X29" s="79" t="str">
        <f>RIGHT(INDEX('EEPROM-Contents'!$D$4:'EEPROM-Contents'!$D$141,MATCH('EEPROM-Contents'!Z23,'EEPROM-Contents'!$B$4:'EEPROM-Contents'!$B$141,0)),2)</f>
        <v>00</v>
      </c>
      <c r="Y29" s="79" t="str">
        <f>RIGHT(INDEX('EEPROM-Contents'!$D$4:'EEPROM-Contents'!$D$141,MATCH('EEPROM-Contents'!AA23,'EEPROM-Contents'!$B$4:'EEPROM-Contents'!$B$141,0)),2)</f>
        <v>00</v>
      </c>
      <c r="Z29" s="79" t="str">
        <f>RIGHT(INDEX('EEPROM-Contents'!$D$4:'EEPROM-Contents'!$D$141,MATCH('EEPROM-Contents'!AB23,'EEPROM-Contents'!$B$4:'EEPROM-Contents'!$B$141,0)),2)</f>
        <v>00</v>
      </c>
      <c r="AA29" s="79" t="str">
        <f>RIGHT(INDEX('EEPROM-Contents'!$D$4:'EEPROM-Contents'!$D$141,MATCH('EEPROM-Contents'!AC23,'EEPROM-Contents'!$B$4:'EEPROM-Contents'!$B$141,0)),2)</f>
        <v>00</v>
      </c>
      <c r="AB29" s="79" t="str">
        <f>RIGHT(INDEX('EEPROM-Contents'!$D$4:'EEPROM-Contents'!$D$141,MATCH('EEPROM-Contents'!AD23,'EEPROM-Contents'!$B$4:'EEPROM-Contents'!$B$141,0)),2)</f>
        <v>00</v>
      </c>
      <c r="AC29" s="79" t="str">
        <f>RIGHT(INDEX('EEPROM-Contents'!$D$4:'EEPROM-Contents'!$D$141,MATCH('EEPROM-Contents'!AE23,'EEPROM-Contents'!$B$4:'EEPROM-Contents'!$B$141,0)),2)</f>
        <v>00</v>
      </c>
      <c r="AD29" s="79" t="str">
        <f>RIGHT(INDEX('EEPROM-Contents'!$D$4:'EEPROM-Contents'!$D$141,MATCH('EEPROM-Contents'!AF23,'EEPROM-Contents'!$B$4:'EEPROM-Contents'!$B$141,0)),2)</f>
        <v>00</v>
      </c>
      <c r="AF29" s="81" t="str">
        <f t="shared" ca="1" si="3"/>
        <v>000000000000000000000103177300000000000000000000000000</v>
      </c>
    </row>
    <row r="30" spans="2:32" x14ac:dyDescent="0.3">
      <c r="B30" s="85">
        <f>'EEPROM-Contents'!B103</f>
        <v>99</v>
      </c>
      <c r="C30" s="75">
        <f t="shared" si="4"/>
        <v>23</v>
      </c>
      <c r="D30" s="75" t="str">
        <f>LEFT(RIGHT($B$5,4),2)</f>
        <v>17</v>
      </c>
      <c r="E30" s="66" t="str">
        <f>'EEPROM-Contents'!E103</f>
        <v>Device Type</v>
      </c>
      <c r="F30" s="67"/>
      <c r="G30" s="68"/>
      <c r="N30" s="78" t="s">
        <v>362</v>
      </c>
      <c r="O30" s="84" t="str">
        <f>RIGHT(INDEX($D$9:$D$47,MATCH('EEPROM-Contents'!Q24,$B$9:$B$47,0)),2)</f>
        <v>BF</v>
      </c>
      <c r="P30" s="84" t="str">
        <f>RIGHT(INDEX($D$9:$D$47,MATCH('EEPROM-Contents'!R24,$B$9:$B$47,0)),2)</f>
        <v>64</v>
      </c>
      <c r="Q30" s="84" t="str">
        <f>RIGHT(INDEX($D$9:$D$47,MATCH('EEPROM-Contents'!S24,$B$9:$B$47,0)),2)</f>
        <v>64</v>
      </c>
      <c r="R30" s="84" t="str">
        <f ca="1">RIGHT(INDEX($D$9:$D$47,MATCH('EEPROM-Contents'!T24,$B$9:$B$47,0)),2)</f>
        <v>DA</v>
      </c>
      <c r="S30" s="79" t="str">
        <f>RIGHT(INDEX('EEPROM-Contents'!$D$4:'EEPROM-Contents'!$D$141,MATCH('EEPROM-Contents'!U24,'EEPROM-Contents'!$B$4:'EEPROM-Contents'!$B$141,0)),2)</f>
        <v>0A</v>
      </c>
      <c r="T30" s="84" t="str">
        <f>RIGHT(INDEX($D$9:$D$47,MATCH('EEPROM-Contents'!V24,$B$9:$B$47,0)),2)</f>
        <v>09</v>
      </c>
      <c r="U30" s="84" t="str">
        <f ca="1">RIGHT(INDEX($D$9:$D$47,MATCH('EEPROM-Contents'!W24,$B$9:$B$47,0)),2)</f>
        <v>07</v>
      </c>
      <c r="V30" s="84" t="str">
        <f ca="1">RIGHT(INDEX($D$9:$D$47,MATCH('EEPROM-Contents'!X24,$B$9:$B$47,0)),2)</f>
        <v>01</v>
      </c>
      <c r="W30" s="84" t="str">
        <f ca="1">RIGHT(INDEX($D$9:$D$47,MATCH('EEPROM-Contents'!Y24,$B$9:$B$47,0)),2)</f>
        <v>03</v>
      </c>
      <c r="X30" s="84" t="str">
        <f>RIGHT(INDEX($D$9:$D$47,MATCH('EEPROM-Contents'!Z24,$B$9:$B$47,0)),2)</f>
        <v>17</v>
      </c>
      <c r="Y30" s="84" t="str">
        <f>RIGHT(INDEX($D$9:$D$47,MATCH('EEPROM-Contents'!AA24,$B$9:$B$47,0)),2)</f>
        <v>73</v>
      </c>
      <c r="Z30" s="84" t="str">
        <f>RIGHT(INDEX($D$9:$D$47,MATCH('EEPROM-Contents'!AB24,$B$9:$B$47,0)),2)</f>
        <v>00</v>
      </c>
      <c r="AA30" s="84" t="str">
        <f>RIGHT(INDEX($D$9:$D$47,MATCH('EEPROM-Contents'!AC24,$B$9:$B$47,0)),2)</f>
        <v>00</v>
      </c>
      <c r="AB30" s="84" t="str">
        <f>RIGHT(INDEX($D$9:$D$47,MATCH('EEPROM-Contents'!AD24,$B$9:$B$47,0)),2)</f>
        <v>00</v>
      </c>
      <c r="AC30" s="84" t="str">
        <f>RIGHT(INDEX($D$9:$D$47,MATCH('EEPROM-Contents'!AE24,$B$9:$B$47,0)),2)</f>
        <v>00</v>
      </c>
      <c r="AD30" s="79" t="str">
        <f>RIGHT(INDEX('EEPROM-Contents'!$D$4:'EEPROM-Contents'!$D$141,MATCH('EEPROM-Contents'!AF24,'EEPROM-Contents'!$B$4:'EEPROM-Contents'!$B$141,0)),2)</f>
        <v>00</v>
      </c>
      <c r="AF30" s="81" t="str">
        <f t="shared" ca="1" si="3"/>
        <v>00000000000000000000BF6464DA0A090701031773000000000000</v>
      </c>
    </row>
    <row r="31" spans="2:32" x14ac:dyDescent="0.3">
      <c r="B31" s="85">
        <f>'EEPROM-Contents'!B104</f>
        <v>100</v>
      </c>
      <c r="C31" s="75">
        <f t="shared" si="4"/>
        <v>115</v>
      </c>
      <c r="D31" s="75" t="str">
        <f>LEFT(RIGHT($B$5,2),2)</f>
        <v>73</v>
      </c>
      <c r="E31" s="66" t="str">
        <f>'EEPROM-Contents'!E104</f>
        <v>Device Type</v>
      </c>
      <c r="F31" s="67"/>
      <c r="G31" s="68"/>
      <c r="N31" s="78" t="s">
        <v>363</v>
      </c>
      <c r="O31" s="79" t="str">
        <f>RIGHT(INDEX('EEPROM-Contents'!$D$4:'EEPROM-Contents'!$D$141,MATCH('EEPROM-Contents'!Q25,'EEPROM-Contents'!$B$4:'EEPROM-Contents'!$B$141,0)),2)</f>
        <v>00</v>
      </c>
      <c r="P31" s="79" t="str">
        <f>RIGHT(INDEX('EEPROM-Contents'!$D$4:'EEPROM-Contents'!$D$141,MATCH('EEPROM-Contents'!R25,'EEPROM-Contents'!$B$4:'EEPROM-Contents'!$B$141,0)),2)</f>
        <v>00</v>
      </c>
      <c r="Q31" s="79" t="str">
        <f>RIGHT(INDEX('EEPROM-Contents'!$D$4:'EEPROM-Contents'!$D$141,MATCH('EEPROM-Contents'!S25,'EEPROM-Contents'!$B$4:'EEPROM-Contents'!$B$141,0)),2)</f>
        <v>00</v>
      </c>
      <c r="R31" s="79" t="str">
        <f>RIGHT(INDEX('EEPROM-Contents'!$D$4:'EEPROM-Contents'!$D$141,MATCH('EEPROM-Contents'!T25,'EEPROM-Contents'!$B$4:'EEPROM-Contents'!$B$141,0)),2)</f>
        <v>00</v>
      </c>
      <c r="S31" s="79" t="str">
        <f>RIGHT(INDEX('EEPROM-Contents'!$D$4:'EEPROM-Contents'!$D$141,MATCH('EEPROM-Contents'!U25,'EEPROM-Contents'!$B$4:'EEPROM-Contents'!$B$141,0)),2)</f>
        <v>00</v>
      </c>
      <c r="T31" s="79" t="str">
        <f>RIGHT(INDEX('EEPROM-Contents'!$D$4:'EEPROM-Contents'!$D$141,MATCH('EEPROM-Contents'!V25,'EEPROM-Contents'!$B$4:'EEPROM-Contents'!$B$141,0)),2)</f>
        <v>00</v>
      </c>
      <c r="U31" s="79" t="str">
        <f>RIGHT(INDEX('EEPROM-Contents'!$D$4:'EEPROM-Contents'!$D$141,MATCH('EEPROM-Contents'!W25,'EEPROM-Contents'!$B$4:'EEPROM-Contents'!$B$141,0)),2)</f>
        <v>00</v>
      </c>
      <c r="V31" s="84" t="str">
        <f>RIGHT(INDEX($D$9:$D$47,MATCH('EEPROM-Contents'!X25,$B$9:$B$47,0)),2)</f>
        <v>BF</v>
      </c>
      <c r="W31" s="84" t="str">
        <f>RIGHT(INDEX($D$9:$D$47,MATCH('EEPROM-Contents'!Y25,$B$9:$B$47,0)),2)</f>
        <v>64</v>
      </c>
      <c r="X31" s="84" t="str">
        <f>RIGHT(INDEX($D$9:$D$47,MATCH('EEPROM-Contents'!Z25,$B$9:$B$47,0)),2)</f>
        <v>64</v>
      </c>
      <c r="Y31" s="84" t="str">
        <f ca="1">RIGHT(INDEX($D$9:$D$47,MATCH('EEPROM-Contents'!AA25,$B$9:$B$47,0)),2)</f>
        <v>DA</v>
      </c>
      <c r="Z31" s="79" t="str">
        <f>RIGHT(INDEX('EEPROM-Contents'!$D$4:'EEPROM-Contents'!$D$141,MATCH('EEPROM-Contents'!AB25,'EEPROM-Contents'!$B$4:'EEPROM-Contents'!$B$141,0)),2)</f>
        <v>0B</v>
      </c>
      <c r="AA31" s="84" t="str">
        <f>RIGHT(INDEX($D$9:$D$47,MATCH('EEPROM-Contents'!AC25,$B$9:$B$47,0)),2)</f>
        <v>09</v>
      </c>
      <c r="AB31" s="84" t="str">
        <f ca="1">RIGHT(INDEX($D$9:$D$47,MATCH('EEPROM-Contents'!AD25,$B$9:$B$47,0)),2)</f>
        <v>07</v>
      </c>
      <c r="AC31" s="84" t="str">
        <f ca="1">RIGHT(INDEX($D$9:$D$47,MATCH('EEPROM-Contents'!AE25,$B$9:$B$47,0)),2)</f>
        <v>01</v>
      </c>
      <c r="AD31" s="84" t="str">
        <f ca="1">RIGHT(INDEX($D$9:$D$47,MATCH('EEPROM-Contents'!AF25,$B$9:$B$47,0)),2)</f>
        <v>03</v>
      </c>
      <c r="AF31" s="81" t="str">
        <f t="shared" ca="1" si="3"/>
        <v>0000000000000000000000000000000000BF6464DA0B0907010300</v>
      </c>
    </row>
    <row r="32" spans="2:32" x14ac:dyDescent="0.3">
      <c r="B32" s="85">
        <f>'EEPROM-Contents'!B105</f>
        <v>101</v>
      </c>
      <c r="C32" s="75">
        <f t="shared" si="4"/>
        <v>0</v>
      </c>
      <c r="D32" s="75" t="str">
        <f>LEFT(RIGHT($D$5,8),2)</f>
        <v>00</v>
      </c>
      <c r="E32" s="66" t="str">
        <f>'EEPROM-Contents'!E105</f>
        <v>Manufacturer / Lot ID</v>
      </c>
      <c r="F32" s="67"/>
      <c r="G32" s="68"/>
      <c r="N32" s="78" t="s">
        <v>364</v>
      </c>
      <c r="O32" s="84" t="str">
        <f>RIGHT(INDEX($D$9:$D$47,MATCH('EEPROM-Contents'!Q26,$B$9:$B$47,0)),2)</f>
        <v>17</v>
      </c>
      <c r="P32" s="84" t="str">
        <f>RIGHT(INDEX($D$9:$D$47,MATCH('EEPROM-Contents'!R26,$B$9:$B$47,0)),2)</f>
        <v>73</v>
      </c>
      <c r="Q32" s="84" t="str">
        <f>RIGHT(INDEX($D$9:$D$47,MATCH('EEPROM-Contents'!S26,$B$9:$B$47,0)),2)</f>
        <v>00</v>
      </c>
      <c r="R32" s="84" t="str">
        <f>RIGHT(INDEX($D$9:$D$47,MATCH('EEPROM-Contents'!T26,$B$9:$B$47,0)),2)</f>
        <v>00</v>
      </c>
      <c r="S32" s="84" t="str">
        <f>RIGHT(INDEX($D$9:$D$47,MATCH('EEPROM-Contents'!U26,$B$9:$B$47,0)),2)</f>
        <v>00</v>
      </c>
      <c r="T32" s="84" t="str">
        <f>RIGHT(INDEX($D$9:$D$47,MATCH('EEPROM-Contents'!V26,$B$9:$B$47,0)),2)</f>
        <v>00</v>
      </c>
      <c r="U32" s="79" t="str">
        <f>RIGHT(INDEX('EEPROM-Contents'!$D$4:'EEPROM-Contents'!$D$141,MATCH('EEPROM-Contents'!W26,'EEPROM-Contents'!$B$4:'EEPROM-Contents'!$B$141,0)),2)</f>
        <v>00</v>
      </c>
      <c r="V32" s="79" t="str">
        <f>RIGHT(INDEX('EEPROM-Contents'!$D$4:'EEPROM-Contents'!$D$141,MATCH('EEPROM-Contents'!X26,'EEPROM-Contents'!$B$4:'EEPROM-Contents'!$B$141,0)),2)</f>
        <v>00</v>
      </c>
      <c r="W32" s="79" t="str">
        <f>RIGHT(INDEX('EEPROM-Contents'!$D$4:'EEPROM-Contents'!$D$141,MATCH('EEPROM-Contents'!Y26,'EEPROM-Contents'!$B$4:'EEPROM-Contents'!$B$141,0)),2)</f>
        <v>00</v>
      </c>
      <c r="X32" s="79" t="str">
        <f>RIGHT(INDEX('EEPROM-Contents'!$D$4:'EEPROM-Contents'!$D$141,MATCH('EEPROM-Contents'!Z26,'EEPROM-Contents'!$B$4:'EEPROM-Contents'!$B$141,0)),2)</f>
        <v>00</v>
      </c>
      <c r="Y32" s="79" t="str">
        <f>RIGHT(INDEX('EEPROM-Contents'!$D$4:'EEPROM-Contents'!$D$141,MATCH('EEPROM-Contents'!AA26,'EEPROM-Contents'!$B$4:'EEPROM-Contents'!$B$141,0)),2)</f>
        <v>00</v>
      </c>
      <c r="Z32" s="79" t="str">
        <f>RIGHT(INDEX('EEPROM-Contents'!$D$4:'EEPROM-Contents'!$D$141,MATCH('EEPROM-Contents'!AB26,'EEPROM-Contents'!$B$4:'EEPROM-Contents'!$B$141,0)),2)</f>
        <v>00</v>
      </c>
      <c r="AA32" s="79" t="str">
        <f>RIGHT(INDEX('EEPROM-Contents'!$D$4:'EEPROM-Contents'!$D$141,MATCH('EEPROM-Contents'!AC26,'EEPROM-Contents'!$B$4:'EEPROM-Contents'!$B$141,0)),2)</f>
        <v>00</v>
      </c>
      <c r="AB32" s="79" t="str">
        <f>RIGHT(INDEX('EEPROM-Contents'!$D$4:'EEPROM-Contents'!$D$141,MATCH('EEPROM-Contents'!AD26,'EEPROM-Contents'!$B$4:'EEPROM-Contents'!$B$141,0)),2)</f>
        <v>00</v>
      </c>
      <c r="AC32" s="84" t="str">
        <f>RIGHT(INDEX($D$9:$D$47,MATCH('EEPROM-Contents'!AE26,$B$9:$B$47,0)),2)</f>
        <v>BF</v>
      </c>
      <c r="AD32" s="84" t="str">
        <f>RIGHT(INDEX($D$9:$D$47,MATCH('EEPROM-Contents'!AF26,$B$9:$B$47,0)),2)</f>
        <v>64</v>
      </c>
      <c r="AF32" s="81" t="str">
        <f t="shared" si="3"/>
        <v>000000000000000000001773000000000000000000000000BF6400</v>
      </c>
    </row>
    <row r="33" spans="2:32" x14ac:dyDescent="0.3">
      <c r="B33" s="85">
        <f>'EEPROM-Contents'!B106</f>
        <v>102</v>
      </c>
      <c r="C33" s="75">
        <f t="shared" si="4"/>
        <v>0</v>
      </c>
      <c r="D33" s="75" t="str">
        <f>LEFT(RIGHT($D$5,6),2)</f>
        <v>00</v>
      </c>
      <c r="E33" s="66" t="str">
        <f>'EEPROM-Contents'!E106</f>
        <v>Manufacturer / Lot ID</v>
      </c>
      <c r="F33" s="67"/>
      <c r="G33" s="68"/>
      <c r="N33" s="78" t="s">
        <v>365</v>
      </c>
      <c r="O33" s="84" t="str">
        <f>RIGHT(INDEX($D$9:$D$47,MATCH('EEPROM-Contents'!Q27,$B$9:$B$47,0)),2)</f>
        <v>64</v>
      </c>
      <c r="P33" s="84" t="str">
        <f ca="1">RIGHT(INDEX($D$9:$D$47,MATCH('EEPROM-Contents'!R27,$B$9:$B$47,0)),2)</f>
        <v>DA</v>
      </c>
      <c r="Q33" s="79" t="str">
        <f>RIGHT(INDEX('EEPROM-Contents'!$D$4:'EEPROM-Contents'!$D$141,MATCH('EEPROM-Contents'!S27,'EEPROM-Contents'!$B$4:'EEPROM-Contents'!$B$141,0)),2)</f>
        <v>0C</v>
      </c>
      <c r="R33" s="84" t="str">
        <f>RIGHT(INDEX($D$9:$D$47,MATCH('EEPROM-Contents'!T27,$B$9:$B$47,0)),2)</f>
        <v>09</v>
      </c>
      <c r="S33" s="84" t="str">
        <f ca="1">RIGHT(INDEX($D$9:$D$47,MATCH('EEPROM-Contents'!U27,$B$9:$B$47,0)),2)</f>
        <v>07</v>
      </c>
      <c r="T33" s="84" t="str">
        <f ca="1">RIGHT(INDEX($D$9:$D$47,MATCH('EEPROM-Contents'!V27,$B$9:$B$47,0)),2)</f>
        <v>01</v>
      </c>
      <c r="U33" s="84" t="str">
        <f ca="1">RIGHT(INDEX($D$9:$D$47,MATCH('EEPROM-Contents'!W27,$B$9:$B$47,0)),2)</f>
        <v>03</v>
      </c>
      <c r="V33" s="84" t="str">
        <f>RIGHT(INDEX($D$9:$D$47,MATCH('EEPROM-Contents'!X27,$B$9:$B$47,0)),2)</f>
        <v>17</v>
      </c>
      <c r="W33" s="84" t="str">
        <f>RIGHT(INDEX($D$9:$D$47,MATCH('EEPROM-Contents'!Y27,$B$9:$B$47,0)),2)</f>
        <v>73</v>
      </c>
      <c r="X33" s="84" t="str">
        <f>RIGHT(INDEX($D$9:$D$47,MATCH('EEPROM-Contents'!Z27,$B$9:$B$47,0)),2)</f>
        <v>00</v>
      </c>
      <c r="Y33" s="84" t="str">
        <f>RIGHT(INDEX($D$9:$D$47,MATCH('EEPROM-Contents'!AA27,$B$9:$B$47,0)),2)</f>
        <v>00</v>
      </c>
      <c r="Z33" s="84" t="str">
        <f>RIGHT(INDEX($D$9:$D$47,MATCH('EEPROM-Contents'!AB27,$B$9:$B$47,0)),2)</f>
        <v>00</v>
      </c>
      <c r="AA33" s="84" t="str">
        <f>RIGHT(INDEX($D$9:$D$47,MATCH('EEPROM-Contents'!AC27,$B$9:$B$47,0)),2)</f>
        <v>00</v>
      </c>
      <c r="AB33" s="79" t="str">
        <f>RIGHT(INDEX('EEPROM-Contents'!$D$4:'EEPROM-Contents'!$D$141,MATCH('EEPROM-Contents'!AD27,'EEPROM-Contents'!$B$4:'EEPROM-Contents'!$B$141,0)),2)</f>
        <v>00</v>
      </c>
      <c r="AC33" s="79" t="str">
        <f>RIGHT(INDEX('EEPROM-Contents'!$D$4:'EEPROM-Contents'!$D$141,MATCH('EEPROM-Contents'!AE27,'EEPROM-Contents'!$B$4:'EEPROM-Contents'!$B$141,0)),2)</f>
        <v>00</v>
      </c>
      <c r="AD33" s="79" t="str">
        <f>RIGHT(INDEX('EEPROM-Contents'!$D$4:'EEPROM-Contents'!$D$141,MATCH('EEPROM-Contents'!AF27,'EEPROM-Contents'!$B$4:'EEPROM-Contents'!$B$141,0)),2)</f>
        <v>00</v>
      </c>
      <c r="AF33" s="81" t="str">
        <f t="shared" ca="1" si="3"/>
        <v>0000000000000000000064DA0C0907010317730000000000000000</v>
      </c>
    </row>
    <row r="34" spans="2:32" x14ac:dyDescent="0.3">
      <c r="B34" s="85">
        <f>'EEPROM-Contents'!B107</f>
        <v>103</v>
      </c>
      <c r="C34" s="75">
        <f t="shared" si="4"/>
        <v>0</v>
      </c>
      <c r="D34" s="75" t="str">
        <f>LEFT(RIGHT($D$5,4),2)</f>
        <v>00</v>
      </c>
      <c r="E34" s="66" t="str">
        <f>'EEPROM-Contents'!E107</f>
        <v>Manufacturer / Lot ID</v>
      </c>
      <c r="F34" s="67"/>
      <c r="G34" s="68"/>
      <c r="N34" s="78" t="s">
        <v>366</v>
      </c>
      <c r="O34" s="79" t="str">
        <f>RIGHT(INDEX('EEPROM-Contents'!$D$4:'EEPROM-Contents'!$D$141,MATCH('EEPROM-Contents'!Q28,'EEPROM-Contents'!$B$4:'EEPROM-Contents'!$B$141,0)),2)</f>
        <v>00</v>
      </c>
      <c r="P34" s="79" t="str">
        <f>RIGHT(INDEX('EEPROM-Contents'!$D$4:'EEPROM-Contents'!$D$141,MATCH('EEPROM-Contents'!R28,'EEPROM-Contents'!$B$4:'EEPROM-Contents'!$B$141,0)),2)</f>
        <v>00</v>
      </c>
      <c r="Q34" s="79" t="str">
        <f>RIGHT(INDEX('EEPROM-Contents'!$D$4:'EEPROM-Contents'!$D$141,MATCH('EEPROM-Contents'!S28,'EEPROM-Contents'!$B$4:'EEPROM-Contents'!$B$141,0)),2)</f>
        <v>00</v>
      </c>
      <c r="R34" s="79" t="str">
        <f>RIGHT(INDEX('EEPROM-Contents'!$D$4:'EEPROM-Contents'!$D$141,MATCH('EEPROM-Contents'!T28,'EEPROM-Contents'!$B$4:'EEPROM-Contents'!$B$141,0)),2)</f>
        <v>00</v>
      </c>
      <c r="S34" s="79" t="str">
        <f>RIGHT(INDEX('EEPROM-Contents'!$D$4:'EEPROM-Contents'!$D$141,MATCH('EEPROM-Contents'!U28,'EEPROM-Contents'!$B$4:'EEPROM-Contents'!$B$141,0)),2)</f>
        <v>00</v>
      </c>
      <c r="T34" s="84" t="str">
        <f>RIGHT(INDEX($D$9:$D$47,MATCH('EEPROM-Contents'!V28,$B$9:$B$47,0)),2)</f>
        <v>BF</v>
      </c>
      <c r="U34" s="84" t="str">
        <f>RIGHT(INDEX($D$9:$D$47,MATCH('EEPROM-Contents'!W28,$B$9:$B$47,0)),2)</f>
        <v>64</v>
      </c>
      <c r="V34" s="84" t="str">
        <f>RIGHT(INDEX($D$9:$D$47,MATCH('EEPROM-Contents'!X28,$B$9:$B$47,0)),2)</f>
        <v>64</v>
      </c>
      <c r="W34" s="84" t="str">
        <f ca="1">RIGHT(INDEX($D$9:$D$47,MATCH('EEPROM-Contents'!Y28,$B$9:$B$47,0)),2)</f>
        <v>DA</v>
      </c>
      <c r="X34" s="79" t="str">
        <f>RIGHT(INDEX('EEPROM-Contents'!$D$4:'EEPROM-Contents'!$D$141,MATCH('EEPROM-Contents'!Z28,'EEPROM-Contents'!$B$4:'EEPROM-Contents'!$B$141,0)),2)</f>
        <v>0D</v>
      </c>
      <c r="Y34" s="84" t="str">
        <f>RIGHT(INDEX($D$9:$D$47,MATCH('EEPROM-Contents'!AA28,$B$9:$B$47,0)),2)</f>
        <v>09</v>
      </c>
      <c r="Z34" s="84" t="str">
        <f ca="1">RIGHT(INDEX($D$9:$D$47,MATCH('EEPROM-Contents'!AB28,$B$9:$B$47,0)),2)</f>
        <v>07</v>
      </c>
      <c r="AA34" s="84" t="str">
        <f ca="1">RIGHT(INDEX($D$9:$D$47,MATCH('EEPROM-Contents'!AC28,$B$9:$B$47,0)),2)</f>
        <v>01</v>
      </c>
      <c r="AB34" s="84" t="str">
        <f ca="1">RIGHT(INDEX($D$9:$D$47,MATCH('EEPROM-Contents'!AD28,$B$9:$B$47,0)),2)</f>
        <v>03</v>
      </c>
      <c r="AC34" s="84" t="str">
        <f>RIGHT(INDEX($D$9:$D$47,MATCH('EEPROM-Contents'!AE28,$B$9:$B$47,0)),2)</f>
        <v>17</v>
      </c>
      <c r="AD34" s="84" t="str">
        <f>RIGHT(INDEX($D$9:$D$47,MATCH('EEPROM-Contents'!AF28,$B$9:$B$47,0)),2)</f>
        <v>73</v>
      </c>
      <c r="AF34" s="81" t="str">
        <f t="shared" ca="1" si="3"/>
        <v>000000000000000000000000000000BF6464DA0D09070103177300</v>
      </c>
    </row>
    <row r="35" spans="2:32" x14ac:dyDescent="0.3">
      <c r="B35" s="85">
        <f>'EEPROM-Contents'!B108</f>
        <v>104</v>
      </c>
      <c r="C35" s="75">
        <f t="shared" si="4"/>
        <v>0</v>
      </c>
      <c r="D35" s="75" t="str">
        <f>LEFT(RIGHT($D$5,2),2)</f>
        <v>00</v>
      </c>
      <c r="E35" s="66" t="str">
        <f>'EEPROM-Contents'!E108</f>
        <v>Manufacturer / Lot ID</v>
      </c>
      <c r="F35" s="67"/>
      <c r="G35" s="68"/>
      <c r="N35" s="78" t="s">
        <v>367</v>
      </c>
      <c r="O35" s="84" t="str">
        <f>RIGHT(INDEX($D$9:$D$47,MATCH('EEPROM-Contents'!Q29,$B$9:$B$47,0)),2)</f>
        <v>00</v>
      </c>
      <c r="P35" s="84" t="str">
        <f>RIGHT(INDEX($D$9:$D$47,MATCH('EEPROM-Contents'!R29,$B$9:$B$47,0)),2)</f>
        <v>00</v>
      </c>
      <c r="Q35" s="84" t="str">
        <f>RIGHT(INDEX($D$9:$D$47,MATCH('EEPROM-Contents'!S29,$B$9:$B$47,0)),2)</f>
        <v>00</v>
      </c>
      <c r="R35" s="84" t="str">
        <f>RIGHT(INDEX($D$9:$D$47,MATCH('EEPROM-Contents'!T29,$B$9:$B$47,0)),2)</f>
        <v>00</v>
      </c>
      <c r="S35" s="79" t="str">
        <f>RIGHT(INDEX('EEPROM-Contents'!$D$4:'EEPROM-Contents'!$D$141,MATCH('EEPROM-Contents'!U29,'EEPROM-Contents'!$B$4:'EEPROM-Contents'!$B$141,0)),2)</f>
        <v>00</v>
      </c>
      <c r="T35" s="79" t="str">
        <f>RIGHT(INDEX('EEPROM-Contents'!$D$4:'EEPROM-Contents'!$D$141,MATCH('EEPROM-Contents'!V29,'EEPROM-Contents'!$B$4:'EEPROM-Contents'!$B$141,0)),2)</f>
        <v>00</v>
      </c>
      <c r="U35" s="79" t="str">
        <f>RIGHT(INDEX('EEPROM-Contents'!$D$4:'EEPROM-Contents'!$D$141,MATCH('EEPROM-Contents'!W29,'EEPROM-Contents'!$B$4:'EEPROM-Contents'!$B$141,0)),2)</f>
        <v>00</v>
      </c>
      <c r="V35" s="79" t="str">
        <f>RIGHT(INDEX('EEPROM-Contents'!$D$4:'EEPROM-Contents'!$D$141,MATCH('EEPROM-Contents'!X29,'EEPROM-Contents'!$B$4:'EEPROM-Contents'!$B$141,0)),2)</f>
        <v>00</v>
      </c>
      <c r="W35" s="79" t="str">
        <f>RIGHT(INDEX('EEPROM-Contents'!$D$4:'EEPROM-Contents'!$D$141,MATCH('EEPROM-Contents'!Y29,'EEPROM-Contents'!$B$4:'EEPROM-Contents'!$B$141,0)),2)</f>
        <v>00</v>
      </c>
      <c r="X35" s="79" t="str">
        <f>RIGHT(INDEX('EEPROM-Contents'!$D$4:'EEPROM-Contents'!$D$141,MATCH('EEPROM-Contents'!Z29,'EEPROM-Contents'!$B$4:'EEPROM-Contents'!$B$141,0)),2)</f>
        <v>00</v>
      </c>
      <c r="Y35" s="79" t="str">
        <f>RIGHT(INDEX('EEPROM-Contents'!$D$4:'EEPROM-Contents'!$D$141,MATCH('EEPROM-Contents'!AA29,'EEPROM-Contents'!$B$4:'EEPROM-Contents'!$B$141,0)),2)</f>
        <v>00</v>
      </c>
      <c r="Z35" s="79" t="str">
        <f>RIGHT(INDEX('EEPROM-Contents'!$D$4:'EEPROM-Contents'!$D$141,MATCH('EEPROM-Contents'!AB29,'EEPROM-Contents'!$B$4:'EEPROM-Contents'!$B$141,0)),2)</f>
        <v>00</v>
      </c>
      <c r="AA35" s="84" t="str">
        <f>RIGHT(INDEX($D$9:$D$47,MATCH('EEPROM-Contents'!AC29,$B$9:$B$47,0)),2)</f>
        <v>BF</v>
      </c>
      <c r="AB35" s="84" t="str">
        <f>RIGHT(INDEX($D$9:$D$47,MATCH('EEPROM-Contents'!AD29,$B$9:$B$47,0)),2)</f>
        <v>64</v>
      </c>
      <c r="AC35" s="84" t="str">
        <f>RIGHT(INDEX($D$9:$D$47,MATCH('EEPROM-Contents'!AE29,$B$9:$B$47,0)),2)</f>
        <v>64</v>
      </c>
      <c r="AD35" s="84" t="str">
        <f ca="1">RIGHT(INDEX($D$9:$D$47,MATCH('EEPROM-Contents'!AF29,$B$9:$B$47,0)),2)</f>
        <v>DA</v>
      </c>
      <c r="AF35" s="81" t="str">
        <f t="shared" ca="1" si="3"/>
        <v>00000000000000000000000000000000000000000000BF6464DA00</v>
      </c>
    </row>
    <row r="36" spans="2:32" x14ac:dyDescent="0.3">
      <c r="B36" s="85">
        <f>'EEPROM-Contents'!B109</f>
        <v>105</v>
      </c>
      <c r="C36" s="75">
        <f t="shared" si="4"/>
        <v>0</v>
      </c>
      <c r="D36" s="76" t="str">
        <f>$I$5</f>
        <v>00</v>
      </c>
      <c r="E36" s="66" t="str">
        <f>'EEPROM-Contents'!E109</f>
        <v>Voltage Cal</v>
      </c>
      <c r="F36" s="67"/>
      <c r="G36" s="68"/>
      <c r="N36" s="78" t="s">
        <v>368</v>
      </c>
      <c r="O36" s="79" t="str">
        <f>RIGHT(INDEX('EEPROM-Contents'!$D$4:'EEPROM-Contents'!$D$141,MATCH('EEPROM-Contents'!Q30,'EEPROM-Contents'!$B$4:'EEPROM-Contents'!$B$141,0)),2)</f>
        <v>0E</v>
      </c>
      <c r="P36" s="84" t="str">
        <f>RIGHT(INDEX($D$9:$D$47,MATCH('EEPROM-Contents'!R30,$B$9:$B$47,0)),2)</f>
        <v>09</v>
      </c>
      <c r="Q36" s="84" t="str">
        <f ca="1">RIGHT(INDEX($D$9:$D$47,MATCH('EEPROM-Contents'!S30,$B$9:$B$47,0)),2)</f>
        <v>07</v>
      </c>
      <c r="R36" s="84" t="str">
        <f ca="1">RIGHT(INDEX($D$9:$D$47,MATCH('EEPROM-Contents'!T30,$B$9:$B$47,0)),2)</f>
        <v>01</v>
      </c>
      <c r="S36" s="84" t="str">
        <f ca="1">RIGHT(INDEX($D$9:$D$47,MATCH('EEPROM-Contents'!U30,$B$9:$B$47,0)),2)</f>
        <v>03</v>
      </c>
      <c r="T36" s="84" t="str">
        <f>RIGHT(INDEX($D$9:$D$47,MATCH('EEPROM-Contents'!V30,$B$9:$B$47,0)),2)</f>
        <v>17</v>
      </c>
      <c r="U36" s="84" t="str">
        <f>RIGHT(INDEX($D$9:$D$47,MATCH('EEPROM-Contents'!W30,$B$9:$B$47,0)),2)</f>
        <v>73</v>
      </c>
      <c r="V36" s="84" t="str">
        <f>RIGHT(INDEX($D$9:$D$47,MATCH('EEPROM-Contents'!X30,$B$9:$B$47,0)),2)</f>
        <v>00</v>
      </c>
      <c r="W36" s="84" t="str">
        <f>RIGHT(INDEX($D$9:$D$47,MATCH('EEPROM-Contents'!Y30,$B$9:$B$47,0)),2)</f>
        <v>00</v>
      </c>
      <c r="X36" s="84" t="str">
        <f>RIGHT(INDEX($D$9:$D$47,MATCH('EEPROM-Contents'!Z30,$B$9:$B$47,0)),2)</f>
        <v>00</v>
      </c>
      <c r="Y36" s="84" t="str">
        <f>RIGHT(INDEX($D$9:$D$47,MATCH('EEPROM-Contents'!AA30,$B$9:$B$47,0)),2)</f>
        <v>00</v>
      </c>
      <c r="Z36" s="79" t="str">
        <f>RIGHT(INDEX('EEPROM-Contents'!$D$4:'EEPROM-Contents'!$D$141,MATCH('EEPROM-Contents'!AB30,'EEPROM-Contents'!$B$4:'EEPROM-Contents'!$B$141,0)),2)</f>
        <v>00</v>
      </c>
      <c r="AA36" s="79" t="str">
        <f>RIGHT(INDEX('EEPROM-Contents'!$D$4:'EEPROM-Contents'!$D$141,MATCH('EEPROM-Contents'!AC30,'EEPROM-Contents'!$B$4:'EEPROM-Contents'!$B$141,0)),2)</f>
        <v>00</v>
      </c>
      <c r="AB36" s="79" t="str">
        <f>RIGHT(INDEX('EEPROM-Contents'!$D$4:'EEPROM-Contents'!$D$141,MATCH('EEPROM-Contents'!AD30,'EEPROM-Contents'!$B$4:'EEPROM-Contents'!$B$141,0)),2)</f>
        <v>00</v>
      </c>
      <c r="AC36" s="79" t="str">
        <f>RIGHT(INDEX('EEPROM-Contents'!$D$4:'EEPROM-Contents'!$D$141,MATCH('EEPROM-Contents'!AE30,'EEPROM-Contents'!$B$4:'EEPROM-Contents'!$B$141,0)),2)</f>
        <v>00</v>
      </c>
      <c r="AD36" s="79" t="str">
        <f>RIGHT(INDEX('EEPROM-Contents'!$D$4:'EEPROM-Contents'!$D$141,MATCH('EEPROM-Contents'!AF30,'EEPROM-Contents'!$B$4:'EEPROM-Contents'!$B$141,0)),2)</f>
        <v>00</v>
      </c>
      <c r="AF36" s="81" t="str">
        <f t="shared" ca="1" si="3"/>
        <v>000000000000000000000E09070103177300000000000000000000</v>
      </c>
    </row>
    <row r="37" spans="2:32" x14ac:dyDescent="0.3">
      <c r="B37" s="85">
        <f>'EEPROM-Contents'!B110</f>
        <v>106</v>
      </c>
      <c r="C37" s="75">
        <f t="shared" si="4"/>
        <v>0</v>
      </c>
      <c r="D37" s="76" t="str">
        <f t="shared" ref="D37:D43" si="5">$I$5</f>
        <v>00</v>
      </c>
      <c r="E37" s="66" t="str">
        <f>'EEPROM-Contents'!E110</f>
        <v>Voltage Cal</v>
      </c>
      <c r="F37" s="67"/>
      <c r="G37" s="68"/>
      <c r="N37" s="78" t="s">
        <v>369</v>
      </c>
      <c r="O37" s="79" t="str">
        <f>RIGHT(INDEX('EEPROM-Contents'!$D$4:'EEPROM-Contents'!$D$141,MATCH('EEPROM-Contents'!Q31,'EEPROM-Contents'!$B$4:'EEPROM-Contents'!$B$141,0)),2)</f>
        <v>00</v>
      </c>
      <c r="P37" s="79" t="str">
        <f>RIGHT(INDEX('EEPROM-Contents'!$D$4:'EEPROM-Contents'!$D$141,MATCH('EEPROM-Contents'!R31,'EEPROM-Contents'!$B$4:'EEPROM-Contents'!$B$141,0)),2)</f>
        <v>00</v>
      </c>
      <c r="Q37" s="79" t="str">
        <f>RIGHT(INDEX('EEPROM-Contents'!$D$4:'EEPROM-Contents'!$D$141,MATCH('EEPROM-Contents'!S31,'EEPROM-Contents'!$B$4:'EEPROM-Contents'!$B$141,0)),2)</f>
        <v>00</v>
      </c>
      <c r="R37" s="84" t="str">
        <f>RIGHT(INDEX($D$9:$D$47,MATCH('EEPROM-Contents'!T31,$B$9:$B$47,0)),2)</f>
        <v>BF</v>
      </c>
      <c r="S37" s="84" t="str">
        <f>RIGHT(INDEX($D$9:$D$47,MATCH('EEPROM-Contents'!U31,$B$9:$B$47,0)),2)</f>
        <v>64</v>
      </c>
      <c r="T37" s="84" t="str">
        <f>RIGHT(INDEX($D$9:$D$47,MATCH('EEPROM-Contents'!V31,$B$9:$B$47,0)),2)</f>
        <v>64</v>
      </c>
      <c r="U37" s="84" t="str">
        <f ca="1">RIGHT(INDEX($D$9:$D$47,MATCH('EEPROM-Contents'!W31,$B$9:$B$47,0)),2)</f>
        <v>DA</v>
      </c>
      <c r="V37" s="79" t="str">
        <f>RIGHT(INDEX('EEPROM-Contents'!$D$4:'EEPROM-Contents'!$D$141,MATCH('EEPROM-Contents'!X31,'EEPROM-Contents'!$B$4:'EEPROM-Contents'!$B$141,0)),2)</f>
        <v>0F</v>
      </c>
      <c r="W37" s="84" t="str">
        <f>RIGHT(INDEX($D$9:$D$47,MATCH('EEPROM-Contents'!Y31,$B$9:$B$47,0)),2)</f>
        <v>09</v>
      </c>
      <c r="X37" s="84" t="str">
        <f ca="1">RIGHT(INDEX($D$9:$D$47,MATCH('EEPROM-Contents'!Z31,$B$9:$B$47,0)),2)</f>
        <v>07</v>
      </c>
      <c r="Y37" s="84" t="str">
        <f ca="1">RIGHT(INDEX($D$9:$D$47,MATCH('EEPROM-Contents'!AA31,$B$9:$B$47,0)),2)</f>
        <v>01</v>
      </c>
      <c r="Z37" s="84" t="str">
        <f ca="1">RIGHT(INDEX($D$9:$D$47,MATCH('EEPROM-Contents'!AB31,$B$9:$B$47,0)),2)</f>
        <v>03</v>
      </c>
      <c r="AA37" s="84" t="str">
        <f>RIGHT(INDEX($D$9:$D$47,MATCH('EEPROM-Contents'!AC31,$B$9:$B$47,0)),2)</f>
        <v>17</v>
      </c>
      <c r="AB37" s="84" t="str">
        <f>RIGHT(INDEX($D$9:$D$47,MATCH('EEPROM-Contents'!AD31,$B$9:$B$47,0)),2)</f>
        <v>73</v>
      </c>
      <c r="AC37" s="84" t="str">
        <f>RIGHT(INDEX($D$9:$D$47,MATCH('EEPROM-Contents'!AE31,$B$9:$B$47,0)),2)</f>
        <v>00</v>
      </c>
      <c r="AD37" s="84" t="str">
        <f>RIGHT(INDEX($D$9:$D$47,MATCH('EEPROM-Contents'!AF31,$B$9:$B$47,0)),2)</f>
        <v>00</v>
      </c>
      <c r="AF37" s="81" t="str">
        <f t="shared" ca="1" si="3"/>
        <v>00000000000000000000000000BF6464DA0F090701031773000000</v>
      </c>
    </row>
    <row r="38" spans="2:32" x14ac:dyDescent="0.3">
      <c r="B38" s="85">
        <f>'EEPROM-Contents'!B111</f>
        <v>107</v>
      </c>
      <c r="C38" s="75">
        <f t="shared" si="4"/>
        <v>0</v>
      </c>
      <c r="D38" s="76" t="str">
        <f t="shared" si="5"/>
        <v>00</v>
      </c>
      <c r="E38" s="66" t="str">
        <f>'EEPROM-Contents'!E111</f>
        <v>Voltage Cal</v>
      </c>
      <c r="F38" s="67"/>
      <c r="G38" s="68"/>
      <c r="N38" s="78" t="s">
        <v>370</v>
      </c>
      <c r="O38" s="84" t="str">
        <f>RIGHT(INDEX($D$9:$D$47,MATCH('EEPROM-Contents'!Q32,$B$9:$B$47,0)),2)</f>
        <v>00</v>
      </c>
      <c r="P38" s="84" t="str">
        <f>RIGHT(INDEX($D$9:$D$47,MATCH('EEPROM-Contents'!R32,$B$9:$B$47,0)),2)</f>
        <v>00</v>
      </c>
      <c r="Q38" s="79" t="str">
        <f>RIGHT(INDEX('EEPROM-Contents'!$D$4:'EEPROM-Contents'!$D$141,MATCH('EEPROM-Contents'!S32,'EEPROM-Contents'!$B$4:'EEPROM-Contents'!$B$141,0)),2)</f>
        <v>00</v>
      </c>
      <c r="R38" s="79" t="str">
        <f>RIGHT(INDEX('EEPROM-Contents'!$D$4:'EEPROM-Contents'!$D$141,MATCH('EEPROM-Contents'!T32,'EEPROM-Contents'!$B$4:'EEPROM-Contents'!$B$141,0)),2)</f>
        <v>00</v>
      </c>
      <c r="S38" s="79" t="str">
        <f>RIGHT(INDEX('EEPROM-Contents'!$D$4:'EEPROM-Contents'!$D$141,MATCH('EEPROM-Contents'!U32,'EEPROM-Contents'!$B$4:'EEPROM-Contents'!$B$141,0)),2)</f>
        <v>00</v>
      </c>
      <c r="T38" s="79" t="str">
        <f>RIGHT(INDEX('EEPROM-Contents'!$D$4:'EEPROM-Contents'!$D$141,MATCH('EEPROM-Contents'!V32,'EEPROM-Contents'!$B$4:'EEPROM-Contents'!$B$141,0)),2)</f>
        <v>00</v>
      </c>
      <c r="U38" s="79" t="str">
        <f>RIGHT(INDEX('EEPROM-Contents'!$D$4:'EEPROM-Contents'!$D$141,MATCH('EEPROM-Contents'!W32,'EEPROM-Contents'!$B$4:'EEPROM-Contents'!$B$141,0)),2)</f>
        <v>00</v>
      </c>
      <c r="V38" s="79" t="str">
        <f>RIGHT(INDEX('EEPROM-Contents'!$D$4:'EEPROM-Contents'!$D$141,MATCH('EEPROM-Contents'!X32,'EEPROM-Contents'!$B$4:'EEPROM-Contents'!$B$141,0)),2)</f>
        <v>00</v>
      </c>
      <c r="W38" s="79" t="str">
        <f>RIGHT(INDEX('EEPROM-Contents'!$D$4:'EEPROM-Contents'!$D$141,MATCH('EEPROM-Contents'!Y32,'EEPROM-Contents'!$B$4:'EEPROM-Contents'!$B$141,0)),2)</f>
        <v>00</v>
      </c>
      <c r="X38" s="79" t="str">
        <f>RIGHT(INDEX('EEPROM-Contents'!$D$4:'EEPROM-Contents'!$D$141,MATCH('EEPROM-Contents'!Z32,'EEPROM-Contents'!$B$4:'EEPROM-Contents'!$B$141,0)),2)</f>
        <v>00</v>
      </c>
      <c r="Y38" s="84" t="str">
        <f>RIGHT(INDEX($D$9:$D$47,MATCH('EEPROM-Contents'!AA32,$B$9:$B$47,0)),2)</f>
        <v>BF</v>
      </c>
      <c r="Z38" s="84" t="str">
        <f>RIGHT(INDEX($D$9:$D$47,MATCH('EEPROM-Contents'!AB32,$B$9:$B$47,0)),2)</f>
        <v>64</v>
      </c>
      <c r="AA38" s="84" t="str">
        <f>RIGHT(INDEX($D$9:$D$47,MATCH('EEPROM-Contents'!AC32,$B$9:$B$47,0)),2)</f>
        <v>64</v>
      </c>
      <c r="AB38" s="84" t="str">
        <f ca="1">RIGHT(INDEX($D$9:$D$47,MATCH('EEPROM-Contents'!AD32,$B$9:$B$47,0)),2)</f>
        <v>DA</v>
      </c>
      <c r="AC38" s="79" t="str">
        <f>RIGHT(INDEX('EEPROM-Contents'!$D$4:'EEPROM-Contents'!$D$141,MATCH('EEPROM-Contents'!AE32,'EEPROM-Contents'!$B$4:'EEPROM-Contents'!$B$141,0)),2)</f>
        <v>10</v>
      </c>
      <c r="AD38" s="84" t="str">
        <f>RIGHT(INDEX($D$9:$D$47,MATCH('EEPROM-Contents'!AF32,$B$9:$B$47,0)),2)</f>
        <v>09</v>
      </c>
      <c r="AF38" s="81" t="str">
        <f t="shared" ca="1" si="3"/>
        <v>0000000000000000000000000000000000000000BF6464DA100900</v>
      </c>
    </row>
    <row r="39" spans="2:32" x14ac:dyDescent="0.3">
      <c r="B39" s="85">
        <f>'EEPROM-Contents'!B112</f>
        <v>108</v>
      </c>
      <c r="C39" s="75">
        <f t="shared" si="4"/>
        <v>0</v>
      </c>
      <c r="D39" s="76" t="str">
        <f t="shared" si="5"/>
        <v>00</v>
      </c>
      <c r="E39" s="66" t="str">
        <f>'EEPROM-Contents'!E112</f>
        <v>Voltage Cal</v>
      </c>
      <c r="F39" s="67"/>
      <c r="G39" s="68"/>
      <c r="N39" s="78" t="s">
        <v>371</v>
      </c>
      <c r="O39" s="84" t="str">
        <f ca="1">RIGHT(INDEX($D$9:$D$47,MATCH('EEPROM-Contents'!Q33,$B$9:$B$47,0)),2)</f>
        <v>07</v>
      </c>
      <c r="P39" s="84" t="str">
        <f ca="1">RIGHT(INDEX($D$9:$D$47,MATCH('EEPROM-Contents'!R33,$B$9:$B$47,0)),2)</f>
        <v>01</v>
      </c>
      <c r="Q39" s="84" t="str">
        <f ca="1">RIGHT(INDEX($D$9:$D$47,MATCH('EEPROM-Contents'!S33,$B$9:$B$47,0)),2)</f>
        <v>03</v>
      </c>
      <c r="R39" s="84" t="str">
        <f>RIGHT(INDEX($D$9:$D$47,MATCH('EEPROM-Contents'!T33,$B$9:$B$47,0)),2)</f>
        <v>17</v>
      </c>
      <c r="S39" s="84" t="str">
        <f>RIGHT(INDEX($D$9:$D$47,MATCH('EEPROM-Contents'!U33,$B$9:$B$47,0)),2)</f>
        <v>73</v>
      </c>
      <c r="T39" s="84" t="str">
        <f>RIGHT(INDEX($D$9:$D$47,MATCH('EEPROM-Contents'!V33,$B$9:$B$47,0)),2)</f>
        <v>00</v>
      </c>
      <c r="U39" s="84" t="str">
        <f>RIGHT(INDEX($D$9:$D$47,MATCH('EEPROM-Contents'!W33,$B$9:$B$47,0)),2)</f>
        <v>00</v>
      </c>
      <c r="V39" s="84" t="str">
        <f>RIGHT(INDEX($D$9:$D$47,MATCH('EEPROM-Contents'!X33,$B$9:$B$47,0)),2)</f>
        <v>00</v>
      </c>
      <c r="W39" s="84" t="str">
        <f>RIGHT(INDEX($D$9:$D$47,MATCH('EEPROM-Contents'!Y33,$B$9:$B$47,0)),2)</f>
        <v>00</v>
      </c>
      <c r="X39" s="79" t="str">
        <f>RIGHT(INDEX('EEPROM-Contents'!$D$4:'EEPROM-Contents'!$D$141,MATCH('EEPROM-Contents'!Z33,'EEPROM-Contents'!$B$4:'EEPROM-Contents'!$B$141,0)),2)</f>
        <v>00</v>
      </c>
      <c r="Y39" s="79" t="str">
        <f>RIGHT(INDEX('EEPROM-Contents'!$D$4:'EEPROM-Contents'!$D$141,MATCH('EEPROM-Contents'!AA33,'EEPROM-Contents'!$B$4:'EEPROM-Contents'!$B$141,0)),2)</f>
        <v>00</v>
      </c>
      <c r="Z39" s="79" t="str">
        <f>RIGHT(INDEX('EEPROM-Contents'!$D$4:'EEPROM-Contents'!$D$141,MATCH('EEPROM-Contents'!AB33,'EEPROM-Contents'!$B$4:'EEPROM-Contents'!$B$141,0)),2)</f>
        <v>00</v>
      </c>
      <c r="AA39" s="79" t="str">
        <f>RIGHT(INDEX('EEPROM-Contents'!$D$4:'EEPROM-Contents'!$D$141,MATCH('EEPROM-Contents'!AC33,'EEPROM-Contents'!$B$4:'EEPROM-Contents'!$B$141,0)),2)</f>
        <v>00</v>
      </c>
      <c r="AB39" s="79" t="str">
        <f>RIGHT(INDEX('EEPROM-Contents'!$D$4:'EEPROM-Contents'!$D$141,MATCH('EEPROM-Contents'!AD33,'EEPROM-Contents'!$B$4:'EEPROM-Contents'!$B$141,0)),2)</f>
        <v>00</v>
      </c>
      <c r="AC39" s="79" t="str">
        <f>RIGHT(INDEX('EEPROM-Contents'!$D$4:'EEPROM-Contents'!$D$141,MATCH('EEPROM-Contents'!AE33,'EEPROM-Contents'!$B$4:'EEPROM-Contents'!$B$141,0)),2)</f>
        <v>00</v>
      </c>
      <c r="AD39" s="79" t="str">
        <f>RIGHT(INDEX('EEPROM-Contents'!$D$4:'EEPROM-Contents'!$D$141,MATCH('EEPROM-Contents'!AF33,'EEPROM-Contents'!$B$4:'EEPROM-Contents'!$B$141,0)),2)</f>
        <v>00</v>
      </c>
      <c r="AF39" s="81" t="str">
        <f t="shared" ca="1" si="3"/>
        <v>000000000000000000000701031773000000000000000000000000</v>
      </c>
    </row>
    <row r="40" spans="2:32" x14ac:dyDescent="0.3">
      <c r="B40" s="85">
        <f>'EEPROM-Contents'!B113</f>
        <v>109</v>
      </c>
      <c r="C40" s="75">
        <f t="shared" si="4"/>
        <v>0</v>
      </c>
      <c r="D40" s="76" t="str">
        <f t="shared" si="5"/>
        <v>00</v>
      </c>
      <c r="E40" s="66" t="str">
        <f>'EEPROM-Contents'!E113</f>
        <v>Voltage Cal</v>
      </c>
      <c r="F40" s="67"/>
      <c r="G40" s="68"/>
      <c r="N40" s="78" t="s">
        <v>372</v>
      </c>
      <c r="O40" s="79" t="str">
        <f>RIGHT(INDEX('EEPROM-Contents'!$D$4:'EEPROM-Contents'!$D$141,MATCH('EEPROM-Contents'!Q34,'EEPROM-Contents'!$B$4:'EEPROM-Contents'!$B$141,0)),2)</f>
        <v>00</v>
      </c>
      <c r="P40" s="84" t="str">
        <f>RIGHT(INDEX($D$9:$D$47,MATCH('EEPROM-Contents'!R34,$B$9:$B$47,0)),2)</f>
        <v>BF</v>
      </c>
      <c r="Q40" s="84" t="str">
        <f>RIGHT(INDEX($D$9:$D$47,MATCH('EEPROM-Contents'!S34,$B$9:$B$47,0)),2)</f>
        <v>64</v>
      </c>
      <c r="R40" s="84" t="str">
        <f>RIGHT(INDEX($D$9:$D$47,MATCH('EEPROM-Contents'!T34,$B$9:$B$47,0)),2)</f>
        <v>64</v>
      </c>
      <c r="S40" s="84" t="str">
        <f ca="1">RIGHT(INDEX($D$9:$D$47,MATCH('EEPROM-Contents'!U34,$B$9:$B$47,0)),2)</f>
        <v>DA</v>
      </c>
      <c r="T40" s="79" t="str">
        <f>RIGHT(INDEX('EEPROM-Contents'!$D$4:'EEPROM-Contents'!$D$141,MATCH('EEPROM-Contents'!V34,'EEPROM-Contents'!$B$4:'EEPROM-Contents'!$B$141,0)),2)</f>
        <v>11</v>
      </c>
      <c r="U40" s="84" t="str">
        <f>RIGHT(INDEX($D$9:$D$47,MATCH('EEPROM-Contents'!W34,$B$9:$B$47,0)),2)</f>
        <v>09</v>
      </c>
      <c r="V40" s="84" t="str">
        <f ca="1">RIGHT(INDEX($D$9:$D$47,MATCH('EEPROM-Contents'!X34,$B$9:$B$47,0)),2)</f>
        <v>07</v>
      </c>
      <c r="W40" s="84" t="str">
        <f ca="1">RIGHT(INDEX($D$9:$D$47,MATCH('EEPROM-Contents'!Y34,$B$9:$B$47,0)),2)</f>
        <v>01</v>
      </c>
      <c r="X40" s="84" t="str">
        <f ca="1">RIGHT(INDEX($D$9:$D$47,MATCH('EEPROM-Contents'!Z34,$B$9:$B$47,0)),2)</f>
        <v>03</v>
      </c>
      <c r="Y40" s="84" t="str">
        <f>RIGHT(INDEX($D$9:$D$47,MATCH('EEPROM-Contents'!AA34,$B$9:$B$47,0)),2)</f>
        <v>17</v>
      </c>
      <c r="Z40" s="84" t="str">
        <f>RIGHT(INDEX($D$9:$D$47,MATCH('EEPROM-Contents'!AB34,$B$9:$B$47,0)),2)</f>
        <v>73</v>
      </c>
      <c r="AA40" s="84" t="str">
        <f>RIGHT(INDEX($D$9:$D$47,MATCH('EEPROM-Contents'!AC34,$B$9:$B$47,0)),2)</f>
        <v>00</v>
      </c>
      <c r="AB40" s="84" t="str">
        <f>RIGHT(INDEX($D$9:$D$47,MATCH('EEPROM-Contents'!AD34,$B$9:$B$47,0)),2)</f>
        <v>00</v>
      </c>
      <c r="AC40" s="84" t="str">
        <f>RIGHT(INDEX($D$9:$D$47,MATCH('EEPROM-Contents'!AE34,$B$9:$B$47,0)),2)</f>
        <v>00</v>
      </c>
      <c r="AD40" s="84" t="str">
        <f>RIGHT(INDEX($D$9:$D$47,MATCH('EEPROM-Contents'!AF34,$B$9:$B$47,0)),2)</f>
        <v>00</v>
      </c>
      <c r="AF40" s="81" t="str">
        <f t="shared" ca="1" si="3"/>
        <v>0000000000000000000000BF6464DA110907010317730000000000</v>
      </c>
    </row>
    <row r="41" spans="2:32" ht="15" thickBot="1" x14ac:dyDescent="0.35">
      <c r="B41" s="85">
        <f>'EEPROM-Contents'!B114</f>
        <v>110</v>
      </c>
      <c r="C41" s="75">
        <f t="shared" si="4"/>
        <v>0</v>
      </c>
      <c r="D41" s="76" t="str">
        <f t="shared" si="5"/>
        <v>00</v>
      </c>
      <c r="E41" s="66" t="str">
        <f>'EEPROM-Contents'!E114</f>
        <v>Voltage Cal</v>
      </c>
      <c r="F41" s="67"/>
      <c r="G41" s="68"/>
      <c r="N41" s="78" t="s">
        <v>373</v>
      </c>
      <c r="O41" s="79" t="str">
        <f>RIGHT(INDEX('EEPROM-Contents'!$D$4:'EEPROM-Contents'!$D$141,MATCH('EEPROM-Contents'!Q35,'EEPROM-Contents'!$B$4:'EEPROM-Contents'!$B$141,0)),2)</f>
        <v>00</v>
      </c>
      <c r="P41" s="79" t="str">
        <f>RIGHT(INDEX('EEPROM-Contents'!$D$4:'EEPROM-Contents'!$D$141,MATCH('EEPROM-Contents'!R35,'EEPROM-Contents'!$B$4:'EEPROM-Contents'!$B$141,0)),2)</f>
        <v>00</v>
      </c>
      <c r="Q41" s="79" t="str">
        <f>RIGHT(INDEX('EEPROM-Contents'!$D$4:'EEPROM-Contents'!$D$141,MATCH('EEPROM-Contents'!S35,'EEPROM-Contents'!$B$4:'EEPROM-Contents'!$B$141,0)),2)</f>
        <v>00</v>
      </c>
      <c r="R41" s="79" t="str">
        <f>RIGHT(INDEX('EEPROM-Contents'!$D$4:'EEPROM-Contents'!$D$141,MATCH('EEPROM-Contents'!T35,'EEPROM-Contents'!$B$4:'EEPROM-Contents'!$B$141,0)),2)</f>
        <v>00</v>
      </c>
      <c r="S41" s="79" t="str">
        <f>RIGHT(INDEX('EEPROM-Contents'!$D$4:'EEPROM-Contents'!$D$141,MATCH('EEPROM-Contents'!U35,'EEPROM-Contents'!$B$4:'EEPROM-Contents'!$B$141,0)),2)</f>
        <v>00</v>
      </c>
      <c r="T41" s="79" t="str">
        <f>RIGHT(INDEX('EEPROM-Contents'!$D$4:'EEPROM-Contents'!$D$141,MATCH('EEPROM-Contents'!V35,'EEPROM-Contents'!$B$4:'EEPROM-Contents'!$B$141,0)),2)</f>
        <v>00</v>
      </c>
      <c r="U41" s="79" t="str">
        <f>RIGHT(INDEX('EEPROM-Contents'!$D$4:'EEPROM-Contents'!$D$141,MATCH('EEPROM-Contents'!W35,'EEPROM-Contents'!$B$4:'EEPROM-Contents'!$B$141,0)),2)</f>
        <v>00</v>
      </c>
      <c r="V41" s="79" t="str">
        <f>RIGHT(INDEX('EEPROM-Contents'!$D$4:'EEPROM-Contents'!$D$141,MATCH('EEPROM-Contents'!X35,'EEPROM-Contents'!$B$4:'EEPROM-Contents'!$B$141,0)),2)</f>
        <v>00</v>
      </c>
      <c r="W41" s="84" t="str">
        <f>RIGHT(INDEX($D$9:$D$47,MATCH('EEPROM-Contents'!Y35,$B$9:$B$47,0)),2)</f>
        <v>BF</v>
      </c>
      <c r="X41" s="84" t="str">
        <f>RIGHT(INDEX($D$9:$D$47,MATCH('EEPROM-Contents'!Z35,$B$9:$B$47,0)),2)</f>
        <v>64</v>
      </c>
      <c r="Y41" s="84" t="str">
        <f>RIGHT(INDEX($D$9:$D$47,MATCH('EEPROM-Contents'!AA35,$B$9:$B$47,0)),2)</f>
        <v>64</v>
      </c>
      <c r="Z41" s="84" t="str">
        <f ca="1">RIGHT(INDEX($D$9:$D$47,MATCH('EEPROM-Contents'!AB35,$B$9:$B$47,0)),2)</f>
        <v>DA</v>
      </c>
      <c r="AA41" s="79" t="str">
        <f>RIGHT(INDEX('EEPROM-Contents'!$D$4:'EEPROM-Contents'!$D$141,MATCH('EEPROM-Contents'!AC35,'EEPROM-Contents'!$B$4:'EEPROM-Contents'!$B$141,0)),2)</f>
        <v>12</v>
      </c>
      <c r="AB41" s="79" t="str">
        <f>RIGHT(INDEX('EEPROM-Contents'!$D$4:'EEPROM-Contents'!$D$141,MATCH('EEPROM-Contents'!AD35,'EEPROM-Contents'!$B$4:'EEPROM-Contents'!$B$141,0)),2)</f>
        <v>00</v>
      </c>
      <c r="AC41" s="79" t="str">
        <f>RIGHT(INDEX('EEPROM-Contents'!$D$4:'EEPROM-Contents'!$D$141,MATCH('EEPROM-Contents'!AE35,'EEPROM-Contents'!$B$4:'EEPROM-Contents'!$B$141,0)),2)</f>
        <v>00</v>
      </c>
      <c r="AD41" s="79" t="str">
        <f>RIGHT(INDEX('EEPROM-Contents'!$D$4:'EEPROM-Contents'!$D$141,MATCH('EEPROM-Contents'!AF35,'EEPROM-Contents'!$B$4:'EEPROM-Contents'!$B$141,0)),2)</f>
        <v>00</v>
      </c>
      <c r="AF41" s="82" t="str">
        <f t="shared" ca="1" si="3"/>
        <v>000000000000000000000000000000000000BF6464DA1200000000</v>
      </c>
    </row>
    <row r="42" spans="2:32" x14ac:dyDescent="0.3">
      <c r="B42" s="85">
        <f>'EEPROM-Contents'!B115</f>
        <v>111</v>
      </c>
      <c r="C42" s="75">
        <f t="shared" si="4"/>
        <v>0</v>
      </c>
      <c r="D42" s="76" t="str">
        <f t="shared" si="5"/>
        <v>00</v>
      </c>
      <c r="E42" s="66" t="str">
        <f>'EEPROM-Contents'!E115</f>
        <v>Voltage Cal</v>
      </c>
      <c r="F42" s="67"/>
      <c r="G42" s="68"/>
    </row>
    <row r="43" spans="2:32" x14ac:dyDescent="0.3">
      <c r="B43" s="85">
        <f>'EEPROM-Contents'!B116</f>
        <v>112</v>
      </c>
      <c r="C43" s="75">
        <f t="shared" si="4"/>
        <v>0</v>
      </c>
      <c r="D43" s="76" t="str">
        <f t="shared" si="5"/>
        <v>00</v>
      </c>
      <c r="E43" s="66" t="str">
        <f>'EEPROM-Contents'!E116</f>
        <v>Voltage Cal</v>
      </c>
      <c r="F43" s="67"/>
      <c r="G43" s="68"/>
    </row>
    <row r="44" spans="2:32" x14ac:dyDescent="0.3">
      <c r="B44" s="85">
        <f>'EEPROM-Contents'!B117</f>
        <v>113</v>
      </c>
      <c r="C44" s="75">
        <f t="shared" si="4"/>
        <v>191</v>
      </c>
      <c r="D44" s="75" t="str">
        <f>F4</f>
        <v>BF</v>
      </c>
      <c r="E44" s="66" t="str">
        <f>'EEPROM-Contents'!E117</f>
        <v>GAINC</v>
      </c>
      <c r="F44" s="67"/>
      <c r="G44" s="68"/>
    </row>
    <row r="45" spans="2:32" x14ac:dyDescent="0.3">
      <c r="B45" s="85">
        <f>'EEPROM-Contents'!B118</f>
        <v>114</v>
      </c>
      <c r="C45" s="75">
        <f t="shared" si="4"/>
        <v>100</v>
      </c>
      <c r="D45" s="75" t="str">
        <f>J5</f>
        <v>64</v>
      </c>
      <c r="E45" s="66" t="str">
        <f>'EEPROM-Contents'!E118</f>
        <v>Cal Factor for CondyleA</v>
      </c>
      <c r="F45" s="67"/>
      <c r="G45" s="68"/>
    </row>
    <row r="46" spans="2:32" x14ac:dyDescent="0.3">
      <c r="B46" s="85">
        <f>'EEPROM-Contents'!B119</f>
        <v>115</v>
      </c>
      <c r="C46" s="75">
        <f t="shared" si="4"/>
        <v>100</v>
      </c>
      <c r="D46" s="75" t="str">
        <f>K5</f>
        <v>64</v>
      </c>
      <c r="E46" s="66" t="str">
        <f>'EEPROM-Contents'!E119</f>
        <v>Cal Factor for CondyleB</v>
      </c>
      <c r="F46" s="67"/>
      <c r="G46" s="68"/>
    </row>
    <row r="47" spans="2:32" x14ac:dyDescent="0.3">
      <c r="B47" s="85">
        <f>'EEPROM-Contents'!B120</f>
        <v>116</v>
      </c>
      <c r="C47" s="75">
        <f ca="1">255-HEX2DEC(RIGHT(DEC2HEX(SUM(C22:C46)),2))</f>
        <v>218</v>
      </c>
      <c r="D47" s="75" t="str">
        <f ca="1">DEC2HEX($C$47,2)</f>
        <v>DA</v>
      </c>
      <c r="E47" s="66" t="str">
        <f>'EEPROM-Contents'!E120</f>
        <v>Checksum</v>
      </c>
      <c r="F47" s="67"/>
      <c r="G47" s="68"/>
    </row>
  </sheetData>
  <mergeCells count="1">
    <mergeCell ref="B2:L2"/>
  </mergeCells>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AF89"/>
  <sheetViews>
    <sheetView workbookViewId="0">
      <selection activeCell="N1" sqref="N1:N1048576"/>
    </sheetView>
  </sheetViews>
  <sheetFormatPr defaultColWidth="8.5546875" defaultRowHeight="14.4" x14ac:dyDescent="0.3"/>
  <cols>
    <col min="1" max="1" width="3" customWidth="1"/>
    <col min="6" max="6" width="9.5546875" bestFit="1" customWidth="1"/>
    <col min="9" max="9" width="10.5546875" bestFit="1" customWidth="1"/>
    <col min="14" max="14" width="13.44140625" customWidth="1"/>
    <col min="15" max="30" width="5.44140625" customWidth="1"/>
    <col min="32" max="32" width="64.44140625" bestFit="1" customWidth="1"/>
  </cols>
  <sheetData>
    <row r="2" spans="2:32" x14ac:dyDescent="0.3">
      <c r="B2" s="437" t="s">
        <v>324</v>
      </c>
      <c r="C2" s="437"/>
      <c r="D2" s="437"/>
      <c r="E2" s="437"/>
      <c r="F2" s="437"/>
      <c r="G2" s="437"/>
      <c r="H2" s="437"/>
      <c r="I2" s="437"/>
      <c r="J2" s="437"/>
      <c r="K2" s="437"/>
      <c r="L2" s="437"/>
    </row>
    <row r="3" spans="2:32" x14ac:dyDescent="0.3">
      <c r="B3" s="61" t="s">
        <v>197</v>
      </c>
      <c r="C3" s="61" t="s">
        <v>296</v>
      </c>
      <c r="D3" s="61" t="s">
        <v>297</v>
      </c>
      <c r="E3" s="61" t="s">
        <v>298</v>
      </c>
      <c r="F3" s="61" t="s">
        <v>73</v>
      </c>
      <c r="G3" s="61" t="s">
        <v>299</v>
      </c>
      <c r="H3" s="61" t="s">
        <v>300</v>
      </c>
      <c r="I3" s="61" t="s">
        <v>301</v>
      </c>
      <c r="J3" s="61" t="s">
        <v>199</v>
      </c>
      <c r="K3" s="61" t="s">
        <v>200</v>
      </c>
      <c r="L3" s="25" t="s">
        <v>182</v>
      </c>
    </row>
    <row r="4" spans="2:32" x14ac:dyDescent="0.3">
      <c r="B4" s="25">
        <f>'1010-Initial'!B4</f>
        <v>6003</v>
      </c>
      <c r="C4" s="25">
        <f>'1010-Initial'!C4</f>
        <v>5</v>
      </c>
      <c r="D4" s="25">
        <f>'1010-Initial'!D4</f>
        <v>0</v>
      </c>
      <c r="E4" s="25">
        <f>'1010-Initial'!E4</f>
        <v>0</v>
      </c>
      <c r="F4" s="25" t="str">
        <f>'1010-Initial'!F4</f>
        <v>BF</v>
      </c>
      <c r="G4" s="25">
        <f>INDEX('FTS-Initialization'!$W$20:$W$32,MATCH(FLOOR($B$4,1000),'FTS-Initialization'!$V$20:$V$32,0))</f>
        <v>84</v>
      </c>
      <c r="H4" s="25" t="str">
        <f>INDEX('FTS-Initialization'!$X$20:$X$32,MATCH(FLOOR($B$4,1000),'FTS-Initialization'!$V$20:$V$32,0))</f>
        <v>TKA</v>
      </c>
      <c r="I4" s="60">
        <f ca="1">TODAY()</f>
        <v>42738</v>
      </c>
      <c r="J4" s="25">
        <f>'FTS-Initialization'!$AA$29</f>
        <v>100</v>
      </c>
      <c r="K4" s="25">
        <f>'FTS-Initialization'!$AA$29</f>
        <v>100</v>
      </c>
      <c r="L4" s="25">
        <v>9</v>
      </c>
    </row>
    <row r="5" spans="2:32" x14ac:dyDescent="0.3">
      <c r="B5" s="71" t="str">
        <f>DEC2HEX(B4,4)</f>
        <v>1773</v>
      </c>
      <c r="C5" s="71" t="str">
        <f>DEC2HEX(C4*2,2)</f>
        <v>0A</v>
      </c>
      <c r="D5" s="71" t="str">
        <f>DEC2HEX(D4,8)</f>
        <v>00000000</v>
      </c>
      <c r="E5" s="71" t="str">
        <f>DEC2HEX(E4,8)</f>
        <v>00000000</v>
      </c>
      <c r="F5" s="72" t="str">
        <f ca="1">DEC2HEX(YEAR($I$4)-2010,2)</f>
        <v>07</v>
      </c>
      <c r="G5" s="71" t="str">
        <f ca="1">DEC2HEX(MONTH($I$4),2)</f>
        <v>01</v>
      </c>
      <c r="H5" s="71" t="str">
        <f ca="1">DEC2HEX(DAY($I$4),2)</f>
        <v>03</v>
      </c>
      <c r="I5" s="71" t="str">
        <f>DEC2HEX('FTS-Initialization'!$AA$31,2)</f>
        <v>00</v>
      </c>
      <c r="J5" s="71" t="str">
        <f t="shared" ref="J5:K5" si="0">DEC2HEX(J4)</f>
        <v>64</v>
      </c>
      <c r="K5" s="71" t="str">
        <f t="shared" si="0"/>
        <v>64</v>
      </c>
      <c r="L5" s="71" t="str">
        <f>DEC2HEX(L4,2)</f>
        <v>09</v>
      </c>
    </row>
    <row r="6" spans="2:32" x14ac:dyDescent="0.3">
      <c r="B6" s="61" t="str">
        <f>B3</f>
        <v>DevType</v>
      </c>
      <c r="C6" s="61" t="str">
        <f t="shared" ref="C6:E6" si="1">C3</f>
        <v>Channel</v>
      </c>
      <c r="D6" s="61" t="str">
        <f t="shared" si="1"/>
        <v>Lot #</v>
      </c>
      <c r="E6" s="61" t="str">
        <f t="shared" si="1"/>
        <v>Serial #</v>
      </c>
      <c r="F6" s="61" t="s">
        <v>185</v>
      </c>
      <c r="G6" s="61" t="s">
        <v>183</v>
      </c>
      <c r="H6" s="61" t="s">
        <v>184</v>
      </c>
      <c r="I6" s="61" t="s">
        <v>323</v>
      </c>
      <c r="J6" s="61" t="s">
        <v>199</v>
      </c>
      <c r="K6" s="61" t="s">
        <v>200</v>
      </c>
      <c r="L6" s="25" t="s">
        <v>322</v>
      </c>
    </row>
    <row r="8" spans="2:32" ht="15" thickBot="1" x14ac:dyDescent="0.35">
      <c r="B8" t="s">
        <v>416</v>
      </c>
      <c r="I8" t="s">
        <v>419</v>
      </c>
      <c r="N8" t="s">
        <v>401</v>
      </c>
      <c r="AF8" t="s">
        <v>402</v>
      </c>
    </row>
    <row r="9" spans="2:32" x14ac:dyDescent="0.3">
      <c r="B9" s="85">
        <f>'EEPROM-Contents'!B33</f>
        <v>29</v>
      </c>
      <c r="C9" s="74">
        <f t="shared" ref="C9:C21" ca="1" si="2">HEX2DEC(D9)</f>
        <v>2</v>
      </c>
      <c r="D9" s="77" t="str">
        <f ca="1">DEC2HEX(OFFSET('FTS-Initialization'!AC37,0,MATCH(H4,'FTS-Initialization'!$AD$36:$AE$36,0)),2)</f>
        <v>02</v>
      </c>
      <c r="E9" s="69" t="str">
        <f>'EEPROM-Contents'!E33</f>
        <v>SEN(0) X</v>
      </c>
      <c r="F9" s="70"/>
      <c r="G9" s="73"/>
      <c r="I9" s="94" t="s">
        <v>193</v>
      </c>
      <c r="J9" s="94" t="s">
        <v>420</v>
      </c>
      <c r="K9" s="94" t="s">
        <v>433</v>
      </c>
      <c r="N9" s="78" t="s">
        <v>325</v>
      </c>
      <c r="O9" s="78" t="s">
        <v>326</v>
      </c>
      <c r="P9" s="78" t="s">
        <v>327</v>
      </c>
      <c r="Q9" s="78" t="s">
        <v>328</v>
      </c>
      <c r="R9" s="78" t="s">
        <v>329</v>
      </c>
      <c r="S9" s="78" t="s">
        <v>330</v>
      </c>
      <c r="T9" s="78" t="s">
        <v>331</v>
      </c>
      <c r="U9" s="78" t="s">
        <v>332</v>
      </c>
      <c r="V9" s="78" t="s">
        <v>333</v>
      </c>
      <c r="W9" s="78" t="s">
        <v>334</v>
      </c>
      <c r="X9" s="78" t="s">
        <v>335</v>
      </c>
      <c r="Y9" s="78" t="s">
        <v>336</v>
      </c>
      <c r="Z9" s="78" t="s">
        <v>337</v>
      </c>
      <c r="AA9" s="78" t="s">
        <v>338</v>
      </c>
      <c r="AB9" s="78" t="s">
        <v>339</v>
      </c>
      <c r="AC9" s="78" t="s">
        <v>340</v>
      </c>
      <c r="AD9" s="78" t="s">
        <v>341</v>
      </c>
      <c r="AF9" s="80" t="s">
        <v>374</v>
      </c>
    </row>
    <row r="10" spans="2:32" x14ac:dyDescent="0.3">
      <c r="B10" s="85">
        <f>'EEPROM-Contents'!B34</f>
        <v>30</v>
      </c>
      <c r="C10" s="74">
        <f t="shared" ca="1" si="2"/>
        <v>2</v>
      </c>
      <c r="D10" s="77" t="str">
        <f ca="1">DEC2HEX(OFFSET('FTS-Initialization'!AC38,0,MATCH($H$4,'FTS-Initialization'!$AD$36:$AE$36,0)),2)</f>
        <v>02</v>
      </c>
      <c r="E10" s="69" t="str">
        <f>'EEPROM-Contents'!E34</f>
        <v>SEN(1) Y</v>
      </c>
      <c r="F10" s="70"/>
      <c r="G10" s="73"/>
      <c r="I10" s="85" t="s">
        <v>345</v>
      </c>
      <c r="J10" s="85">
        <v>3</v>
      </c>
      <c r="K10" s="95">
        <f>J10/$J$24</f>
        <v>0.25</v>
      </c>
      <c r="N10" s="78" t="s">
        <v>326</v>
      </c>
      <c r="O10" s="79" t="str">
        <f>RIGHT(INDEX('EEPROM-Contents'!$D$4:'EEPROM-Contents'!$D$141,MATCH('EEPROM-Contents'!Q4,'EEPROM-Contents'!$B$4:'EEPROM-Contents'!$B$141,0)),2)</f>
        <v>1B</v>
      </c>
      <c r="P10" s="79" t="str">
        <f>RIGHT(INDEX('EEPROM-Contents'!$D$4:'EEPROM-Contents'!$D$141,MATCH('EEPROM-Contents'!R4,'EEPROM-Contents'!$B$4:'EEPROM-Contents'!$B$141,0)),2)</f>
        <v>00</v>
      </c>
      <c r="Q10" s="79" t="str">
        <f>RIGHT(INDEX('EEPROM-Contents'!$D$4:'EEPROM-Contents'!$D$141,MATCH('EEPROM-Contents'!S4,'EEPROM-Contents'!$B$4:'EEPROM-Contents'!$B$141,0)),2)</f>
        <v>00</v>
      </c>
      <c r="R10" s="79" t="str">
        <f>RIGHT(INDEX('EEPROM-Contents'!$D$4:'EEPROM-Contents'!$D$141,MATCH('EEPROM-Contents'!T4,'EEPROM-Contents'!$B$4:'EEPROM-Contents'!$B$141,0)),2)</f>
        <v>00</v>
      </c>
      <c r="S10" s="79" t="str">
        <f>RIGHT(INDEX('EEPROM-Contents'!$D$4:'EEPROM-Contents'!$D$141,MATCH('EEPROM-Contents'!U4,'EEPROM-Contents'!$B$4:'EEPROM-Contents'!$B$141,0)),2)</f>
        <v>00</v>
      </c>
      <c r="T10" s="79" t="str">
        <f>RIGHT(INDEX('EEPROM-Contents'!$D$4:'EEPROM-Contents'!$D$141,MATCH('EEPROM-Contents'!V4,'EEPROM-Contents'!$B$4:'EEPROM-Contents'!$B$141,0)),2)</f>
        <v>00</v>
      </c>
      <c r="U10" s="79" t="str">
        <f>RIGHT(INDEX('EEPROM-Contents'!$D$4:'EEPROM-Contents'!$D$141,MATCH('EEPROM-Contents'!W4,'EEPROM-Contents'!$B$4:'EEPROM-Contents'!$B$141,0)),2)</f>
        <v>00</v>
      </c>
      <c r="V10" s="79" t="str">
        <f>RIGHT(INDEX('EEPROM-Contents'!$D$4:'EEPROM-Contents'!$D$141,MATCH('EEPROM-Contents'!X4,'EEPROM-Contents'!$B$4:'EEPROM-Contents'!$B$141,0)),2)</f>
        <v>00</v>
      </c>
      <c r="W10" s="79" t="str">
        <f>RIGHT(INDEX('EEPROM-Contents'!$D$4:'EEPROM-Contents'!$D$141,MATCH('EEPROM-Contents'!Y4,'EEPROM-Contents'!$B$4:'EEPROM-Contents'!$B$141,0)),2)</f>
        <v>84</v>
      </c>
      <c r="X10" s="79" t="str">
        <f>RIGHT(INDEX('EEPROM-Contents'!$D$4:'EEPROM-Contents'!$D$141,MATCH('EEPROM-Contents'!Z4,'EEPROM-Contents'!$B$4:'EEPROM-Contents'!$B$141,0)),2)</f>
        <v>60</v>
      </c>
      <c r="Y10" s="79" t="str">
        <f>RIGHT(INDEX('EEPROM-Contents'!$D$4:'EEPROM-Contents'!$D$141,MATCH('EEPROM-Contents'!AA4,'EEPROM-Contents'!$B$4:'EEPROM-Contents'!$B$141,0)),2)</f>
        <v>0D</v>
      </c>
      <c r="Z10" s="79" t="str">
        <f>RIGHT(INDEX('EEPROM-Contents'!$D$4:'EEPROM-Contents'!$D$141,MATCH('EEPROM-Contents'!AB4,'EEPROM-Contents'!$B$4:'EEPROM-Contents'!$B$141,0)),2)</f>
        <v>EA</v>
      </c>
      <c r="AA10" s="79" t="str">
        <f>RIGHT(INDEX('EEPROM-Contents'!$D$4:'EEPROM-Contents'!$D$141,MATCH('EEPROM-Contents'!AC4,'EEPROM-Contents'!$B$4:'EEPROM-Contents'!$B$141,0)),2)</f>
        <v>01</v>
      </c>
      <c r="AB10" s="79" t="str">
        <f>RIGHT(INDEX('EEPROM-Contents'!$D$4:'EEPROM-Contents'!$D$141,MATCH('EEPROM-Contents'!AD4,'EEPROM-Contents'!$B$4:'EEPROM-Contents'!$B$141,0)),2)</f>
        <v>00</v>
      </c>
      <c r="AC10" s="79" t="str">
        <f>RIGHT(INDEX('EEPROM-Contents'!$D$4:'EEPROM-Contents'!$D$141,MATCH('EEPROM-Contents'!AE4,'EEPROM-Contents'!$B$4:'EEPROM-Contents'!$B$141,0)),2)</f>
        <v>03</v>
      </c>
      <c r="AD10" s="79" t="str">
        <f>RIGHT(INDEX('EEPROM-Contents'!$D$4:'EEPROM-Contents'!$D$141,MATCH('EEPROM-Contents'!AF4,'EEPROM-Contents'!$B$4:'EEPROM-Contents'!$B$141,0)),2)</f>
        <v>00</v>
      </c>
      <c r="AF10" s="81" t="str">
        <f>CONCATENATE("00000000000000000000",O10,P10,Q10,R10,S10,T10,U10,V10,W10,X10,Y10,Z10,AA10,AB10,AC10,AD10,"00")</f>
        <v>000000000000000000001B0000000000000084600DEA0100030000</v>
      </c>
    </row>
    <row r="11" spans="2:32" x14ac:dyDescent="0.3">
      <c r="B11" s="85">
        <f>'EEPROM-Contents'!B35</f>
        <v>31</v>
      </c>
      <c r="C11" s="74">
        <f t="shared" ca="1" si="2"/>
        <v>4</v>
      </c>
      <c r="D11" s="77" t="str">
        <f ca="1">DEC2HEX(OFFSET('FTS-Initialization'!AC39,0,MATCH($H$4,'FTS-Initialization'!$AD$36:$AE$36,0)),2)</f>
        <v>04</v>
      </c>
      <c r="E11" s="69" t="str">
        <f>'EEPROM-Contents'!E35</f>
        <v>SEN(2) Z</v>
      </c>
      <c r="F11" s="70"/>
      <c r="G11" s="73"/>
      <c r="I11" s="85" t="s">
        <v>421</v>
      </c>
      <c r="J11" s="85">
        <v>4</v>
      </c>
      <c r="K11" s="95">
        <f t="shared" ref="K11:K24" si="3">J11/$J$24</f>
        <v>0.33333333333333331</v>
      </c>
      <c r="N11" s="78" t="s">
        <v>342</v>
      </c>
      <c r="O11" s="84" t="e">
        <f>RIGHT(INDEX($D$9:$D$47,MATCH('EEPROM-Contents'!Q5,$B$9:$B$47,0)),2)</f>
        <v>#NUM!</v>
      </c>
      <c r="P11" s="79" t="str">
        <f>RIGHT(INDEX('EEPROM-Contents'!$D$4:'EEPROM-Contents'!$D$141,MATCH('EEPROM-Contents'!R5,'EEPROM-Contents'!$B$4:'EEPROM-Contents'!$B$141,0)),2)</f>
        <v>00</v>
      </c>
      <c r="Q11" s="79" t="str">
        <f>RIGHT(INDEX('EEPROM-Contents'!$D$4:'EEPROM-Contents'!$D$141,MATCH('EEPROM-Contents'!S5,'EEPROM-Contents'!$B$4:'EEPROM-Contents'!$B$141,0)),2)</f>
        <v>00</v>
      </c>
      <c r="R11" s="79" t="str">
        <f>RIGHT(INDEX('EEPROM-Contents'!$D$4:'EEPROM-Contents'!$D$141,MATCH('EEPROM-Contents'!T5,'EEPROM-Contents'!$B$4:'EEPROM-Contents'!$B$141,0)),2)</f>
        <v>00</v>
      </c>
      <c r="S11" s="79" t="str">
        <f>RIGHT(INDEX('EEPROM-Contents'!$D$4:'EEPROM-Contents'!$D$141,MATCH('EEPROM-Contents'!U5,'EEPROM-Contents'!$B$4:'EEPROM-Contents'!$B$141,0)),2)</f>
        <v>00</v>
      </c>
      <c r="T11" s="79" t="str">
        <f>RIGHT(INDEX('EEPROM-Contents'!$D$4:'EEPROM-Contents'!$D$141,MATCH('EEPROM-Contents'!V5,'EEPROM-Contents'!$B$4:'EEPROM-Contents'!$B$141,0)),2)</f>
        <v>00</v>
      </c>
      <c r="U11" s="79" t="str">
        <f>RIGHT(INDEX('EEPROM-Contents'!$D$4:'EEPROM-Contents'!$D$141,MATCH('EEPROM-Contents'!W5,'EEPROM-Contents'!$B$4:'EEPROM-Contents'!$B$141,0)),2)</f>
        <v>06</v>
      </c>
      <c r="V11" s="79" t="str">
        <f>RIGHT(INDEX('EEPROM-Contents'!$D$4:'EEPROM-Contents'!$D$141,MATCH('EEPROM-Contents'!X5,'EEPROM-Contents'!$B$4:'EEPROM-Contents'!$B$141,0)),2)</f>
        <v>01</v>
      </c>
      <c r="W11" s="79" t="str">
        <f>RIGHT(INDEX('EEPROM-Contents'!$D$4:'EEPROM-Contents'!$D$141,MATCH('EEPROM-Contents'!Y5,'EEPROM-Contents'!$B$4:'EEPROM-Contents'!$B$141,0)),2)</f>
        <v>01</v>
      </c>
      <c r="X11" s="79" t="str">
        <f>RIGHT(INDEX('EEPROM-Contents'!$D$4:'EEPROM-Contents'!$D$141,MATCH('EEPROM-Contents'!Z5,'EEPROM-Contents'!$B$4:'EEPROM-Contents'!$B$141,0)),2)</f>
        <v>02</v>
      </c>
      <c r="Y11" s="79" t="str">
        <f>RIGHT(INDEX('EEPROM-Contents'!$D$4:'EEPROM-Contents'!$D$141,MATCH('EEPROM-Contents'!AA5,'EEPROM-Contents'!$B$4:'EEPROM-Contents'!$B$141,0)),2)</f>
        <v>1F</v>
      </c>
      <c r="Z11" s="79" t="str">
        <f>RIGHT(INDEX('EEPROM-Contents'!$D$4:'EEPROM-Contents'!$D$141,MATCH('EEPROM-Contents'!AB5,'EEPROM-Contents'!$B$4:'EEPROM-Contents'!$B$141,0)),2)</f>
        <v>0C</v>
      </c>
      <c r="AA11" s="79" t="str">
        <f>RIGHT(INDEX('EEPROM-Contents'!$D$4:'EEPROM-Contents'!$D$141,MATCH('EEPROM-Contents'!AC5,'EEPROM-Contents'!$B$4:'EEPROM-Contents'!$B$141,0)),2)</f>
        <v>08</v>
      </c>
      <c r="AB11" s="84" t="str">
        <f ca="1">RIGHT(INDEX($D$9:$D$47,MATCH('EEPROM-Contents'!AD5,$B$9:$B$47,0)),2)</f>
        <v>02</v>
      </c>
      <c r="AC11" s="84" t="str">
        <f ca="1">RIGHT(INDEX($D$9:$D$47,MATCH('EEPROM-Contents'!AE5,$B$9:$B$47,0)),2)</f>
        <v>02</v>
      </c>
      <c r="AD11" s="84" t="str">
        <f ca="1">RIGHT(INDEX($D$9:$D$47,MATCH('EEPROM-Contents'!AF5,$B$9:$B$47,0)),2)</f>
        <v>04</v>
      </c>
      <c r="AF11" s="81" t="e">
        <f t="shared" ref="AF11:AF41" ca="1" si="4">CONCATENATE("00000000000000000000",O11,P11,Q11,R11,S11,T11,U11,V11,W11,X11,Y11,Z11,AA11,AB11,AC11,AD11,"00")</f>
        <v>#NUM!</v>
      </c>
    </row>
    <row r="12" spans="2:32" x14ac:dyDescent="0.3">
      <c r="B12" s="85">
        <f>'EEPROM-Contents'!B36</f>
        <v>32</v>
      </c>
      <c r="C12" s="74">
        <f t="shared" ca="1" si="2"/>
        <v>4</v>
      </c>
      <c r="D12" s="77" t="str">
        <f ca="1">DEC2HEX(OFFSET('FTS-Initialization'!AC40,0,MATCH($H$4,'FTS-Initialization'!$AD$36:$AE$36,0)),2)</f>
        <v>04</v>
      </c>
      <c r="E12" s="69" t="str">
        <f>'EEPROM-Contents'!E36</f>
        <v>SEN(3) SP6B</v>
      </c>
      <c r="F12" s="70"/>
      <c r="G12" s="73"/>
      <c r="I12" s="85" t="s">
        <v>422</v>
      </c>
      <c r="J12" s="85">
        <v>5</v>
      </c>
      <c r="K12" s="95">
        <f t="shared" si="3"/>
        <v>0.41666666666666669</v>
      </c>
      <c r="N12" s="78" t="s">
        <v>343</v>
      </c>
      <c r="O12" s="84" t="str">
        <f ca="1">RIGHT(INDEX($D$9:$D$47,MATCH('EEPROM-Contents'!Q6,$B$9:$B$47,0)),2)</f>
        <v>04</v>
      </c>
      <c r="P12" s="84" t="str">
        <f ca="1">RIGHT(INDEX($D$9:$D$47,MATCH('EEPROM-Contents'!R6,$B$9:$B$47,0)),2)</f>
        <v>04</v>
      </c>
      <c r="Q12" s="84" t="str">
        <f ca="1">RIGHT(INDEX($D$9:$D$47,MATCH('EEPROM-Contents'!S6,$B$9:$B$47,0)),2)</f>
        <v>04</v>
      </c>
      <c r="R12" s="84" t="str">
        <f ca="1">RIGHT(INDEX($D$9:$D$47,MATCH('EEPROM-Contents'!T6,$B$9:$B$47,0)),2)</f>
        <v>04</v>
      </c>
      <c r="S12" s="84" t="str">
        <f ca="1">RIGHT(INDEX($D$9:$D$47,MATCH('EEPROM-Contents'!U6,$B$9:$B$47,0)),2)</f>
        <v>04</v>
      </c>
      <c r="T12" s="84" t="str">
        <f ca="1">RIGHT(INDEX($D$9:$D$47,MATCH('EEPROM-Contents'!V6,$B$9:$B$47,0)),2)</f>
        <v>04</v>
      </c>
      <c r="U12" s="84" t="str">
        <f ca="1">RIGHT(INDEX($D$9:$D$47,MATCH('EEPROM-Contents'!W6,$B$9:$B$47,0)),2)</f>
        <v>04</v>
      </c>
      <c r="V12" s="79" t="str">
        <f>RIGHT(INDEX('EEPROM-Contents'!$D$4:'EEPROM-Contents'!$D$141,MATCH('EEPROM-Contents'!X6,'EEPROM-Contents'!$B$4:'EEPROM-Contents'!$B$141,0)),2)</f>
        <v>03</v>
      </c>
      <c r="W12" s="79" t="str">
        <f>RIGHT(INDEX('EEPROM-Contents'!$D$4:'EEPROM-Contents'!$D$141,MATCH('EEPROM-Contents'!Y6,'EEPROM-Contents'!$B$4:'EEPROM-Contents'!$B$141,0)),2)</f>
        <v>21</v>
      </c>
      <c r="X12" s="79" t="str">
        <f>RIGHT(INDEX('EEPROM-Contents'!$D$4:'EEPROM-Contents'!$D$141,MATCH('EEPROM-Contents'!Z6,'EEPROM-Contents'!$B$4:'EEPROM-Contents'!$B$141,0)),2)</f>
        <v>07</v>
      </c>
      <c r="Y12" s="79" t="str">
        <f>RIGHT(INDEX('EEPROM-Contents'!$D$4:'EEPROM-Contents'!$D$141,MATCH('EEPROM-Contents'!AA6,'EEPROM-Contents'!$B$4:'EEPROM-Contents'!$B$141,0)),2)</f>
        <v>10</v>
      </c>
      <c r="Z12" s="79" t="str">
        <f>RIGHT(INDEX('EEPROM-Contents'!$D$4:'EEPROM-Contents'!$D$141,MATCH('EEPROM-Contents'!AB6,'EEPROM-Contents'!$B$4:'EEPROM-Contents'!$B$141,0)),2)</f>
        <v>02</v>
      </c>
      <c r="AA12" s="79" t="str">
        <f>RIGHT(INDEX('EEPROM-Contents'!$D$4:'EEPROM-Contents'!$D$141,MATCH('EEPROM-Contents'!AC6,'EEPROM-Contents'!$B$4:'EEPROM-Contents'!$B$141,0)),2)</f>
        <v>20</v>
      </c>
      <c r="AB12" s="79" t="str">
        <f>RIGHT(INDEX('EEPROM-Contents'!$D$4:'EEPROM-Contents'!$D$141,MATCH('EEPROM-Contents'!AD6,'EEPROM-Contents'!$B$4:'EEPROM-Contents'!$B$141,0)),2)</f>
        <v>04</v>
      </c>
      <c r="AC12" s="79" t="str">
        <f>RIGHT(INDEX('EEPROM-Contents'!$D$4:'EEPROM-Contents'!$D$141,MATCH('EEPROM-Contents'!AE6,'EEPROM-Contents'!$B$4:'EEPROM-Contents'!$B$141,0)),2)</f>
        <v>40</v>
      </c>
      <c r="AD12" s="84" t="str">
        <f>RIGHT(INDEX($D$9:$D$47,MATCH('EEPROM-Contents'!AF6,$B$9:$B$47,0)),2)</f>
        <v>84</v>
      </c>
      <c r="AF12" s="81" t="str">
        <f t="shared" ca="1" si="4"/>
        <v>000000000000000000000404040404040403210710022004408400</v>
      </c>
    </row>
    <row r="13" spans="2:32" x14ac:dyDescent="0.3">
      <c r="B13" s="85">
        <f>'EEPROM-Contents'!B37</f>
        <v>33</v>
      </c>
      <c r="C13" s="74">
        <f t="shared" ca="1" si="2"/>
        <v>4</v>
      </c>
      <c r="D13" s="77" t="str">
        <f ca="1">DEC2HEX(OFFSET('FTS-Initialization'!AC41,0,MATCH($H$4,'FTS-Initialization'!$AD$36:$AE$36,0)),2)</f>
        <v>04</v>
      </c>
      <c r="E13" s="69" t="str">
        <f>'EEPROM-Contents'!E37</f>
        <v>SEN(4) SP5B</v>
      </c>
      <c r="F13" s="70"/>
      <c r="G13" s="73"/>
      <c r="I13" s="85" t="s">
        <v>423</v>
      </c>
      <c r="J13" s="85">
        <v>6</v>
      </c>
      <c r="K13" s="95">
        <f t="shared" si="3"/>
        <v>0.5</v>
      </c>
      <c r="N13" s="78" t="s">
        <v>344</v>
      </c>
      <c r="O13" s="79" t="str">
        <f>RIGHT(INDEX('EEPROM-Contents'!$D$4:'EEPROM-Contents'!$D$141,MATCH('EEPROM-Contents'!Q7,'EEPROM-Contents'!$B$4:'EEPROM-Contents'!$B$141,0)),2)</f>
        <v>A8</v>
      </c>
      <c r="P13" s="79" t="str">
        <f>RIGHT(INDEX('EEPROM-Contents'!$D$4:'EEPROM-Contents'!$D$141,MATCH('EEPROM-Contents'!R7,'EEPROM-Contents'!$B$4:'EEPROM-Contents'!$B$141,0)),2)</f>
        <v>06</v>
      </c>
      <c r="Q13" s="79" t="str">
        <f>RIGHT(INDEX('EEPROM-Contents'!$D$4:'EEPROM-Contents'!$D$141,MATCH('EEPROM-Contents'!S7,'EEPROM-Contents'!$B$4:'EEPROM-Contents'!$B$141,0)),2)</f>
        <v>2E</v>
      </c>
      <c r="R13" s="79" t="str">
        <f>RIGHT(INDEX('EEPROM-Contents'!$D$4:'EEPROM-Contents'!$D$141,MATCH('EEPROM-Contents'!T7,'EEPROM-Contents'!$B$4:'EEPROM-Contents'!$B$141,0)),2)</f>
        <v>2F</v>
      </c>
      <c r="S13" s="79" t="str">
        <f>RIGHT(INDEX('EEPROM-Contents'!$D$4:'EEPROM-Contents'!$D$141,MATCH('EEPROM-Contents'!U7,'EEPROM-Contents'!$B$4:'EEPROM-Contents'!$B$141,0)),2)</f>
        <v>1B</v>
      </c>
      <c r="T13" s="79" t="str">
        <f>RIGHT(INDEX('EEPROM-Contents'!$D$4:'EEPROM-Contents'!$D$141,MATCH('EEPROM-Contents'!V7,'EEPROM-Contents'!$B$4:'EEPROM-Contents'!$B$141,0)),2)</f>
        <v>D3</v>
      </c>
      <c r="U13" s="79" t="str">
        <f>RIGHT(INDEX('EEPROM-Contents'!$D$4:'EEPROM-Contents'!$D$141,MATCH('EEPROM-Contents'!W7,'EEPROM-Contents'!$B$4:'EEPROM-Contents'!$B$141,0)),2)</f>
        <v>91</v>
      </c>
      <c r="V13" s="79" t="str">
        <f>RIGHT(INDEX('EEPROM-Contents'!$D$4:'EEPROM-Contents'!$D$141,MATCH('EEPROM-Contents'!X7,'EEPROM-Contents'!$B$4:'EEPROM-Contents'!$B$141,0)),2)</f>
        <v>1B</v>
      </c>
      <c r="W13" s="79" t="str">
        <f>RIGHT(INDEX('EEPROM-Contents'!$D$4:'EEPROM-Contents'!$D$141,MATCH('EEPROM-Contents'!Y7,'EEPROM-Contents'!$B$4:'EEPROM-Contents'!$B$141,0)),2)</f>
        <v>08</v>
      </c>
      <c r="X13" s="79" t="str">
        <f>RIGHT(INDEX('EEPROM-Contents'!$D$4:'EEPROM-Contents'!$D$141,MATCH('EEPROM-Contents'!Z7,'EEPROM-Contents'!$B$4:'EEPROM-Contents'!$B$141,0)),2)</f>
        <v>44</v>
      </c>
      <c r="Y13" s="79" t="str">
        <f>RIGHT(INDEX('EEPROM-Contents'!$D$4:'EEPROM-Contents'!$D$141,MATCH('EEPROM-Contents'!AA7,'EEPROM-Contents'!$B$4:'EEPROM-Contents'!$B$141,0)),2)</f>
        <v>00</v>
      </c>
      <c r="Z13" s="84" t="str">
        <f>RIGHT(INDEX($D$9:$D$47,MATCH('EEPROM-Contents'!AB7,$B$9:$B$47,0)),2)</f>
        <v>0A</v>
      </c>
      <c r="AA13" s="79" t="str">
        <f>RIGHT(INDEX('EEPROM-Contents'!$D$4:'EEPROM-Contents'!$D$141,MATCH('EEPROM-Contents'!AC7,'EEPROM-Contents'!$B$4:'EEPROM-Contents'!$B$141,0)),2)</f>
        <v>0F</v>
      </c>
      <c r="AB13" s="79" t="str">
        <f>RIGHT(INDEX('EEPROM-Contents'!$D$4:'EEPROM-Contents'!$D$141,MATCH('EEPROM-Contents'!AD7,'EEPROM-Contents'!$B$4:'EEPROM-Contents'!$B$141,0)),2)</f>
        <v>00</v>
      </c>
      <c r="AC13" s="79" t="str">
        <f>RIGHT(INDEX('EEPROM-Contents'!$D$4:'EEPROM-Contents'!$D$141,MATCH('EEPROM-Contents'!AE7,'EEPROM-Contents'!$B$4:'EEPROM-Contents'!$B$141,0)),2)</f>
        <v>0F</v>
      </c>
      <c r="AD13" s="79" t="str">
        <f>RIGHT(INDEX('EEPROM-Contents'!$D$4:'EEPROM-Contents'!$D$141,MATCH('EEPROM-Contents'!AF7,'EEPROM-Contents'!$B$4:'EEPROM-Contents'!$B$141,0)),2)</f>
        <v>6C</v>
      </c>
      <c r="AF13" s="81" t="str">
        <f t="shared" si="4"/>
        <v>00000000000000000000A8062E2F1BD3911B0844000A0F000F6C00</v>
      </c>
    </row>
    <row r="14" spans="2:32" x14ac:dyDescent="0.3">
      <c r="B14" s="85">
        <f>'EEPROM-Contents'!B38</f>
        <v>34</v>
      </c>
      <c r="C14" s="74">
        <f t="shared" ca="1" si="2"/>
        <v>4</v>
      </c>
      <c r="D14" s="77" t="str">
        <f ca="1">DEC2HEX(OFFSET('FTS-Initialization'!AC42,0,MATCH($H$4,'FTS-Initialization'!$AD$36:$AE$36,0)),2)</f>
        <v>04</v>
      </c>
      <c r="E14" s="69" t="str">
        <f>'EEPROM-Contents'!E38</f>
        <v>SEN(5) SP4B</v>
      </c>
      <c r="F14" s="70"/>
      <c r="G14" s="73"/>
      <c r="I14" s="85" t="s">
        <v>424</v>
      </c>
      <c r="J14" s="85">
        <v>7</v>
      </c>
      <c r="K14" s="95">
        <f t="shared" si="3"/>
        <v>0.58333333333333337</v>
      </c>
      <c r="N14" s="78" t="s">
        <v>346</v>
      </c>
      <c r="O14" s="79" t="str">
        <f>RIGHT(INDEX('EEPROM-Contents'!$D$4:'EEPROM-Contents'!$D$141,MATCH('EEPROM-Contents'!Q8,'EEPROM-Contents'!$B$4:'EEPROM-Contents'!$B$141,0)),2)</f>
        <v>CC</v>
      </c>
      <c r="P14" s="79" t="str">
        <f>RIGHT(INDEX('EEPROM-Contents'!$D$4:'EEPROM-Contents'!$D$141,MATCH('EEPROM-Contents'!R8,'EEPROM-Contents'!$B$4:'EEPROM-Contents'!$B$141,0)),2)</f>
        <v>5B</v>
      </c>
      <c r="Q14" s="79" t="str">
        <f>RIGHT(INDEX('EEPROM-Contents'!$D$4:'EEPROM-Contents'!$D$141,MATCH('EEPROM-Contents'!S8,'EEPROM-Contents'!$B$4:'EEPROM-Contents'!$B$141,0)),2)</f>
        <v>F8</v>
      </c>
      <c r="R14" s="79" t="str">
        <f>RIGHT(INDEX('EEPROM-Contents'!$D$4:'EEPROM-Contents'!$D$141,MATCH('EEPROM-Contents'!T8,'EEPROM-Contents'!$B$4:'EEPROM-Contents'!$B$141,0)),2)</f>
        <v>17</v>
      </c>
      <c r="S14" s="79" t="str">
        <f>RIGHT(INDEX('EEPROM-Contents'!$D$4:'EEPROM-Contents'!$D$141,MATCH('EEPROM-Contents'!U8,'EEPROM-Contents'!$B$4:'EEPROM-Contents'!$B$141,0)),2)</f>
        <v>23</v>
      </c>
      <c r="T14" s="79" t="str">
        <f>RIGHT(INDEX('EEPROM-Contents'!$D$4:'EEPROM-Contents'!$D$141,MATCH('EEPROM-Contents'!V8,'EEPROM-Contents'!$B$4:'EEPROM-Contents'!$B$141,0)),2)</f>
        <v>9A</v>
      </c>
      <c r="U14" s="79" t="str">
        <f>RIGHT(INDEX('EEPROM-Contents'!$D$4:'EEPROM-Contents'!$D$141,MATCH('EEPROM-Contents'!W8,'EEPROM-Contents'!$B$4:'EEPROM-Contents'!$B$141,0)),2)</f>
        <v>47</v>
      </c>
      <c r="V14" s="79" t="str">
        <f>RIGHT(INDEX('EEPROM-Contents'!$D$4:'EEPROM-Contents'!$D$141,MATCH('EEPROM-Contents'!X8,'EEPROM-Contents'!$B$4:'EEPROM-Contents'!$B$141,0)),2)</f>
        <v>00</v>
      </c>
      <c r="W14" s="79" t="str">
        <f>RIGHT(INDEX('EEPROM-Contents'!$D$4:'EEPROM-Contents'!$D$141,MATCH('EEPROM-Contents'!Y8,'EEPROM-Contents'!$B$4:'EEPROM-Contents'!$B$141,0)),2)</f>
        <v>30</v>
      </c>
      <c r="X14" s="79" t="str">
        <f>RIGHT(INDEX('EEPROM-Contents'!$D$4:'EEPROM-Contents'!$D$141,MATCH('EEPROM-Contents'!Z8,'EEPROM-Contents'!$B$4:'EEPROM-Contents'!$B$141,0)),2)</f>
        <v>18</v>
      </c>
      <c r="Y14" s="79" t="str">
        <f>RIGHT(INDEX('EEPROM-Contents'!$D$4:'EEPROM-Contents'!$D$141,MATCH('EEPROM-Contents'!AA8,'EEPROM-Contents'!$B$4:'EEPROM-Contents'!$B$141,0)),2)</f>
        <v>16</v>
      </c>
      <c r="Z14" s="79" t="str">
        <f>RIGHT(INDEX('EEPROM-Contents'!$D$4:'EEPROM-Contents'!$D$141,MATCH('EEPROM-Contents'!AB8,'EEPROM-Contents'!$B$4:'EEPROM-Contents'!$B$141,0)),2)</f>
        <v>6C</v>
      </c>
      <c r="AA14" s="79" t="str">
        <f>RIGHT(INDEX('EEPROM-Contents'!$D$4:'EEPROM-Contents'!$D$141,MATCH('EEPROM-Contents'!AC8,'EEPROM-Contents'!$B$4:'EEPROM-Contents'!$B$141,0)),2)</f>
        <v>03</v>
      </c>
      <c r="AB14" s="79" t="str">
        <f>RIGHT(INDEX('EEPROM-Contents'!$D$4:'EEPROM-Contents'!$D$141,MATCH('EEPROM-Contents'!AD8,'EEPROM-Contents'!$B$4:'EEPROM-Contents'!$B$141,0)),2)</f>
        <v>40</v>
      </c>
      <c r="AC14" s="79" t="str">
        <f>RIGHT(INDEX('EEPROM-Contents'!$D$4:'EEPROM-Contents'!$D$141,MATCH('EEPROM-Contents'!AE8,'EEPROM-Contents'!$B$4:'EEPROM-Contents'!$B$141,0)),2)</f>
        <v>91</v>
      </c>
      <c r="AD14" s="79" t="str">
        <f>RIGHT(INDEX('EEPROM-Contents'!$D$4:'EEPROM-Contents'!$D$141,MATCH('EEPROM-Contents'!AF8,'EEPROM-Contents'!$B$4:'EEPROM-Contents'!$B$141,0)),2)</f>
        <v>00</v>
      </c>
      <c r="AF14" s="81" t="str">
        <f t="shared" si="4"/>
        <v>00000000000000000000CC5BF817239A47003018166C0340910000</v>
      </c>
    </row>
    <row r="15" spans="2:32" x14ac:dyDescent="0.3">
      <c r="B15" s="85">
        <f>'EEPROM-Contents'!B39</f>
        <v>35</v>
      </c>
      <c r="C15" s="74">
        <f t="shared" ca="1" si="2"/>
        <v>4</v>
      </c>
      <c r="D15" s="77" t="str">
        <f ca="1">DEC2HEX(OFFSET('FTS-Initialization'!AC43,0,MATCH($H$4,'FTS-Initialization'!$AD$36:$AE$36,0)),2)</f>
        <v>04</v>
      </c>
      <c r="E15" s="69" t="str">
        <f>'EEPROM-Contents'!E39</f>
        <v>SEN(6) SP3B</v>
      </c>
      <c r="F15" s="70"/>
      <c r="G15" s="73"/>
      <c r="I15" s="85" t="s">
        <v>425</v>
      </c>
      <c r="J15" s="85">
        <v>8</v>
      </c>
      <c r="K15" s="95">
        <f t="shared" si="3"/>
        <v>0.66666666666666663</v>
      </c>
      <c r="N15" s="78" t="s">
        <v>347</v>
      </c>
      <c r="O15" s="79" t="str">
        <f>RIGHT(INDEX('EEPROM-Contents'!$D$4:'EEPROM-Contents'!$D$141,MATCH('EEPROM-Contents'!Q9,'EEPROM-Contents'!$B$4:'EEPROM-Contents'!$B$141,0)),2)</f>
        <v>C0</v>
      </c>
      <c r="P15" s="79" t="str">
        <f>RIGHT(INDEX('EEPROM-Contents'!$D$4:'EEPROM-Contents'!$D$141,MATCH('EEPROM-Contents'!R9,'EEPROM-Contents'!$B$4:'EEPROM-Contents'!$B$141,0)),2)</f>
        <v>78</v>
      </c>
      <c r="Q15" s="79" t="str">
        <f>RIGHT(INDEX('EEPROM-Contents'!$D$4:'EEPROM-Contents'!$D$141,MATCH('EEPROM-Contents'!S9,'EEPROM-Contents'!$B$4:'EEPROM-Contents'!$B$141,0)),2)</f>
        <v>56</v>
      </c>
      <c r="R15" s="79" t="str">
        <f>RIGHT(INDEX('EEPROM-Contents'!$D$4:'EEPROM-Contents'!$D$141,MATCH('EEPROM-Contents'!T9,'EEPROM-Contents'!$B$4:'EEPROM-Contents'!$B$141,0)),2)</f>
        <v>10</v>
      </c>
      <c r="S15" s="79" t="str">
        <f>RIGHT(INDEX('EEPROM-Contents'!$D$4:'EEPROM-Contents'!$D$141,MATCH('EEPROM-Contents'!U9,'EEPROM-Contents'!$B$4:'EEPROM-Contents'!$B$141,0)),2)</f>
        <v>EA</v>
      </c>
      <c r="T15" s="79" t="str">
        <f>RIGHT(INDEX('EEPROM-Contents'!$D$4:'EEPROM-Contents'!$D$141,MATCH('EEPROM-Contents'!V9,'EEPROM-Contents'!$B$4:'EEPROM-Contents'!$B$141,0)),2)</f>
        <v>2A</v>
      </c>
      <c r="U15" s="79" t="str">
        <f>RIGHT(INDEX('EEPROM-Contents'!$D$4:'EEPROM-Contents'!$D$141,MATCH('EEPROM-Contents'!W9,'EEPROM-Contents'!$B$4:'EEPROM-Contents'!$B$141,0)),2)</f>
        <v>00</v>
      </c>
      <c r="V15" s="79" t="str">
        <f>RIGHT(INDEX('EEPROM-Contents'!$D$4:'EEPROM-Contents'!$D$141,MATCH('EEPROM-Contents'!X9,'EEPROM-Contents'!$B$4:'EEPROM-Contents'!$B$141,0)),2)</f>
        <v>1F</v>
      </c>
      <c r="W15" s="79" t="str">
        <f>RIGHT(INDEX('EEPROM-Contents'!$D$4:'EEPROM-Contents'!$D$141,MATCH('EEPROM-Contents'!Y9,'EEPROM-Contents'!$B$4:'EEPROM-Contents'!$B$141,0)),2)</f>
        <v>41</v>
      </c>
      <c r="X15" s="79" t="str">
        <f>RIGHT(INDEX('EEPROM-Contents'!$D$4:'EEPROM-Contents'!$D$141,MATCH('EEPROM-Contents'!Z9,'EEPROM-Contents'!$B$4:'EEPROM-Contents'!$B$141,0)),2)</f>
        <v>00</v>
      </c>
      <c r="Y15" s="79" t="str">
        <f>RIGHT(INDEX('EEPROM-Contents'!$D$4:'EEPROM-Contents'!$D$141,MATCH('EEPROM-Contents'!AA9,'EEPROM-Contents'!$B$4:'EEPROM-Contents'!$B$141,0)),2)</f>
        <v>00</v>
      </c>
      <c r="Z15" s="84" t="str">
        <f>RIGHT(INDEX($D$9:$D$47,MATCH('EEPROM-Contents'!AB9,$B$9:$B$47,0)),2)</f>
        <v>00</v>
      </c>
      <c r="AA15" s="84" t="str">
        <f>RIGHT(INDEX($D$9:$D$47,MATCH('EEPROM-Contents'!AC9,$B$9:$B$47,0)),2)</f>
        <v>00</v>
      </c>
      <c r="AB15" s="84" t="str">
        <f>RIGHT(INDEX($D$9:$D$47,MATCH('EEPROM-Contents'!AD9,$B$9:$B$47,0)),2)</f>
        <v>00</v>
      </c>
      <c r="AC15" s="84" t="str">
        <f>RIGHT(INDEX($D$9:$D$47,MATCH('EEPROM-Contents'!AE9,$B$9:$B$47,0)),2)</f>
        <v>00</v>
      </c>
      <c r="AD15" s="84" t="str">
        <f>RIGHT(INDEX($D$9:$D$47,MATCH('EEPROM-Contents'!AF9,$B$9:$B$47,0)),2)</f>
        <v>09</v>
      </c>
      <c r="AF15" s="81" t="str">
        <f t="shared" si="4"/>
        <v>00000000000000000000C0785610EA2A001F410000000000000900</v>
      </c>
    </row>
    <row r="16" spans="2:32" x14ac:dyDescent="0.3">
      <c r="B16" s="85">
        <f>'EEPROM-Contents'!B40</f>
        <v>36</v>
      </c>
      <c r="C16" s="74">
        <f t="shared" ca="1" si="2"/>
        <v>4</v>
      </c>
      <c r="D16" s="77" t="str">
        <f ca="1">DEC2HEX(OFFSET('FTS-Initialization'!AC44,0,MATCH($H$4,'FTS-Initialization'!$AD$36:$AE$36,0)),2)</f>
        <v>04</v>
      </c>
      <c r="E16" s="69" t="str">
        <f>'EEPROM-Contents'!E40</f>
        <v>SEN(7) SP2B</v>
      </c>
      <c r="F16" s="70"/>
      <c r="G16" s="73"/>
      <c r="I16" s="85" t="s">
        <v>426</v>
      </c>
      <c r="J16" s="85">
        <v>9</v>
      </c>
      <c r="K16" s="95">
        <f t="shared" si="3"/>
        <v>0.75</v>
      </c>
      <c r="N16" s="78" t="s">
        <v>348</v>
      </c>
      <c r="O16" s="84" t="str">
        <f ca="1">RIGHT(INDEX($D$9:$D$47,MATCH('EEPROM-Contents'!Q10,$B$9:$B$47,0)),2)</f>
        <v>07</v>
      </c>
      <c r="P16" s="84" t="str">
        <f ca="1">RIGHT(INDEX($D$9:$D$47,MATCH('EEPROM-Contents'!R10,$B$9:$B$47,0)),2)</f>
        <v>01</v>
      </c>
      <c r="Q16" s="84" t="str">
        <f ca="1">RIGHT(INDEX($D$9:$D$47,MATCH('EEPROM-Contents'!S10,$B$9:$B$47,0)),2)</f>
        <v>03</v>
      </c>
      <c r="R16" s="84" t="str">
        <f>RIGHT(INDEX($D$9:$D$47,MATCH('EEPROM-Contents'!T10,$B$9:$B$47,0)),2)</f>
        <v>17</v>
      </c>
      <c r="S16" s="84" t="str">
        <f>RIGHT(INDEX($D$9:$D$47,MATCH('EEPROM-Contents'!U10,$B$9:$B$47,0)),2)</f>
        <v>73</v>
      </c>
      <c r="T16" s="84" t="str">
        <f>RIGHT(INDEX($D$9:$D$47,MATCH('EEPROM-Contents'!V10,$B$9:$B$47,0)),2)</f>
        <v>00</v>
      </c>
      <c r="U16" s="84" t="str">
        <f>RIGHT(INDEX($D$9:$D$47,MATCH('EEPROM-Contents'!W10,$B$9:$B$47,0)),2)</f>
        <v>00</v>
      </c>
      <c r="V16" s="84" t="str">
        <f>RIGHT(INDEX($D$9:$D$47,MATCH('EEPROM-Contents'!X10,$B$9:$B$47,0)),2)</f>
        <v>00</v>
      </c>
      <c r="W16" s="84" t="str">
        <f>RIGHT(INDEX($D$9:$D$47,MATCH('EEPROM-Contents'!Y10,$B$9:$B$47,0)),2)</f>
        <v>00</v>
      </c>
      <c r="X16" s="79" t="str">
        <f>RIGHT(INDEX('EEPROM-Contents'!$D$4:'EEPROM-Contents'!$D$141,MATCH('EEPROM-Contents'!Z10,'EEPROM-Contents'!$B$4:'EEPROM-Contents'!$B$141,0)),2)</f>
        <v>00</v>
      </c>
      <c r="Y16" s="79" t="str">
        <f>RIGHT(INDEX('EEPROM-Contents'!$D$4:'EEPROM-Contents'!$D$141,MATCH('EEPROM-Contents'!AA10,'EEPROM-Contents'!$B$4:'EEPROM-Contents'!$B$141,0)),2)</f>
        <v>00</v>
      </c>
      <c r="Z16" s="79" t="str">
        <f>RIGHT(INDEX('EEPROM-Contents'!$D$4:'EEPROM-Contents'!$D$141,MATCH('EEPROM-Contents'!AB10,'EEPROM-Contents'!$B$4:'EEPROM-Contents'!$B$141,0)),2)</f>
        <v>00</v>
      </c>
      <c r="AA16" s="79" t="str">
        <f>RIGHT(INDEX('EEPROM-Contents'!$D$4:'EEPROM-Contents'!$D$141,MATCH('EEPROM-Contents'!AC10,'EEPROM-Contents'!$B$4:'EEPROM-Contents'!$B$141,0)),2)</f>
        <v>00</v>
      </c>
      <c r="AB16" s="79" t="str">
        <f>RIGHT(INDEX('EEPROM-Contents'!$D$4:'EEPROM-Contents'!$D$141,MATCH('EEPROM-Contents'!AD10,'EEPROM-Contents'!$B$4:'EEPROM-Contents'!$B$141,0)),2)</f>
        <v>00</v>
      </c>
      <c r="AC16" s="79" t="str">
        <f>RIGHT(INDEX('EEPROM-Contents'!$D$4:'EEPROM-Contents'!$D$141,MATCH('EEPROM-Contents'!AE10,'EEPROM-Contents'!$B$4:'EEPROM-Contents'!$B$141,0)),2)</f>
        <v>00</v>
      </c>
      <c r="AD16" s="79" t="str">
        <f>RIGHT(INDEX('EEPROM-Contents'!$D$4:'EEPROM-Contents'!$D$141,MATCH('EEPROM-Contents'!AF10,'EEPROM-Contents'!$B$4:'EEPROM-Contents'!$B$141,0)),2)</f>
        <v>00</v>
      </c>
      <c r="AF16" s="81" t="str">
        <f t="shared" ca="1" si="4"/>
        <v>000000000000000000000701031773000000000000000000000000</v>
      </c>
    </row>
    <row r="17" spans="2:32" x14ac:dyDescent="0.3">
      <c r="B17" s="85">
        <f>'EEPROM-Contents'!B41</f>
        <v>37</v>
      </c>
      <c r="C17" s="74">
        <f t="shared" ca="1" si="2"/>
        <v>4</v>
      </c>
      <c r="D17" s="77" t="str">
        <f ca="1">DEC2HEX(OFFSET('FTS-Initialization'!AC45,0,MATCH($H$4,'FTS-Initialization'!$AD$36:$AE$36,0)),2)</f>
        <v>04</v>
      </c>
      <c r="E17" s="69" t="str">
        <f>'EEPROM-Contents'!E41</f>
        <v>SEN(8) SP1B</v>
      </c>
      <c r="F17" s="70"/>
      <c r="G17" s="73"/>
      <c r="I17" s="85" t="s">
        <v>427</v>
      </c>
      <c r="J17" s="85">
        <v>10</v>
      </c>
      <c r="K17" s="95">
        <f t="shared" si="3"/>
        <v>0.83333333333333337</v>
      </c>
      <c r="N17" s="78" t="s">
        <v>349</v>
      </c>
      <c r="O17" s="79" t="str">
        <f>RIGHT(INDEX('EEPROM-Contents'!$D$4:'EEPROM-Contents'!$D$141,MATCH('EEPROM-Contents'!Q11,'EEPROM-Contents'!$B$4:'EEPROM-Contents'!$B$141,0)),2)</f>
        <v>00</v>
      </c>
      <c r="P17" s="84" t="e">
        <f>RIGHT(INDEX($D$9:$D$47,MATCH('EEPROM-Contents'!R11,$B$9:$B$47,0)),2)</f>
        <v>#NUM!</v>
      </c>
      <c r="Q17" s="84" t="str">
        <f>RIGHT(INDEX($D$9:$D$47,MATCH('EEPROM-Contents'!S11,$B$9:$B$47,0)),2)</f>
        <v>64</v>
      </c>
      <c r="R17" s="84" t="str">
        <f>RIGHT(INDEX($D$9:$D$47,MATCH('EEPROM-Contents'!T11,$B$9:$B$47,0)),2)</f>
        <v>64</v>
      </c>
      <c r="S17" s="84" t="e">
        <f ca="1">RIGHT(INDEX($D$9:$D$47,MATCH('EEPROM-Contents'!U11,$B$9:$B$47,0)),2)</f>
        <v>#NUM!</v>
      </c>
      <c r="T17" s="79" t="str">
        <f>RIGHT(INDEX('EEPROM-Contents'!$D$4:'EEPROM-Contents'!$D$141,MATCH('EEPROM-Contents'!V11,'EEPROM-Contents'!$B$4:'EEPROM-Contents'!$B$141,0)),2)</f>
        <v>01</v>
      </c>
      <c r="U17" s="84" t="str">
        <f>RIGHT(INDEX($D$9:$D$47,MATCH('EEPROM-Contents'!W11,$B$9:$B$47,0)),2)</f>
        <v>09</v>
      </c>
      <c r="V17" s="84" t="str">
        <f ca="1">RIGHT(INDEX($D$9:$D$47,MATCH('EEPROM-Contents'!X11,$B$9:$B$47,0)),2)</f>
        <v>07</v>
      </c>
      <c r="W17" s="84" t="str">
        <f ca="1">RIGHT(INDEX($D$9:$D$47,MATCH('EEPROM-Contents'!Y11,$B$9:$B$47,0)),2)</f>
        <v>01</v>
      </c>
      <c r="X17" s="84" t="str">
        <f ca="1">RIGHT(INDEX($D$9:$D$47,MATCH('EEPROM-Contents'!Z11,$B$9:$B$47,0)),2)</f>
        <v>03</v>
      </c>
      <c r="Y17" s="84" t="str">
        <f>RIGHT(INDEX($D$9:$D$47,MATCH('EEPROM-Contents'!AA11,$B$9:$B$47,0)),2)</f>
        <v>17</v>
      </c>
      <c r="Z17" s="84" t="str">
        <f>RIGHT(INDEX($D$9:$D$47,MATCH('EEPROM-Contents'!AB11,$B$9:$B$47,0)),2)</f>
        <v>73</v>
      </c>
      <c r="AA17" s="84" t="str">
        <f>RIGHT(INDEX($D$9:$D$47,MATCH('EEPROM-Contents'!AC11,$B$9:$B$47,0)),2)</f>
        <v>00</v>
      </c>
      <c r="AB17" s="84" t="str">
        <f>RIGHT(INDEX($D$9:$D$47,MATCH('EEPROM-Contents'!AD11,$B$9:$B$47,0)),2)</f>
        <v>00</v>
      </c>
      <c r="AC17" s="84" t="str">
        <f>RIGHT(INDEX($D$9:$D$47,MATCH('EEPROM-Contents'!AE11,$B$9:$B$47,0)),2)</f>
        <v>00</v>
      </c>
      <c r="AD17" s="84" t="str">
        <f>RIGHT(INDEX($D$9:$D$47,MATCH('EEPROM-Contents'!AF11,$B$9:$B$47,0)),2)</f>
        <v>00</v>
      </c>
      <c r="AF17" s="81" t="e">
        <f t="shared" ca="1" si="4"/>
        <v>#NUM!</v>
      </c>
    </row>
    <row r="18" spans="2:32" x14ac:dyDescent="0.3">
      <c r="B18" s="85">
        <f>'EEPROM-Contents'!B42</f>
        <v>38</v>
      </c>
      <c r="C18" s="74">
        <f t="shared" ca="1" si="2"/>
        <v>4</v>
      </c>
      <c r="D18" s="77" t="str">
        <f ca="1">DEC2HEX(OFFSET('FTS-Initialization'!AC46,0,MATCH($H$4,'FTS-Initialization'!$AD$36:$AE$36,0)),2)</f>
        <v>04</v>
      </c>
      <c r="E18" s="69" t="str">
        <f>'EEPROM-Contents'!E42</f>
        <v>SEN(9) CP1B</v>
      </c>
      <c r="F18" s="70"/>
      <c r="G18" s="73"/>
      <c r="I18" s="85" t="s">
        <v>428</v>
      </c>
      <c r="J18" s="85">
        <v>11</v>
      </c>
      <c r="K18" s="95">
        <f t="shared" si="3"/>
        <v>0.91666666666666663</v>
      </c>
      <c r="N18" s="78" t="s">
        <v>350</v>
      </c>
      <c r="O18" s="79" t="str">
        <f>RIGHT(INDEX('EEPROM-Contents'!$D$4:'EEPROM-Contents'!$D$141,MATCH('EEPROM-Contents'!Q12,'EEPROM-Contents'!$B$4:'EEPROM-Contents'!$B$141,0)),2)</f>
        <v>00</v>
      </c>
      <c r="P18" s="79" t="str">
        <f>RIGHT(INDEX('EEPROM-Contents'!$D$4:'EEPROM-Contents'!$D$141,MATCH('EEPROM-Contents'!R12,'EEPROM-Contents'!$B$4:'EEPROM-Contents'!$B$141,0)),2)</f>
        <v>00</v>
      </c>
      <c r="Q18" s="79" t="str">
        <f>RIGHT(INDEX('EEPROM-Contents'!$D$4:'EEPROM-Contents'!$D$141,MATCH('EEPROM-Contents'!S12,'EEPROM-Contents'!$B$4:'EEPROM-Contents'!$B$141,0)),2)</f>
        <v>00</v>
      </c>
      <c r="R18" s="79" t="str">
        <f>RIGHT(INDEX('EEPROM-Contents'!$D$4:'EEPROM-Contents'!$D$141,MATCH('EEPROM-Contents'!T12,'EEPROM-Contents'!$B$4:'EEPROM-Contents'!$B$141,0)),2)</f>
        <v>00</v>
      </c>
      <c r="S18" s="79" t="str">
        <f>RIGHT(INDEX('EEPROM-Contents'!$D$4:'EEPROM-Contents'!$D$141,MATCH('EEPROM-Contents'!U12,'EEPROM-Contents'!$B$4:'EEPROM-Contents'!$B$141,0)),2)</f>
        <v>00</v>
      </c>
      <c r="T18" s="79" t="str">
        <f>RIGHT(INDEX('EEPROM-Contents'!$D$4:'EEPROM-Contents'!$D$141,MATCH('EEPROM-Contents'!V12,'EEPROM-Contents'!$B$4:'EEPROM-Contents'!$B$141,0)),2)</f>
        <v>00</v>
      </c>
      <c r="U18" s="79" t="str">
        <f>RIGHT(INDEX('EEPROM-Contents'!$D$4:'EEPROM-Contents'!$D$141,MATCH('EEPROM-Contents'!W12,'EEPROM-Contents'!$B$4:'EEPROM-Contents'!$B$141,0)),2)</f>
        <v>00</v>
      </c>
      <c r="V18" s="79" t="str">
        <f>RIGHT(INDEX('EEPROM-Contents'!$D$4:'EEPROM-Contents'!$D$141,MATCH('EEPROM-Contents'!X12,'EEPROM-Contents'!$B$4:'EEPROM-Contents'!$B$141,0)),2)</f>
        <v>00</v>
      </c>
      <c r="W18" s="84" t="e">
        <f>RIGHT(INDEX($D$9:$D$47,MATCH('EEPROM-Contents'!Y12,$B$9:$B$47,0)),2)</f>
        <v>#NUM!</v>
      </c>
      <c r="X18" s="84" t="str">
        <f>RIGHT(INDEX($D$9:$D$47,MATCH('EEPROM-Contents'!Z12,$B$9:$B$47,0)),2)</f>
        <v>64</v>
      </c>
      <c r="Y18" s="84" t="str">
        <f>RIGHT(INDEX($D$9:$D$47,MATCH('EEPROM-Contents'!AA12,$B$9:$B$47,0)),2)</f>
        <v>64</v>
      </c>
      <c r="Z18" s="84" t="e">
        <f ca="1">RIGHT(INDEX($D$9:$D$47,MATCH('EEPROM-Contents'!AB12,$B$9:$B$47,0)),2)</f>
        <v>#NUM!</v>
      </c>
      <c r="AA18" s="79" t="str">
        <f>RIGHT(INDEX('EEPROM-Contents'!$D$4:'EEPROM-Contents'!$D$141,MATCH('EEPROM-Contents'!AC12,'EEPROM-Contents'!$B$4:'EEPROM-Contents'!$B$141,0)),2)</f>
        <v>02</v>
      </c>
      <c r="AB18" s="84" t="str">
        <f>RIGHT(INDEX($D$9:$D$47,MATCH('EEPROM-Contents'!AD12,$B$9:$B$47,0)),2)</f>
        <v>09</v>
      </c>
      <c r="AC18" s="84" t="str">
        <f ca="1">RIGHT(INDEX($D$9:$D$47,MATCH('EEPROM-Contents'!AE12,$B$9:$B$47,0)),2)</f>
        <v>07</v>
      </c>
      <c r="AD18" s="84" t="str">
        <f ca="1">RIGHT(INDEX($D$9:$D$47,MATCH('EEPROM-Contents'!AF12,$B$9:$B$47,0)),2)</f>
        <v>01</v>
      </c>
      <c r="AF18" s="81" t="e">
        <f t="shared" ca="1" si="4"/>
        <v>#NUM!</v>
      </c>
    </row>
    <row r="19" spans="2:32" x14ac:dyDescent="0.3">
      <c r="B19" s="85">
        <f>'EEPROM-Contents'!B20</f>
        <v>16</v>
      </c>
      <c r="C19" s="74" t="e">
        <f t="shared" si="2"/>
        <v>#NUM!</v>
      </c>
      <c r="D19" s="77" t="e">
        <f>E89</f>
        <v>#NUM!</v>
      </c>
      <c r="E19" s="69" t="str">
        <f>'EEPROM-Contents'!E20</f>
        <v>GAINC</v>
      </c>
      <c r="F19" s="70"/>
      <c r="G19" s="73"/>
      <c r="I19" s="85" t="s">
        <v>198</v>
      </c>
      <c r="J19" s="85">
        <v>12</v>
      </c>
      <c r="K19" s="95">
        <f t="shared" si="3"/>
        <v>1</v>
      </c>
      <c r="N19" s="78" t="s">
        <v>351</v>
      </c>
      <c r="O19" s="84" t="str">
        <f ca="1">RIGHT(INDEX($D$9:$D$47,MATCH('EEPROM-Contents'!Q13,$B$9:$B$47,0)),2)</f>
        <v>03</v>
      </c>
      <c r="P19" s="84" t="str">
        <f>RIGHT(INDEX($D$9:$D$47,MATCH('EEPROM-Contents'!R13,$B$9:$B$47,0)),2)</f>
        <v>17</v>
      </c>
      <c r="Q19" s="84" t="str">
        <f>RIGHT(INDEX($D$9:$D$47,MATCH('EEPROM-Contents'!S13,$B$9:$B$47,0)),2)</f>
        <v>73</v>
      </c>
      <c r="R19" s="84" t="str">
        <f>RIGHT(INDEX($D$9:$D$47,MATCH('EEPROM-Contents'!T13,$B$9:$B$47,0)),2)</f>
        <v>00</v>
      </c>
      <c r="S19" s="84" t="str">
        <f>RIGHT(INDEX($D$9:$D$47,MATCH('EEPROM-Contents'!U13,$B$9:$B$47,0)),2)</f>
        <v>00</v>
      </c>
      <c r="T19" s="84" t="str">
        <f>RIGHT(INDEX($D$9:$D$47,MATCH('EEPROM-Contents'!V13,$B$9:$B$47,0)),2)</f>
        <v>00</v>
      </c>
      <c r="U19" s="84" t="str">
        <f>RIGHT(INDEX($D$9:$D$47,MATCH('EEPROM-Contents'!W13,$B$9:$B$47,0)),2)</f>
        <v>00</v>
      </c>
      <c r="V19" s="79" t="str">
        <f>RIGHT(INDEX('EEPROM-Contents'!$D$4:'EEPROM-Contents'!$D$141,MATCH('EEPROM-Contents'!X13,'EEPROM-Contents'!$B$4:'EEPROM-Contents'!$B$141,0)),2)</f>
        <v>00</v>
      </c>
      <c r="W19" s="79" t="str">
        <f>RIGHT(INDEX('EEPROM-Contents'!$D$4:'EEPROM-Contents'!$D$141,MATCH('EEPROM-Contents'!Y13,'EEPROM-Contents'!$B$4:'EEPROM-Contents'!$B$141,0)),2)</f>
        <v>00</v>
      </c>
      <c r="X19" s="79" t="str">
        <f>RIGHT(INDEX('EEPROM-Contents'!$D$4:'EEPROM-Contents'!$D$141,MATCH('EEPROM-Contents'!Z13,'EEPROM-Contents'!$B$4:'EEPROM-Contents'!$B$141,0)),2)</f>
        <v>00</v>
      </c>
      <c r="Y19" s="79" t="str">
        <f>RIGHT(INDEX('EEPROM-Contents'!$D$4:'EEPROM-Contents'!$D$141,MATCH('EEPROM-Contents'!AA13,'EEPROM-Contents'!$B$4:'EEPROM-Contents'!$B$141,0)),2)</f>
        <v>00</v>
      </c>
      <c r="Z19" s="79" t="str">
        <f>RIGHT(INDEX('EEPROM-Contents'!$D$4:'EEPROM-Contents'!$D$141,MATCH('EEPROM-Contents'!AB13,'EEPROM-Contents'!$B$4:'EEPROM-Contents'!$B$141,0)),2)</f>
        <v>00</v>
      </c>
      <c r="AA19" s="79" t="str">
        <f>RIGHT(INDEX('EEPROM-Contents'!$D$4:'EEPROM-Contents'!$D$141,MATCH('EEPROM-Contents'!AC13,'EEPROM-Contents'!$B$4:'EEPROM-Contents'!$B$141,0)),2)</f>
        <v>00</v>
      </c>
      <c r="AB19" s="79" t="str">
        <f>RIGHT(INDEX('EEPROM-Contents'!$D$4:'EEPROM-Contents'!$D$141,MATCH('EEPROM-Contents'!AD13,'EEPROM-Contents'!$B$4:'EEPROM-Contents'!$B$141,0)),2)</f>
        <v>00</v>
      </c>
      <c r="AC19" s="79" t="str">
        <f>RIGHT(INDEX('EEPROM-Contents'!$D$4:'EEPROM-Contents'!$D$141,MATCH('EEPROM-Contents'!AE13,'EEPROM-Contents'!$B$4:'EEPROM-Contents'!$B$141,0)),2)</f>
        <v>00</v>
      </c>
      <c r="AD19" s="84" t="e">
        <f>RIGHT(INDEX($D$9:$D$47,MATCH('EEPROM-Contents'!AF13,$B$9:$B$47,0)),2)</f>
        <v>#NUM!</v>
      </c>
      <c r="AF19" s="81" t="e">
        <f t="shared" ca="1" si="4"/>
        <v>#NUM!</v>
      </c>
    </row>
    <row r="20" spans="2:32" x14ac:dyDescent="0.3">
      <c r="B20" s="85">
        <f>'EEPROM-Contents'!B51</f>
        <v>47</v>
      </c>
      <c r="C20" s="74">
        <f t="shared" si="2"/>
        <v>132</v>
      </c>
      <c r="D20" s="77">
        <f>$G$4</f>
        <v>84</v>
      </c>
      <c r="E20" s="69" t="str">
        <f>'EEPROM-Contents'!E51</f>
        <v>PATBL</v>
      </c>
      <c r="F20" s="70"/>
      <c r="G20" s="73"/>
      <c r="I20" s="85" t="s">
        <v>429</v>
      </c>
      <c r="J20" s="85">
        <v>13</v>
      </c>
      <c r="K20" s="95">
        <f t="shared" si="3"/>
        <v>1.0833333333333333</v>
      </c>
      <c r="N20" s="78" t="s">
        <v>352</v>
      </c>
      <c r="O20" s="84" t="str">
        <f>RIGHT(INDEX($D$9:$D$47,MATCH('EEPROM-Contents'!Q14,$B$9:$B$47,0)),2)</f>
        <v>64</v>
      </c>
      <c r="P20" s="84" t="str">
        <f>RIGHT(INDEX($D$9:$D$47,MATCH('EEPROM-Contents'!R14,$B$9:$B$47,0)),2)</f>
        <v>64</v>
      </c>
      <c r="Q20" s="84" t="e">
        <f ca="1">RIGHT(INDEX($D$9:$D$47,MATCH('EEPROM-Contents'!S14,$B$9:$B$47,0)),2)</f>
        <v>#NUM!</v>
      </c>
      <c r="R20" s="79" t="str">
        <f>RIGHT(INDEX('EEPROM-Contents'!$D$4:'EEPROM-Contents'!$D$141,MATCH('EEPROM-Contents'!T14,'EEPROM-Contents'!$B$4:'EEPROM-Contents'!$B$141,0)),2)</f>
        <v>03</v>
      </c>
      <c r="S20" s="84" t="str">
        <f>RIGHT(INDEX($D$9:$D$47,MATCH('EEPROM-Contents'!U14,$B$9:$B$47,0)),2)</f>
        <v>09</v>
      </c>
      <c r="T20" s="84" t="str">
        <f ca="1">RIGHT(INDEX($D$9:$D$47,MATCH('EEPROM-Contents'!V14,$B$9:$B$47,0)),2)</f>
        <v>07</v>
      </c>
      <c r="U20" s="84" t="str">
        <f ca="1">RIGHT(INDEX($D$9:$D$47,MATCH('EEPROM-Contents'!W14,$B$9:$B$47,0)),2)</f>
        <v>01</v>
      </c>
      <c r="V20" s="84" t="str">
        <f ca="1">RIGHT(INDEX($D$9:$D$47,MATCH('EEPROM-Contents'!X14,$B$9:$B$47,0)),2)</f>
        <v>03</v>
      </c>
      <c r="W20" s="84" t="str">
        <f>RIGHT(INDEX($D$9:$D$47,MATCH('EEPROM-Contents'!Y14,$B$9:$B$47,0)),2)</f>
        <v>17</v>
      </c>
      <c r="X20" s="84" t="str">
        <f>RIGHT(INDEX($D$9:$D$47,MATCH('EEPROM-Contents'!Z14,$B$9:$B$47,0)),2)</f>
        <v>73</v>
      </c>
      <c r="Y20" s="84" t="str">
        <f>RIGHT(INDEX($D$9:$D$47,MATCH('EEPROM-Contents'!AA14,$B$9:$B$47,0)),2)</f>
        <v>00</v>
      </c>
      <c r="Z20" s="84" t="str">
        <f>RIGHT(INDEX($D$9:$D$47,MATCH('EEPROM-Contents'!AB14,$B$9:$B$47,0)),2)</f>
        <v>00</v>
      </c>
      <c r="AA20" s="84" t="str">
        <f>RIGHT(INDEX($D$9:$D$47,MATCH('EEPROM-Contents'!AC14,$B$9:$B$47,0)),2)</f>
        <v>00</v>
      </c>
      <c r="AB20" s="84" t="str">
        <f>RIGHT(INDEX($D$9:$D$47,MATCH('EEPROM-Contents'!AD14,$B$9:$B$47,0)),2)</f>
        <v>00</v>
      </c>
      <c r="AC20" s="79" t="str">
        <f>RIGHT(INDEX('EEPROM-Contents'!$D$4:'EEPROM-Contents'!$D$141,MATCH('EEPROM-Contents'!AE14,'EEPROM-Contents'!$B$4:'EEPROM-Contents'!$B$141,0)),2)</f>
        <v>00</v>
      </c>
      <c r="AD20" s="79" t="str">
        <f>RIGHT(INDEX('EEPROM-Contents'!$D$4:'EEPROM-Contents'!$D$141,MATCH('EEPROM-Contents'!AF14,'EEPROM-Contents'!$B$4:'EEPROM-Contents'!$B$141,0)),2)</f>
        <v>00</v>
      </c>
      <c r="AF20" s="81" t="e">
        <f t="shared" ca="1" si="4"/>
        <v>#NUM!</v>
      </c>
    </row>
    <row r="21" spans="2:32" x14ac:dyDescent="0.3">
      <c r="B21" s="85">
        <f>'EEPROM-Contents'!B63</f>
        <v>59</v>
      </c>
      <c r="C21" s="74">
        <f t="shared" si="2"/>
        <v>10</v>
      </c>
      <c r="D21" s="77" t="str">
        <f>DEC2HEX(2*$C$4,2)</f>
        <v>0A</v>
      </c>
      <c r="E21" s="69" t="str">
        <f>'EEPROM-Contents'!E63</f>
        <v>CHANNR</v>
      </c>
      <c r="F21" s="70"/>
      <c r="G21" s="73"/>
      <c r="I21" s="85" t="s">
        <v>430</v>
      </c>
      <c r="J21" s="85">
        <v>14</v>
      </c>
      <c r="K21" s="95">
        <f t="shared" si="3"/>
        <v>1.1666666666666667</v>
      </c>
      <c r="N21" s="78" t="s">
        <v>353</v>
      </c>
      <c r="O21" s="79" t="str">
        <f>RIGHT(INDEX('EEPROM-Contents'!$D$4:'EEPROM-Contents'!$D$141,MATCH('EEPROM-Contents'!Q15,'EEPROM-Contents'!$B$4:'EEPROM-Contents'!$B$141,0)),2)</f>
        <v>00</v>
      </c>
      <c r="P21" s="79" t="str">
        <f>RIGHT(INDEX('EEPROM-Contents'!$D$4:'EEPROM-Contents'!$D$141,MATCH('EEPROM-Contents'!R15,'EEPROM-Contents'!$B$4:'EEPROM-Contents'!$B$141,0)),2)</f>
        <v>00</v>
      </c>
      <c r="Q21" s="79" t="str">
        <f>RIGHT(INDEX('EEPROM-Contents'!$D$4:'EEPROM-Contents'!$D$141,MATCH('EEPROM-Contents'!S15,'EEPROM-Contents'!$B$4:'EEPROM-Contents'!$B$141,0)),2)</f>
        <v>00</v>
      </c>
      <c r="R21" s="79" t="str">
        <f>RIGHT(INDEX('EEPROM-Contents'!$D$4:'EEPROM-Contents'!$D$141,MATCH('EEPROM-Contents'!T15,'EEPROM-Contents'!$B$4:'EEPROM-Contents'!$B$141,0)),2)</f>
        <v>00</v>
      </c>
      <c r="S21" s="79" t="str">
        <f>RIGHT(INDEX('EEPROM-Contents'!$D$4:'EEPROM-Contents'!$D$141,MATCH('EEPROM-Contents'!U15,'EEPROM-Contents'!$B$4:'EEPROM-Contents'!$B$141,0)),2)</f>
        <v>00</v>
      </c>
      <c r="T21" s="79" t="str">
        <f>RIGHT(INDEX('EEPROM-Contents'!$D$4:'EEPROM-Contents'!$D$141,MATCH('EEPROM-Contents'!V15,'EEPROM-Contents'!$B$4:'EEPROM-Contents'!$B$141,0)),2)</f>
        <v>00</v>
      </c>
      <c r="U21" s="84" t="e">
        <f>RIGHT(INDEX($D$9:$D$47,MATCH('EEPROM-Contents'!W15,$B$9:$B$47,0)),2)</f>
        <v>#NUM!</v>
      </c>
      <c r="V21" s="84" t="str">
        <f>RIGHT(INDEX($D$9:$D$47,MATCH('EEPROM-Contents'!X15,$B$9:$B$47,0)),2)</f>
        <v>64</v>
      </c>
      <c r="W21" s="84" t="str">
        <f>RIGHT(INDEX($D$9:$D$47,MATCH('EEPROM-Contents'!Y15,$B$9:$B$47,0)),2)</f>
        <v>64</v>
      </c>
      <c r="X21" s="84" t="e">
        <f ca="1">RIGHT(INDEX($D$9:$D$47,MATCH('EEPROM-Contents'!Z15,$B$9:$B$47,0)),2)</f>
        <v>#NUM!</v>
      </c>
      <c r="Y21" s="79" t="str">
        <f>RIGHT(INDEX('EEPROM-Contents'!$D$4:'EEPROM-Contents'!$D$141,MATCH('EEPROM-Contents'!AA15,'EEPROM-Contents'!$B$4:'EEPROM-Contents'!$B$141,0)),2)</f>
        <v>04</v>
      </c>
      <c r="Z21" s="84" t="str">
        <f>RIGHT(INDEX($D$9:$D$47,MATCH('EEPROM-Contents'!AB15,$B$9:$B$47,0)),2)</f>
        <v>09</v>
      </c>
      <c r="AA21" s="84" t="str">
        <f ca="1">RIGHT(INDEX($D$9:$D$47,MATCH('EEPROM-Contents'!AC15,$B$9:$B$47,0)),2)</f>
        <v>07</v>
      </c>
      <c r="AB21" s="84" t="str">
        <f ca="1">RIGHT(INDEX($D$9:$D$47,MATCH('EEPROM-Contents'!AD15,$B$9:$B$47,0)),2)</f>
        <v>01</v>
      </c>
      <c r="AC21" s="84" t="str">
        <f ca="1">RIGHT(INDEX($D$9:$D$47,MATCH('EEPROM-Contents'!AE15,$B$9:$B$47,0)),2)</f>
        <v>03</v>
      </c>
      <c r="AD21" s="84" t="str">
        <f>RIGHT(INDEX($D$9:$D$47,MATCH('EEPROM-Contents'!AF15,$B$9:$B$47,0)),2)</f>
        <v>17</v>
      </c>
      <c r="AF21" s="81" t="e">
        <f t="shared" ca="1" si="4"/>
        <v>#NUM!</v>
      </c>
    </row>
    <row r="22" spans="2:32" x14ac:dyDescent="0.3">
      <c r="B22" s="85">
        <f>'EEPROM-Contents'!B95</f>
        <v>91</v>
      </c>
      <c r="C22" s="77">
        <f>HEX2DEC(D22)</f>
        <v>0</v>
      </c>
      <c r="D22" s="77" t="str">
        <f>LEFT(RIGHT($E$5,8),2)</f>
        <v>00</v>
      </c>
      <c r="E22" s="69" t="str">
        <f>'EEPROM-Contents'!E95</f>
        <v>Info byte 1</v>
      </c>
      <c r="F22" s="70"/>
      <c r="G22" s="73"/>
      <c r="I22" s="85" t="s">
        <v>431</v>
      </c>
      <c r="J22" s="85">
        <v>15</v>
      </c>
      <c r="K22" s="95">
        <f t="shared" si="3"/>
        <v>1.25</v>
      </c>
      <c r="N22" s="78" t="s">
        <v>354</v>
      </c>
      <c r="O22" s="84" t="str">
        <f>RIGHT(INDEX($D$9:$D$47,MATCH('EEPROM-Contents'!Q16,$B$9:$B$47,0)),2)</f>
        <v>73</v>
      </c>
      <c r="P22" s="84" t="str">
        <f>RIGHT(INDEX($D$9:$D$47,MATCH('EEPROM-Contents'!R16,$B$9:$B$47,0)),2)</f>
        <v>00</v>
      </c>
      <c r="Q22" s="84" t="str">
        <f>RIGHT(INDEX($D$9:$D$47,MATCH('EEPROM-Contents'!S16,$B$9:$B$47,0)),2)</f>
        <v>00</v>
      </c>
      <c r="R22" s="84" t="str">
        <f>RIGHT(INDEX($D$9:$D$47,MATCH('EEPROM-Contents'!T16,$B$9:$B$47,0)),2)</f>
        <v>00</v>
      </c>
      <c r="S22" s="84" t="str">
        <f>RIGHT(INDEX($D$9:$D$47,MATCH('EEPROM-Contents'!U16,$B$9:$B$47,0)),2)</f>
        <v>00</v>
      </c>
      <c r="T22" s="79" t="str">
        <f>RIGHT(INDEX('EEPROM-Contents'!$D$4:'EEPROM-Contents'!$D$141,MATCH('EEPROM-Contents'!V16,'EEPROM-Contents'!$B$4:'EEPROM-Contents'!$B$141,0)),2)</f>
        <v>00</v>
      </c>
      <c r="U22" s="79" t="str">
        <f>RIGHT(INDEX('EEPROM-Contents'!$D$4:'EEPROM-Contents'!$D$141,MATCH('EEPROM-Contents'!W16,'EEPROM-Contents'!$B$4:'EEPROM-Contents'!$B$141,0)),2)</f>
        <v>00</v>
      </c>
      <c r="V22" s="79" t="str">
        <f>RIGHT(INDEX('EEPROM-Contents'!$D$4:'EEPROM-Contents'!$D$141,MATCH('EEPROM-Contents'!X16,'EEPROM-Contents'!$B$4:'EEPROM-Contents'!$B$141,0)),2)</f>
        <v>00</v>
      </c>
      <c r="W22" s="79" t="str">
        <f>RIGHT(INDEX('EEPROM-Contents'!$D$4:'EEPROM-Contents'!$D$141,MATCH('EEPROM-Contents'!Y16,'EEPROM-Contents'!$B$4:'EEPROM-Contents'!$B$141,0)),2)</f>
        <v>00</v>
      </c>
      <c r="X22" s="79" t="str">
        <f>RIGHT(INDEX('EEPROM-Contents'!$D$4:'EEPROM-Contents'!$D$141,MATCH('EEPROM-Contents'!Z16,'EEPROM-Contents'!$B$4:'EEPROM-Contents'!$B$141,0)),2)</f>
        <v>00</v>
      </c>
      <c r="Y22" s="79" t="str">
        <f>RIGHT(INDEX('EEPROM-Contents'!$D$4:'EEPROM-Contents'!$D$141,MATCH('EEPROM-Contents'!AA16,'EEPROM-Contents'!$B$4:'EEPROM-Contents'!$B$141,0)),2)</f>
        <v>00</v>
      </c>
      <c r="Z22" s="79" t="str">
        <f>RIGHT(INDEX('EEPROM-Contents'!$D$4:'EEPROM-Contents'!$D$141,MATCH('EEPROM-Contents'!AB16,'EEPROM-Contents'!$B$4:'EEPROM-Contents'!$B$141,0)),2)</f>
        <v>00</v>
      </c>
      <c r="AA22" s="79" t="str">
        <f>RIGHT(INDEX('EEPROM-Contents'!$D$4:'EEPROM-Contents'!$D$141,MATCH('EEPROM-Contents'!AC16,'EEPROM-Contents'!$B$4:'EEPROM-Contents'!$B$141,0)),2)</f>
        <v>00</v>
      </c>
      <c r="AB22" s="84" t="e">
        <f>RIGHT(INDEX($D$9:$D$47,MATCH('EEPROM-Contents'!AD16,$B$9:$B$47,0)),2)</f>
        <v>#NUM!</v>
      </c>
      <c r="AC22" s="84" t="str">
        <f>RIGHT(INDEX($D$9:$D$47,MATCH('EEPROM-Contents'!AE16,$B$9:$B$47,0)),2)</f>
        <v>64</v>
      </c>
      <c r="AD22" s="84" t="str">
        <f>RIGHT(INDEX($D$9:$D$47,MATCH('EEPROM-Contents'!AF16,$B$9:$B$47,0)),2)</f>
        <v>64</v>
      </c>
      <c r="AF22" s="81" t="e">
        <f t="shared" si="4"/>
        <v>#NUM!</v>
      </c>
    </row>
    <row r="23" spans="2:32" x14ac:dyDescent="0.3">
      <c r="B23" s="85">
        <f>'EEPROM-Contents'!B96</f>
        <v>92</v>
      </c>
      <c r="C23" s="77">
        <f t="shared" ref="C23:C46" si="5">HEX2DEC(D23)</f>
        <v>0</v>
      </c>
      <c r="D23" s="77" t="str">
        <f>LEFT(RIGHT($E$5,6),2)</f>
        <v>00</v>
      </c>
      <c r="E23" s="69" t="str">
        <f>'EEPROM-Contents'!E96</f>
        <v>Info byte 2</v>
      </c>
      <c r="F23" s="70"/>
      <c r="G23" s="73"/>
      <c r="I23" s="85" t="s">
        <v>432</v>
      </c>
      <c r="J23" s="85">
        <v>16</v>
      </c>
      <c r="K23" s="95">
        <f t="shared" si="3"/>
        <v>1.3333333333333333</v>
      </c>
      <c r="N23" s="78" t="s">
        <v>355</v>
      </c>
      <c r="O23" s="84" t="e">
        <f ca="1">RIGHT(INDEX($D$9:$D$47,MATCH('EEPROM-Contents'!Q17,$B$9:$B$47,0)),2)</f>
        <v>#NUM!</v>
      </c>
      <c r="P23" s="79" t="str">
        <f>RIGHT(INDEX('EEPROM-Contents'!$D$4:'EEPROM-Contents'!$D$141,MATCH('EEPROM-Contents'!R17,'EEPROM-Contents'!$B$4:'EEPROM-Contents'!$B$141,0)),2)</f>
        <v>05</v>
      </c>
      <c r="Q23" s="84" t="str">
        <f>RIGHT(INDEX($D$9:$D$47,MATCH('EEPROM-Contents'!S17,$B$9:$B$47,0)),2)</f>
        <v>09</v>
      </c>
      <c r="R23" s="84" t="str">
        <f ca="1">RIGHT(INDEX($D$9:$D$47,MATCH('EEPROM-Contents'!T17,$B$9:$B$47,0)),2)</f>
        <v>07</v>
      </c>
      <c r="S23" s="84" t="str">
        <f ca="1">RIGHT(INDEX($D$9:$D$47,MATCH('EEPROM-Contents'!U17,$B$9:$B$47,0)),2)</f>
        <v>01</v>
      </c>
      <c r="T23" s="84" t="str">
        <f ca="1">RIGHT(INDEX($D$9:$D$47,MATCH('EEPROM-Contents'!V17,$B$9:$B$47,0)),2)</f>
        <v>03</v>
      </c>
      <c r="U23" s="84" t="str">
        <f>RIGHT(INDEX($D$9:$D$47,MATCH('EEPROM-Contents'!W17,$B$9:$B$47,0)),2)</f>
        <v>17</v>
      </c>
      <c r="V23" s="84" t="str">
        <f>RIGHT(INDEX($D$9:$D$47,MATCH('EEPROM-Contents'!X17,$B$9:$B$47,0)),2)</f>
        <v>73</v>
      </c>
      <c r="W23" s="84" t="str">
        <f>RIGHT(INDEX($D$9:$D$47,MATCH('EEPROM-Contents'!Y17,$B$9:$B$47,0)),2)</f>
        <v>00</v>
      </c>
      <c r="X23" s="84" t="str">
        <f>RIGHT(INDEX($D$9:$D$47,MATCH('EEPROM-Contents'!Z17,$B$9:$B$47,0)),2)</f>
        <v>00</v>
      </c>
      <c r="Y23" s="84" t="str">
        <f>RIGHT(INDEX($D$9:$D$47,MATCH('EEPROM-Contents'!AA17,$B$9:$B$47,0)),2)</f>
        <v>00</v>
      </c>
      <c r="Z23" s="84" t="str">
        <f>RIGHT(INDEX($D$9:$D$47,MATCH('EEPROM-Contents'!AB17,$B$9:$B$47,0)),2)</f>
        <v>00</v>
      </c>
      <c r="AA23" s="79" t="str">
        <f>RIGHT(INDEX('EEPROM-Contents'!$D$4:'EEPROM-Contents'!$D$141,MATCH('EEPROM-Contents'!AC17,'EEPROM-Contents'!$B$4:'EEPROM-Contents'!$B$141,0)),2)</f>
        <v>00</v>
      </c>
      <c r="AB23" s="79" t="str">
        <f>RIGHT(INDEX('EEPROM-Contents'!$D$4:'EEPROM-Contents'!$D$141,MATCH('EEPROM-Contents'!AD17,'EEPROM-Contents'!$B$4:'EEPROM-Contents'!$B$141,0)),2)</f>
        <v>00</v>
      </c>
      <c r="AC23" s="79" t="str">
        <f>RIGHT(INDEX('EEPROM-Contents'!$D$4:'EEPROM-Contents'!$D$141,MATCH('EEPROM-Contents'!AE17,'EEPROM-Contents'!$B$4:'EEPROM-Contents'!$B$141,0)),2)</f>
        <v>00</v>
      </c>
      <c r="AD23" s="79" t="str">
        <f>RIGHT(INDEX('EEPROM-Contents'!$D$4:'EEPROM-Contents'!$D$141,MATCH('EEPROM-Contents'!AF17,'EEPROM-Contents'!$B$4:'EEPROM-Contents'!$B$141,0)),2)</f>
        <v>00</v>
      </c>
      <c r="AF23" s="81" t="e">
        <f t="shared" ca="1" si="4"/>
        <v>#NUM!</v>
      </c>
    </row>
    <row r="24" spans="2:32" x14ac:dyDescent="0.3">
      <c r="B24" s="85">
        <f>'EEPROM-Contents'!B97</f>
        <v>93</v>
      </c>
      <c r="C24" s="77">
        <f t="shared" si="5"/>
        <v>0</v>
      </c>
      <c r="D24" s="77" t="str">
        <f>LEFT(RIGHT($E$5,4),2)</f>
        <v>00</v>
      </c>
      <c r="E24" s="69" t="str">
        <f>'EEPROM-Contents'!E97</f>
        <v>Info byte 3</v>
      </c>
      <c r="F24" s="70"/>
      <c r="G24" s="73"/>
      <c r="I24" s="83" t="str">
        <f>F4</f>
        <v>BF</v>
      </c>
      <c r="J24" s="83">
        <f>INDEX($J$10:$J$23,MATCH($I$24,$I$10:$I$23,0))</f>
        <v>12</v>
      </c>
      <c r="K24" s="96">
        <f t="shared" si="3"/>
        <v>1</v>
      </c>
      <c r="N24" s="78" t="s">
        <v>356</v>
      </c>
      <c r="O24" s="79" t="str">
        <f>RIGHT(INDEX('EEPROM-Contents'!$D$4:'EEPROM-Contents'!$D$141,MATCH('EEPROM-Contents'!Q18,'EEPROM-Contents'!$B$4:'EEPROM-Contents'!$B$141,0)),2)</f>
        <v>00</v>
      </c>
      <c r="P24" s="79" t="str">
        <f>RIGHT(INDEX('EEPROM-Contents'!$D$4:'EEPROM-Contents'!$D$141,MATCH('EEPROM-Contents'!R18,'EEPROM-Contents'!$B$4:'EEPROM-Contents'!$B$141,0)),2)</f>
        <v>00</v>
      </c>
      <c r="Q24" s="79" t="str">
        <f>RIGHT(INDEX('EEPROM-Contents'!$D$4:'EEPROM-Contents'!$D$141,MATCH('EEPROM-Contents'!S18,'EEPROM-Contents'!$B$4:'EEPROM-Contents'!$B$141,0)),2)</f>
        <v>00</v>
      </c>
      <c r="R24" s="79" t="str">
        <f>RIGHT(INDEX('EEPROM-Contents'!$D$4:'EEPROM-Contents'!$D$141,MATCH('EEPROM-Contents'!T18,'EEPROM-Contents'!$B$4:'EEPROM-Contents'!$B$141,0)),2)</f>
        <v>00</v>
      </c>
      <c r="S24" s="84" t="e">
        <f>RIGHT(INDEX($D$9:$D$47,MATCH('EEPROM-Contents'!U18,$B$9:$B$47,0)),2)</f>
        <v>#NUM!</v>
      </c>
      <c r="T24" s="84" t="str">
        <f>RIGHT(INDEX($D$9:$D$47,MATCH('EEPROM-Contents'!V18,$B$9:$B$47,0)),2)</f>
        <v>64</v>
      </c>
      <c r="U24" s="84" t="str">
        <f>RIGHT(INDEX($D$9:$D$47,MATCH('EEPROM-Contents'!W18,$B$9:$B$47,0)),2)</f>
        <v>64</v>
      </c>
      <c r="V24" s="84" t="e">
        <f ca="1">RIGHT(INDEX($D$9:$D$47,MATCH('EEPROM-Contents'!X18,$B$9:$B$47,0)),2)</f>
        <v>#NUM!</v>
      </c>
      <c r="W24" s="79" t="str">
        <f>RIGHT(INDEX('EEPROM-Contents'!$D$4:'EEPROM-Contents'!$D$141,MATCH('EEPROM-Contents'!Y18,'EEPROM-Contents'!$B$4:'EEPROM-Contents'!$B$141,0)),2)</f>
        <v>06</v>
      </c>
      <c r="X24" s="84" t="str">
        <f>RIGHT(INDEX($D$9:$D$47,MATCH('EEPROM-Contents'!Z18,$B$9:$B$47,0)),2)</f>
        <v>09</v>
      </c>
      <c r="Y24" s="84" t="str">
        <f ca="1">RIGHT(INDEX($D$9:$D$47,MATCH('EEPROM-Contents'!AA18,$B$9:$B$47,0)),2)</f>
        <v>07</v>
      </c>
      <c r="Z24" s="84" t="str">
        <f ca="1">RIGHT(INDEX($D$9:$D$47,MATCH('EEPROM-Contents'!AB18,$B$9:$B$47,0)),2)</f>
        <v>01</v>
      </c>
      <c r="AA24" s="84" t="str">
        <f ca="1">RIGHT(INDEX($D$9:$D$47,MATCH('EEPROM-Contents'!AC18,$B$9:$B$47,0)),2)</f>
        <v>03</v>
      </c>
      <c r="AB24" s="84" t="str">
        <f>RIGHT(INDEX($D$9:$D$47,MATCH('EEPROM-Contents'!AD18,$B$9:$B$47,0)),2)</f>
        <v>17</v>
      </c>
      <c r="AC24" s="84" t="str">
        <f>RIGHT(INDEX($D$9:$D$47,MATCH('EEPROM-Contents'!AE18,$B$9:$B$47,0)),2)</f>
        <v>73</v>
      </c>
      <c r="AD24" s="84" t="str">
        <f>RIGHT(INDEX($D$9:$D$47,MATCH('EEPROM-Contents'!AF18,$B$9:$B$47,0)),2)</f>
        <v>00</v>
      </c>
      <c r="AF24" s="81" t="e">
        <f t="shared" ca="1" si="4"/>
        <v>#NUM!</v>
      </c>
    </row>
    <row r="25" spans="2:32" x14ac:dyDescent="0.3">
      <c r="B25" s="85">
        <f>'EEPROM-Contents'!B98</f>
        <v>94</v>
      </c>
      <c r="C25" s="77">
        <f t="shared" si="5"/>
        <v>0</v>
      </c>
      <c r="D25" s="77" t="str">
        <f>LEFT(RIGHT($E$5,2),2)</f>
        <v>00</v>
      </c>
      <c r="E25" s="69" t="str">
        <f>'EEPROM-Contents'!E98</f>
        <v>Info byte 4</v>
      </c>
      <c r="F25" s="70"/>
      <c r="G25" s="73"/>
      <c r="N25" s="78" t="s">
        <v>357</v>
      </c>
      <c r="O25" s="84" t="str">
        <f>RIGHT(INDEX($D$9:$D$47,MATCH('EEPROM-Contents'!Q19,$B$9:$B$47,0)),2)</f>
        <v>00</v>
      </c>
      <c r="P25" s="84" t="str">
        <f>RIGHT(INDEX($D$9:$D$47,MATCH('EEPROM-Contents'!R19,$B$9:$B$47,0)),2)</f>
        <v>00</v>
      </c>
      <c r="Q25" s="84" t="str">
        <f>RIGHT(INDEX($D$9:$D$47,MATCH('EEPROM-Contents'!S19,$B$9:$B$47,0)),2)</f>
        <v>00</v>
      </c>
      <c r="R25" s="79" t="str">
        <f>RIGHT(INDEX('EEPROM-Contents'!$D$4:'EEPROM-Contents'!$D$141,MATCH('EEPROM-Contents'!T19,'EEPROM-Contents'!$B$4:'EEPROM-Contents'!$B$141,0)),2)</f>
        <v>00</v>
      </c>
      <c r="S25" s="79" t="str">
        <f>RIGHT(INDEX('EEPROM-Contents'!$D$4:'EEPROM-Contents'!$D$141,MATCH('EEPROM-Contents'!U19,'EEPROM-Contents'!$B$4:'EEPROM-Contents'!$B$141,0)),2)</f>
        <v>00</v>
      </c>
      <c r="T25" s="79" t="str">
        <f>RIGHT(INDEX('EEPROM-Contents'!$D$4:'EEPROM-Contents'!$D$141,MATCH('EEPROM-Contents'!V19,'EEPROM-Contents'!$B$4:'EEPROM-Contents'!$B$141,0)),2)</f>
        <v>00</v>
      </c>
      <c r="U25" s="79" t="str">
        <f>RIGHT(INDEX('EEPROM-Contents'!$D$4:'EEPROM-Contents'!$D$141,MATCH('EEPROM-Contents'!W19,'EEPROM-Contents'!$B$4:'EEPROM-Contents'!$B$141,0)),2)</f>
        <v>00</v>
      </c>
      <c r="V25" s="79" t="str">
        <f>RIGHT(INDEX('EEPROM-Contents'!$D$4:'EEPROM-Contents'!$D$141,MATCH('EEPROM-Contents'!X19,'EEPROM-Contents'!$B$4:'EEPROM-Contents'!$B$141,0)),2)</f>
        <v>00</v>
      </c>
      <c r="W25" s="79" t="str">
        <f>RIGHT(INDEX('EEPROM-Contents'!$D$4:'EEPROM-Contents'!$D$141,MATCH('EEPROM-Contents'!Y19,'EEPROM-Contents'!$B$4:'EEPROM-Contents'!$B$141,0)),2)</f>
        <v>00</v>
      </c>
      <c r="X25" s="79" t="str">
        <f>RIGHT(INDEX('EEPROM-Contents'!$D$4:'EEPROM-Contents'!$D$141,MATCH('EEPROM-Contents'!Z19,'EEPROM-Contents'!$B$4:'EEPROM-Contents'!$B$141,0)),2)</f>
        <v>00</v>
      </c>
      <c r="Y25" s="79" t="str">
        <f>RIGHT(INDEX('EEPROM-Contents'!$D$4:'EEPROM-Contents'!$D$141,MATCH('EEPROM-Contents'!AA19,'EEPROM-Contents'!$B$4:'EEPROM-Contents'!$B$141,0)),2)</f>
        <v>00</v>
      </c>
      <c r="Z25" s="84" t="e">
        <f>RIGHT(INDEX($D$9:$D$47,MATCH('EEPROM-Contents'!AB19,$B$9:$B$47,0)),2)</f>
        <v>#NUM!</v>
      </c>
      <c r="AA25" s="84" t="str">
        <f>RIGHT(INDEX($D$9:$D$47,MATCH('EEPROM-Contents'!AC19,$B$9:$B$47,0)),2)</f>
        <v>64</v>
      </c>
      <c r="AB25" s="84" t="str">
        <f>RIGHT(INDEX($D$9:$D$47,MATCH('EEPROM-Contents'!AD19,$B$9:$B$47,0)),2)</f>
        <v>64</v>
      </c>
      <c r="AC25" s="84" t="e">
        <f ca="1">RIGHT(INDEX($D$9:$D$47,MATCH('EEPROM-Contents'!AE19,$B$9:$B$47,0)),2)</f>
        <v>#NUM!</v>
      </c>
      <c r="AD25" s="79" t="str">
        <f>RIGHT(INDEX('EEPROM-Contents'!$D$4:'EEPROM-Contents'!$D$141,MATCH('EEPROM-Contents'!AF19,'EEPROM-Contents'!$B$4:'EEPROM-Contents'!$B$141,0)),2)</f>
        <v>07</v>
      </c>
      <c r="AF25" s="81" t="e">
        <f t="shared" ca="1" si="4"/>
        <v>#NUM!</v>
      </c>
    </row>
    <row r="26" spans="2:32" x14ac:dyDescent="0.3">
      <c r="B26" s="85">
        <f>'EEPROM-Contents'!B99</f>
        <v>95</v>
      </c>
      <c r="C26" s="75">
        <f t="shared" si="5"/>
        <v>9</v>
      </c>
      <c r="D26" s="75" t="str">
        <f>L5</f>
        <v>09</v>
      </c>
      <c r="E26" s="66" t="str">
        <f>'EEPROM-Contents'!E99</f>
        <v>ASIC Identifier</v>
      </c>
      <c r="F26" s="67"/>
      <c r="G26" s="68"/>
      <c r="I26" s="94" t="s">
        <v>418</v>
      </c>
      <c r="J26" s="94">
        <v>51000</v>
      </c>
      <c r="N26" s="78" t="s">
        <v>358</v>
      </c>
      <c r="O26" s="84" t="str">
        <f>RIGHT(INDEX($D$9:$D$47,MATCH('EEPROM-Contents'!Q20,$B$9:$B$47,0)),2)</f>
        <v>09</v>
      </c>
      <c r="P26" s="84" t="str">
        <f ca="1">RIGHT(INDEX($D$9:$D$47,MATCH('EEPROM-Contents'!R20,$B$9:$B$47,0)),2)</f>
        <v>07</v>
      </c>
      <c r="Q26" s="84" t="str">
        <f ca="1">RIGHT(INDEX($D$9:$D$47,MATCH('EEPROM-Contents'!S20,$B$9:$B$47,0)),2)</f>
        <v>01</v>
      </c>
      <c r="R26" s="84" t="str">
        <f ca="1">RIGHT(INDEX($D$9:$D$47,MATCH('EEPROM-Contents'!T20,$B$9:$B$47,0)),2)</f>
        <v>03</v>
      </c>
      <c r="S26" s="84" t="str">
        <f>RIGHT(INDEX($D$9:$D$47,MATCH('EEPROM-Contents'!U20,$B$9:$B$47,0)),2)</f>
        <v>17</v>
      </c>
      <c r="T26" s="84" t="str">
        <f>RIGHT(INDEX($D$9:$D$47,MATCH('EEPROM-Contents'!V20,$B$9:$B$47,0)),2)</f>
        <v>73</v>
      </c>
      <c r="U26" s="84" t="str">
        <f>RIGHT(INDEX($D$9:$D$47,MATCH('EEPROM-Contents'!W20,$B$9:$B$47,0)),2)</f>
        <v>00</v>
      </c>
      <c r="V26" s="84" t="str">
        <f>RIGHT(INDEX($D$9:$D$47,MATCH('EEPROM-Contents'!X20,$B$9:$B$47,0)),2)</f>
        <v>00</v>
      </c>
      <c r="W26" s="84" t="str">
        <f>RIGHT(INDEX($D$9:$D$47,MATCH('EEPROM-Contents'!Y20,$B$9:$B$47,0)),2)</f>
        <v>00</v>
      </c>
      <c r="X26" s="84" t="str">
        <f>RIGHT(INDEX($D$9:$D$47,MATCH('EEPROM-Contents'!Z20,$B$9:$B$47,0)),2)</f>
        <v>00</v>
      </c>
      <c r="Y26" s="79" t="str">
        <f>RIGHT(INDEX('EEPROM-Contents'!$D$4:'EEPROM-Contents'!$D$141,MATCH('EEPROM-Contents'!AA20,'EEPROM-Contents'!$B$4:'EEPROM-Contents'!$B$141,0)),2)</f>
        <v>00</v>
      </c>
      <c r="Z26" s="79" t="str">
        <f>RIGHT(INDEX('EEPROM-Contents'!$D$4:'EEPROM-Contents'!$D$141,MATCH('EEPROM-Contents'!AB20,'EEPROM-Contents'!$B$4:'EEPROM-Contents'!$B$141,0)),2)</f>
        <v>00</v>
      </c>
      <c r="AA26" s="79" t="str">
        <f>RIGHT(INDEX('EEPROM-Contents'!$D$4:'EEPROM-Contents'!$D$141,MATCH('EEPROM-Contents'!AC20,'EEPROM-Contents'!$B$4:'EEPROM-Contents'!$B$141,0)),2)</f>
        <v>00</v>
      </c>
      <c r="AB26" s="79" t="str">
        <f>RIGHT(INDEX('EEPROM-Contents'!$D$4:'EEPROM-Contents'!$D$141,MATCH('EEPROM-Contents'!AD20,'EEPROM-Contents'!$B$4:'EEPROM-Contents'!$B$141,0)),2)</f>
        <v>00</v>
      </c>
      <c r="AC26" s="79" t="str">
        <f>RIGHT(INDEX('EEPROM-Contents'!$D$4:'EEPROM-Contents'!$D$141,MATCH('EEPROM-Contents'!AE20,'EEPROM-Contents'!$B$4:'EEPROM-Contents'!$B$141,0)),2)</f>
        <v>00</v>
      </c>
      <c r="AD26" s="79" t="str">
        <f>RIGHT(INDEX('EEPROM-Contents'!$D$4:'EEPROM-Contents'!$D$141,MATCH('EEPROM-Contents'!AF20,'EEPROM-Contents'!$B$4:'EEPROM-Contents'!$B$141,0)),2)</f>
        <v>00</v>
      </c>
      <c r="AF26" s="81" t="str">
        <f t="shared" ca="1" si="4"/>
        <v>000000000000000000000907010317730000000000000000000000</v>
      </c>
    </row>
    <row r="27" spans="2:32" x14ac:dyDescent="0.3">
      <c r="B27" s="85">
        <f>'EEPROM-Contents'!B100</f>
        <v>96</v>
      </c>
      <c r="C27" s="75">
        <f t="shared" ca="1" si="5"/>
        <v>7</v>
      </c>
      <c r="D27" s="75" t="str">
        <f ca="1">F5</f>
        <v>07</v>
      </c>
      <c r="E27" s="66" t="str">
        <f>'EEPROM-Contents'!E100</f>
        <v>Year</v>
      </c>
      <c r="F27" s="67"/>
      <c r="G27" s="68"/>
      <c r="N27" s="78" t="s">
        <v>359</v>
      </c>
      <c r="O27" s="79" t="str">
        <f>RIGHT(INDEX('EEPROM-Contents'!$D$4:'EEPROM-Contents'!$D$141,MATCH('EEPROM-Contents'!Q21,'EEPROM-Contents'!$B$4:'EEPROM-Contents'!$B$141,0)),2)</f>
        <v>00</v>
      </c>
      <c r="P27" s="79" t="str">
        <f>RIGHT(INDEX('EEPROM-Contents'!$D$4:'EEPROM-Contents'!$D$141,MATCH('EEPROM-Contents'!R21,'EEPROM-Contents'!$B$4:'EEPROM-Contents'!$B$141,0)),2)</f>
        <v>00</v>
      </c>
      <c r="Q27" s="84" t="e">
        <f>RIGHT(INDEX($D$9:$D$47,MATCH('EEPROM-Contents'!S21,$B$9:$B$47,0)),2)</f>
        <v>#NUM!</v>
      </c>
      <c r="R27" s="84" t="str">
        <f>RIGHT(INDEX($D$9:$D$47,MATCH('EEPROM-Contents'!T21,$B$9:$B$47,0)),2)</f>
        <v>64</v>
      </c>
      <c r="S27" s="84" t="str">
        <f>RIGHT(INDEX($D$9:$D$47,MATCH('EEPROM-Contents'!U21,$B$9:$B$47,0)),2)</f>
        <v>64</v>
      </c>
      <c r="T27" s="84" t="e">
        <f ca="1">RIGHT(INDEX($D$9:$D$47,MATCH('EEPROM-Contents'!V21,$B$9:$B$47,0)),2)</f>
        <v>#NUM!</v>
      </c>
      <c r="U27" s="79" t="str">
        <f>RIGHT(INDEX('EEPROM-Contents'!$D$4:'EEPROM-Contents'!$D$141,MATCH('EEPROM-Contents'!W21,'EEPROM-Contents'!$B$4:'EEPROM-Contents'!$B$141,0)),2)</f>
        <v>08</v>
      </c>
      <c r="V27" s="84" t="str">
        <f>RIGHT(INDEX($D$9:$D$47,MATCH('EEPROM-Contents'!X21,$B$9:$B$47,0)),2)</f>
        <v>09</v>
      </c>
      <c r="W27" s="84" t="str">
        <f ca="1">RIGHT(INDEX($D$9:$D$47,MATCH('EEPROM-Contents'!Y21,$B$9:$B$47,0)),2)</f>
        <v>07</v>
      </c>
      <c r="X27" s="84" t="str">
        <f ca="1">RIGHT(INDEX($D$9:$D$47,MATCH('EEPROM-Contents'!Z21,$B$9:$B$47,0)),2)</f>
        <v>01</v>
      </c>
      <c r="Y27" s="84" t="str">
        <f ca="1">RIGHT(INDEX($D$9:$D$47,MATCH('EEPROM-Contents'!AA21,$B$9:$B$47,0)),2)</f>
        <v>03</v>
      </c>
      <c r="Z27" s="84" t="str">
        <f>RIGHT(INDEX($D$9:$D$47,MATCH('EEPROM-Contents'!AB21,$B$9:$B$47,0)),2)</f>
        <v>17</v>
      </c>
      <c r="AA27" s="84" t="str">
        <f>RIGHT(INDEX($D$9:$D$47,MATCH('EEPROM-Contents'!AC21,$B$9:$B$47,0)),2)</f>
        <v>73</v>
      </c>
      <c r="AB27" s="84" t="str">
        <f>RIGHT(INDEX($D$9:$D$47,MATCH('EEPROM-Contents'!AD21,$B$9:$B$47,0)),2)</f>
        <v>00</v>
      </c>
      <c r="AC27" s="84" t="str">
        <f>RIGHT(INDEX($D$9:$D$47,MATCH('EEPROM-Contents'!AE21,$B$9:$B$47,0)),2)</f>
        <v>00</v>
      </c>
      <c r="AD27" s="84" t="str">
        <f>RIGHT(INDEX($D$9:$D$47,MATCH('EEPROM-Contents'!AF21,$B$9:$B$47,0)),2)</f>
        <v>00</v>
      </c>
      <c r="AF27" s="81" t="e">
        <f t="shared" ca="1" si="4"/>
        <v>#NUM!</v>
      </c>
    </row>
    <row r="28" spans="2:32" x14ac:dyDescent="0.3">
      <c r="B28" s="85">
        <f>'EEPROM-Contents'!B101</f>
        <v>97</v>
      </c>
      <c r="C28" s="75">
        <f t="shared" ca="1" si="5"/>
        <v>1</v>
      </c>
      <c r="D28" s="75" t="str">
        <f ca="1">G5</f>
        <v>01</v>
      </c>
      <c r="E28" s="66" t="str">
        <f>'EEPROM-Contents'!E101</f>
        <v>Month</v>
      </c>
      <c r="F28" s="67"/>
      <c r="G28" s="68"/>
      <c r="N28" s="78" t="s">
        <v>360</v>
      </c>
      <c r="O28" s="84" t="str">
        <f>RIGHT(INDEX($D$9:$D$47,MATCH('EEPROM-Contents'!Q22,$B$9:$B$47,0)),2)</f>
        <v>00</v>
      </c>
      <c r="P28" s="79" t="str">
        <f>RIGHT(INDEX('EEPROM-Contents'!$D$4:'EEPROM-Contents'!$D$141,MATCH('EEPROM-Contents'!R22,'EEPROM-Contents'!$B$4:'EEPROM-Contents'!$B$141,0)),2)</f>
        <v>00</v>
      </c>
      <c r="Q28" s="79" t="str">
        <f>RIGHT(INDEX('EEPROM-Contents'!$D$4:'EEPROM-Contents'!$D$141,MATCH('EEPROM-Contents'!S22,'EEPROM-Contents'!$B$4:'EEPROM-Contents'!$B$141,0)),2)</f>
        <v>00</v>
      </c>
      <c r="R28" s="79" t="str">
        <f>RIGHT(INDEX('EEPROM-Contents'!$D$4:'EEPROM-Contents'!$D$141,MATCH('EEPROM-Contents'!T22,'EEPROM-Contents'!$B$4:'EEPROM-Contents'!$B$141,0)),2)</f>
        <v>00</v>
      </c>
      <c r="S28" s="79" t="str">
        <f>RIGHT(INDEX('EEPROM-Contents'!$D$4:'EEPROM-Contents'!$D$141,MATCH('EEPROM-Contents'!U22,'EEPROM-Contents'!$B$4:'EEPROM-Contents'!$B$141,0)),2)</f>
        <v>00</v>
      </c>
      <c r="T28" s="79" t="str">
        <f>RIGHT(INDEX('EEPROM-Contents'!$D$4:'EEPROM-Contents'!$D$141,MATCH('EEPROM-Contents'!V22,'EEPROM-Contents'!$B$4:'EEPROM-Contents'!$B$141,0)),2)</f>
        <v>00</v>
      </c>
      <c r="U28" s="79" t="str">
        <f>RIGHT(INDEX('EEPROM-Contents'!$D$4:'EEPROM-Contents'!$D$141,MATCH('EEPROM-Contents'!W22,'EEPROM-Contents'!$B$4:'EEPROM-Contents'!$B$141,0)),2)</f>
        <v>00</v>
      </c>
      <c r="V28" s="79" t="str">
        <f>RIGHT(INDEX('EEPROM-Contents'!$D$4:'EEPROM-Contents'!$D$141,MATCH('EEPROM-Contents'!X22,'EEPROM-Contents'!$B$4:'EEPROM-Contents'!$B$141,0)),2)</f>
        <v>00</v>
      </c>
      <c r="W28" s="79" t="str">
        <f>RIGHT(INDEX('EEPROM-Contents'!$D$4:'EEPROM-Contents'!$D$141,MATCH('EEPROM-Contents'!Y22,'EEPROM-Contents'!$B$4:'EEPROM-Contents'!$B$141,0)),2)</f>
        <v>00</v>
      </c>
      <c r="X28" s="84" t="e">
        <f>RIGHT(INDEX($D$9:$D$47,MATCH('EEPROM-Contents'!Z22,$B$9:$B$47,0)),2)</f>
        <v>#NUM!</v>
      </c>
      <c r="Y28" s="84" t="str">
        <f>RIGHT(INDEX($D$9:$D$47,MATCH('EEPROM-Contents'!AA22,$B$9:$B$47,0)),2)</f>
        <v>64</v>
      </c>
      <c r="Z28" s="84" t="str">
        <f>RIGHT(INDEX($D$9:$D$47,MATCH('EEPROM-Contents'!AB22,$B$9:$B$47,0)),2)</f>
        <v>64</v>
      </c>
      <c r="AA28" s="84" t="e">
        <f ca="1">RIGHT(INDEX($D$9:$D$47,MATCH('EEPROM-Contents'!AC22,$B$9:$B$47,0)),2)</f>
        <v>#NUM!</v>
      </c>
      <c r="AB28" s="79" t="str">
        <f>RIGHT(INDEX('EEPROM-Contents'!$D$4:'EEPROM-Contents'!$D$141,MATCH('EEPROM-Contents'!AD22,'EEPROM-Contents'!$B$4:'EEPROM-Contents'!$B$141,0)),2)</f>
        <v>09</v>
      </c>
      <c r="AC28" s="84" t="str">
        <f>RIGHT(INDEX($D$9:$D$47,MATCH('EEPROM-Contents'!AE22,$B$9:$B$47,0)),2)</f>
        <v>09</v>
      </c>
      <c r="AD28" s="84" t="str">
        <f ca="1">RIGHT(INDEX($D$9:$D$47,MATCH('EEPROM-Contents'!AF22,$B$9:$B$47,0)),2)</f>
        <v>07</v>
      </c>
      <c r="AF28" s="81" t="e">
        <f t="shared" ca="1" si="4"/>
        <v>#NUM!</v>
      </c>
    </row>
    <row r="29" spans="2:32" x14ac:dyDescent="0.3">
      <c r="B29" s="85">
        <f>'EEPROM-Contents'!B102</f>
        <v>98</v>
      </c>
      <c r="C29" s="75">
        <f t="shared" ca="1" si="5"/>
        <v>3</v>
      </c>
      <c r="D29" s="75" t="str">
        <f ca="1">H5</f>
        <v>03</v>
      </c>
      <c r="E29" s="66" t="str">
        <f>'EEPROM-Contents'!E102</f>
        <v>Day</v>
      </c>
      <c r="F29" s="67"/>
      <c r="G29" s="68"/>
      <c r="N29" s="78" t="s">
        <v>361</v>
      </c>
      <c r="O29" s="84" t="str">
        <f ca="1">RIGHT(INDEX($D$9:$D$47,MATCH('EEPROM-Contents'!Q23,$B$9:$B$47,0)),2)</f>
        <v>01</v>
      </c>
      <c r="P29" s="84" t="str">
        <f ca="1">RIGHT(INDEX($D$9:$D$47,MATCH('EEPROM-Contents'!R23,$B$9:$B$47,0)),2)</f>
        <v>03</v>
      </c>
      <c r="Q29" s="84" t="str">
        <f>RIGHT(INDEX($D$9:$D$47,MATCH('EEPROM-Contents'!S23,$B$9:$B$47,0)),2)</f>
        <v>17</v>
      </c>
      <c r="R29" s="84" t="str">
        <f>RIGHT(INDEX($D$9:$D$47,MATCH('EEPROM-Contents'!T23,$B$9:$B$47,0)),2)</f>
        <v>73</v>
      </c>
      <c r="S29" s="84" t="str">
        <f>RIGHT(INDEX($D$9:$D$47,MATCH('EEPROM-Contents'!U23,$B$9:$B$47,0)),2)</f>
        <v>00</v>
      </c>
      <c r="T29" s="84" t="str">
        <f>RIGHT(INDEX($D$9:$D$47,MATCH('EEPROM-Contents'!V23,$B$9:$B$47,0)),2)</f>
        <v>00</v>
      </c>
      <c r="U29" s="84" t="str">
        <f>RIGHT(INDEX($D$9:$D$47,MATCH('EEPROM-Contents'!W23,$B$9:$B$47,0)),2)</f>
        <v>00</v>
      </c>
      <c r="V29" s="84" t="str">
        <f>RIGHT(INDEX($D$9:$D$47,MATCH('EEPROM-Contents'!X23,$B$9:$B$47,0)),2)</f>
        <v>00</v>
      </c>
      <c r="W29" s="79" t="str">
        <f>RIGHT(INDEX('EEPROM-Contents'!$D$4:'EEPROM-Contents'!$D$141,MATCH('EEPROM-Contents'!Y23,'EEPROM-Contents'!$B$4:'EEPROM-Contents'!$B$141,0)),2)</f>
        <v>00</v>
      </c>
      <c r="X29" s="79" t="str">
        <f>RIGHT(INDEX('EEPROM-Contents'!$D$4:'EEPROM-Contents'!$D$141,MATCH('EEPROM-Contents'!Z23,'EEPROM-Contents'!$B$4:'EEPROM-Contents'!$B$141,0)),2)</f>
        <v>00</v>
      </c>
      <c r="Y29" s="79" t="str">
        <f>RIGHT(INDEX('EEPROM-Contents'!$D$4:'EEPROM-Contents'!$D$141,MATCH('EEPROM-Contents'!AA23,'EEPROM-Contents'!$B$4:'EEPROM-Contents'!$B$141,0)),2)</f>
        <v>00</v>
      </c>
      <c r="Z29" s="79" t="str">
        <f>RIGHT(INDEX('EEPROM-Contents'!$D$4:'EEPROM-Contents'!$D$141,MATCH('EEPROM-Contents'!AB23,'EEPROM-Contents'!$B$4:'EEPROM-Contents'!$B$141,0)),2)</f>
        <v>00</v>
      </c>
      <c r="AA29" s="79" t="str">
        <f>RIGHT(INDEX('EEPROM-Contents'!$D$4:'EEPROM-Contents'!$D$141,MATCH('EEPROM-Contents'!AC23,'EEPROM-Contents'!$B$4:'EEPROM-Contents'!$B$141,0)),2)</f>
        <v>00</v>
      </c>
      <c r="AB29" s="79" t="str">
        <f>RIGHT(INDEX('EEPROM-Contents'!$D$4:'EEPROM-Contents'!$D$141,MATCH('EEPROM-Contents'!AD23,'EEPROM-Contents'!$B$4:'EEPROM-Contents'!$B$141,0)),2)</f>
        <v>00</v>
      </c>
      <c r="AC29" s="79" t="str">
        <f>RIGHT(INDEX('EEPROM-Contents'!$D$4:'EEPROM-Contents'!$D$141,MATCH('EEPROM-Contents'!AE23,'EEPROM-Contents'!$B$4:'EEPROM-Contents'!$B$141,0)),2)</f>
        <v>00</v>
      </c>
      <c r="AD29" s="79" t="str">
        <f>RIGHT(INDEX('EEPROM-Contents'!$D$4:'EEPROM-Contents'!$D$141,MATCH('EEPROM-Contents'!AF23,'EEPROM-Contents'!$B$4:'EEPROM-Contents'!$B$141,0)),2)</f>
        <v>00</v>
      </c>
      <c r="AF29" s="81" t="str">
        <f t="shared" ca="1" si="4"/>
        <v>000000000000000000000103177300000000000000000000000000</v>
      </c>
    </row>
    <row r="30" spans="2:32" x14ac:dyDescent="0.3">
      <c r="B30" s="85">
        <f>'EEPROM-Contents'!B103</f>
        <v>99</v>
      </c>
      <c r="C30" s="75">
        <f t="shared" si="5"/>
        <v>23</v>
      </c>
      <c r="D30" s="75" t="str">
        <f>LEFT(RIGHT($B$5,4),2)</f>
        <v>17</v>
      </c>
      <c r="E30" s="66" t="str">
        <f>'EEPROM-Contents'!E103</f>
        <v>Device Type</v>
      </c>
      <c r="F30" s="67"/>
      <c r="G30" s="68"/>
      <c r="N30" s="78" t="s">
        <v>362</v>
      </c>
      <c r="O30" s="84" t="e">
        <f>RIGHT(INDEX($D$9:$D$47,MATCH('EEPROM-Contents'!Q24,$B$9:$B$47,0)),2)</f>
        <v>#NUM!</v>
      </c>
      <c r="P30" s="84" t="str">
        <f>RIGHT(INDEX($D$9:$D$47,MATCH('EEPROM-Contents'!R24,$B$9:$B$47,0)),2)</f>
        <v>64</v>
      </c>
      <c r="Q30" s="84" t="str">
        <f>RIGHT(INDEX($D$9:$D$47,MATCH('EEPROM-Contents'!S24,$B$9:$B$47,0)),2)</f>
        <v>64</v>
      </c>
      <c r="R30" s="84" t="e">
        <f ca="1">RIGHT(INDEX($D$9:$D$47,MATCH('EEPROM-Contents'!T24,$B$9:$B$47,0)),2)</f>
        <v>#NUM!</v>
      </c>
      <c r="S30" s="79" t="str">
        <f>RIGHT(INDEX('EEPROM-Contents'!$D$4:'EEPROM-Contents'!$D$141,MATCH('EEPROM-Contents'!U24,'EEPROM-Contents'!$B$4:'EEPROM-Contents'!$B$141,0)),2)</f>
        <v>0A</v>
      </c>
      <c r="T30" s="84" t="str">
        <f>RIGHT(INDEX($D$9:$D$47,MATCH('EEPROM-Contents'!V24,$B$9:$B$47,0)),2)</f>
        <v>09</v>
      </c>
      <c r="U30" s="84" t="str">
        <f ca="1">RIGHT(INDEX($D$9:$D$47,MATCH('EEPROM-Contents'!W24,$B$9:$B$47,0)),2)</f>
        <v>07</v>
      </c>
      <c r="V30" s="84" t="str">
        <f ca="1">RIGHT(INDEX($D$9:$D$47,MATCH('EEPROM-Contents'!X24,$B$9:$B$47,0)),2)</f>
        <v>01</v>
      </c>
      <c r="W30" s="84" t="str">
        <f ca="1">RIGHT(INDEX($D$9:$D$47,MATCH('EEPROM-Contents'!Y24,$B$9:$B$47,0)),2)</f>
        <v>03</v>
      </c>
      <c r="X30" s="84" t="str">
        <f>RIGHT(INDEX($D$9:$D$47,MATCH('EEPROM-Contents'!Z24,$B$9:$B$47,0)),2)</f>
        <v>17</v>
      </c>
      <c r="Y30" s="84" t="str">
        <f>RIGHT(INDEX($D$9:$D$47,MATCH('EEPROM-Contents'!AA24,$B$9:$B$47,0)),2)</f>
        <v>73</v>
      </c>
      <c r="Z30" s="84" t="str">
        <f>RIGHT(INDEX($D$9:$D$47,MATCH('EEPROM-Contents'!AB24,$B$9:$B$47,0)),2)</f>
        <v>00</v>
      </c>
      <c r="AA30" s="84" t="str">
        <f>RIGHT(INDEX($D$9:$D$47,MATCH('EEPROM-Contents'!AC24,$B$9:$B$47,0)),2)</f>
        <v>00</v>
      </c>
      <c r="AB30" s="84" t="str">
        <f>RIGHT(INDEX($D$9:$D$47,MATCH('EEPROM-Contents'!AD24,$B$9:$B$47,0)),2)</f>
        <v>00</v>
      </c>
      <c r="AC30" s="84" t="str">
        <f>RIGHT(INDEX($D$9:$D$47,MATCH('EEPROM-Contents'!AE24,$B$9:$B$47,0)),2)</f>
        <v>00</v>
      </c>
      <c r="AD30" s="79" t="str">
        <f>RIGHT(INDEX('EEPROM-Contents'!$D$4:'EEPROM-Contents'!$D$141,MATCH('EEPROM-Contents'!AF24,'EEPROM-Contents'!$B$4:'EEPROM-Contents'!$B$141,0)),2)</f>
        <v>00</v>
      </c>
      <c r="AF30" s="81" t="e">
        <f t="shared" ca="1" si="4"/>
        <v>#NUM!</v>
      </c>
    </row>
    <row r="31" spans="2:32" x14ac:dyDescent="0.3">
      <c r="B31" s="85">
        <f>'EEPROM-Contents'!B104</f>
        <v>100</v>
      </c>
      <c r="C31" s="75">
        <f t="shared" si="5"/>
        <v>115</v>
      </c>
      <c r="D31" s="75" t="str">
        <f>LEFT(RIGHT($B$5,2),2)</f>
        <v>73</v>
      </c>
      <c r="E31" s="66" t="str">
        <f>'EEPROM-Contents'!E104</f>
        <v>Device Type</v>
      </c>
      <c r="F31" s="67"/>
      <c r="G31" s="68"/>
      <c r="N31" s="78" t="s">
        <v>363</v>
      </c>
      <c r="O31" s="79" t="str">
        <f>RIGHT(INDEX('EEPROM-Contents'!$D$4:'EEPROM-Contents'!$D$141,MATCH('EEPROM-Contents'!Q25,'EEPROM-Contents'!$B$4:'EEPROM-Contents'!$B$141,0)),2)</f>
        <v>00</v>
      </c>
      <c r="P31" s="79" t="str">
        <f>RIGHT(INDEX('EEPROM-Contents'!$D$4:'EEPROM-Contents'!$D$141,MATCH('EEPROM-Contents'!R25,'EEPROM-Contents'!$B$4:'EEPROM-Contents'!$B$141,0)),2)</f>
        <v>00</v>
      </c>
      <c r="Q31" s="79" t="str">
        <f>RIGHT(INDEX('EEPROM-Contents'!$D$4:'EEPROM-Contents'!$D$141,MATCH('EEPROM-Contents'!S25,'EEPROM-Contents'!$B$4:'EEPROM-Contents'!$B$141,0)),2)</f>
        <v>00</v>
      </c>
      <c r="R31" s="79" t="str">
        <f>RIGHT(INDEX('EEPROM-Contents'!$D$4:'EEPROM-Contents'!$D$141,MATCH('EEPROM-Contents'!T25,'EEPROM-Contents'!$B$4:'EEPROM-Contents'!$B$141,0)),2)</f>
        <v>00</v>
      </c>
      <c r="S31" s="79" t="str">
        <f>RIGHT(INDEX('EEPROM-Contents'!$D$4:'EEPROM-Contents'!$D$141,MATCH('EEPROM-Contents'!U25,'EEPROM-Contents'!$B$4:'EEPROM-Contents'!$B$141,0)),2)</f>
        <v>00</v>
      </c>
      <c r="T31" s="79" t="str">
        <f>RIGHT(INDEX('EEPROM-Contents'!$D$4:'EEPROM-Contents'!$D$141,MATCH('EEPROM-Contents'!V25,'EEPROM-Contents'!$B$4:'EEPROM-Contents'!$B$141,0)),2)</f>
        <v>00</v>
      </c>
      <c r="U31" s="79" t="str">
        <f>RIGHT(INDEX('EEPROM-Contents'!$D$4:'EEPROM-Contents'!$D$141,MATCH('EEPROM-Contents'!W25,'EEPROM-Contents'!$B$4:'EEPROM-Contents'!$B$141,0)),2)</f>
        <v>00</v>
      </c>
      <c r="V31" s="84" t="e">
        <f>RIGHT(INDEX($D$9:$D$47,MATCH('EEPROM-Contents'!X25,$B$9:$B$47,0)),2)</f>
        <v>#NUM!</v>
      </c>
      <c r="W31" s="84" t="str">
        <f>RIGHT(INDEX($D$9:$D$47,MATCH('EEPROM-Contents'!Y25,$B$9:$B$47,0)),2)</f>
        <v>64</v>
      </c>
      <c r="X31" s="84" t="str">
        <f>RIGHT(INDEX($D$9:$D$47,MATCH('EEPROM-Contents'!Z25,$B$9:$B$47,0)),2)</f>
        <v>64</v>
      </c>
      <c r="Y31" s="84" t="e">
        <f ca="1">RIGHT(INDEX($D$9:$D$47,MATCH('EEPROM-Contents'!AA25,$B$9:$B$47,0)),2)</f>
        <v>#NUM!</v>
      </c>
      <c r="Z31" s="79" t="str">
        <f>RIGHT(INDEX('EEPROM-Contents'!$D$4:'EEPROM-Contents'!$D$141,MATCH('EEPROM-Contents'!AB25,'EEPROM-Contents'!$B$4:'EEPROM-Contents'!$B$141,0)),2)</f>
        <v>0B</v>
      </c>
      <c r="AA31" s="84" t="str">
        <f>RIGHT(INDEX($D$9:$D$47,MATCH('EEPROM-Contents'!AC25,$B$9:$B$47,0)),2)</f>
        <v>09</v>
      </c>
      <c r="AB31" s="84" t="str">
        <f ca="1">RIGHT(INDEX($D$9:$D$47,MATCH('EEPROM-Contents'!AD25,$B$9:$B$47,0)),2)</f>
        <v>07</v>
      </c>
      <c r="AC31" s="84" t="str">
        <f ca="1">RIGHT(INDEX($D$9:$D$47,MATCH('EEPROM-Contents'!AE25,$B$9:$B$47,0)),2)</f>
        <v>01</v>
      </c>
      <c r="AD31" s="84" t="str">
        <f ca="1">RIGHT(INDEX($D$9:$D$47,MATCH('EEPROM-Contents'!AF25,$B$9:$B$47,0)),2)</f>
        <v>03</v>
      </c>
      <c r="AF31" s="81" t="e">
        <f t="shared" ca="1" si="4"/>
        <v>#NUM!</v>
      </c>
    </row>
    <row r="32" spans="2:32" x14ac:dyDescent="0.3">
      <c r="B32" s="85">
        <f>'EEPROM-Contents'!B105</f>
        <v>101</v>
      </c>
      <c r="C32" s="75">
        <f t="shared" si="5"/>
        <v>0</v>
      </c>
      <c r="D32" s="75" t="str">
        <f>LEFT(RIGHT($D$5,8),2)</f>
        <v>00</v>
      </c>
      <c r="E32" s="66" t="str">
        <f>'EEPROM-Contents'!E105</f>
        <v>Manufacturer / Lot ID</v>
      </c>
      <c r="F32" s="67"/>
      <c r="G32" s="68"/>
      <c r="N32" s="78" t="s">
        <v>364</v>
      </c>
      <c r="O32" s="84" t="str">
        <f>RIGHT(INDEX($D$9:$D$47,MATCH('EEPROM-Contents'!Q26,$B$9:$B$47,0)),2)</f>
        <v>17</v>
      </c>
      <c r="P32" s="84" t="str">
        <f>RIGHT(INDEX($D$9:$D$47,MATCH('EEPROM-Contents'!R26,$B$9:$B$47,0)),2)</f>
        <v>73</v>
      </c>
      <c r="Q32" s="84" t="str">
        <f>RIGHT(INDEX($D$9:$D$47,MATCH('EEPROM-Contents'!S26,$B$9:$B$47,0)),2)</f>
        <v>00</v>
      </c>
      <c r="R32" s="84" t="str">
        <f>RIGHT(INDEX($D$9:$D$47,MATCH('EEPROM-Contents'!T26,$B$9:$B$47,0)),2)</f>
        <v>00</v>
      </c>
      <c r="S32" s="84" t="str">
        <f>RIGHT(INDEX($D$9:$D$47,MATCH('EEPROM-Contents'!U26,$B$9:$B$47,0)),2)</f>
        <v>00</v>
      </c>
      <c r="T32" s="84" t="str">
        <f>RIGHT(INDEX($D$9:$D$47,MATCH('EEPROM-Contents'!V26,$B$9:$B$47,0)),2)</f>
        <v>00</v>
      </c>
      <c r="U32" s="79" t="str">
        <f>RIGHT(INDEX('EEPROM-Contents'!$D$4:'EEPROM-Contents'!$D$141,MATCH('EEPROM-Contents'!W26,'EEPROM-Contents'!$B$4:'EEPROM-Contents'!$B$141,0)),2)</f>
        <v>00</v>
      </c>
      <c r="V32" s="79" t="str">
        <f>RIGHT(INDEX('EEPROM-Contents'!$D$4:'EEPROM-Contents'!$D$141,MATCH('EEPROM-Contents'!X26,'EEPROM-Contents'!$B$4:'EEPROM-Contents'!$B$141,0)),2)</f>
        <v>00</v>
      </c>
      <c r="W32" s="79" t="str">
        <f>RIGHT(INDEX('EEPROM-Contents'!$D$4:'EEPROM-Contents'!$D$141,MATCH('EEPROM-Contents'!Y26,'EEPROM-Contents'!$B$4:'EEPROM-Contents'!$B$141,0)),2)</f>
        <v>00</v>
      </c>
      <c r="X32" s="79" t="str">
        <f>RIGHT(INDEX('EEPROM-Contents'!$D$4:'EEPROM-Contents'!$D$141,MATCH('EEPROM-Contents'!Z26,'EEPROM-Contents'!$B$4:'EEPROM-Contents'!$B$141,0)),2)</f>
        <v>00</v>
      </c>
      <c r="Y32" s="79" t="str">
        <f>RIGHT(INDEX('EEPROM-Contents'!$D$4:'EEPROM-Contents'!$D$141,MATCH('EEPROM-Contents'!AA26,'EEPROM-Contents'!$B$4:'EEPROM-Contents'!$B$141,0)),2)</f>
        <v>00</v>
      </c>
      <c r="Z32" s="79" t="str">
        <f>RIGHT(INDEX('EEPROM-Contents'!$D$4:'EEPROM-Contents'!$D$141,MATCH('EEPROM-Contents'!AB26,'EEPROM-Contents'!$B$4:'EEPROM-Contents'!$B$141,0)),2)</f>
        <v>00</v>
      </c>
      <c r="AA32" s="79" t="str">
        <f>RIGHT(INDEX('EEPROM-Contents'!$D$4:'EEPROM-Contents'!$D$141,MATCH('EEPROM-Contents'!AC26,'EEPROM-Contents'!$B$4:'EEPROM-Contents'!$B$141,0)),2)</f>
        <v>00</v>
      </c>
      <c r="AB32" s="79" t="str">
        <f>RIGHT(INDEX('EEPROM-Contents'!$D$4:'EEPROM-Contents'!$D$141,MATCH('EEPROM-Contents'!AD26,'EEPROM-Contents'!$B$4:'EEPROM-Contents'!$B$141,0)),2)</f>
        <v>00</v>
      </c>
      <c r="AC32" s="84" t="e">
        <f>RIGHT(INDEX($D$9:$D$47,MATCH('EEPROM-Contents'!AE26,$B$9:$B$47,0)),2)</f>
        <v>#NUM!</v>
      </c>
      <c r="AD32" s="84" t="str">
        <f>RIGHT(INDEX($D$9:$D$47,MATCH('EEPROM-Contents'!AF26,$B$9:$B$47,0)),2)</f>
        <v>64</v>
      </c>
      <c r="AF32" s="81" t="e">
        <f t="shared" si="4"/>
        <v>#NUM!</v>
      </c>
    </row>
    <row r="33" spans="2:32" x14ac:dyDescent="0.3">
      <c r="B33" s="85">
        <f>'EEPROM-Contents'!B106</f>
        <v>102</v>
      </c>
      <c r="C33" s="75">
        <f t="shared" si="5"/>
        <v>0</v>
      </c>
      <c r="D33" s="75" t="str">
        <f>LEFT(RIGHT($D$5,6),2)</f>
        <v>00</v>
      </c>
      <c r="E33" s="66" t="str">
        <f>'EEPROM-Contents'!E106</f>
        <v>Manufacturer / Lot ID</v>
      </c>
      <c r="F33" s="67"/>
      <c r="G33" s="68"/>
      <c r="N33" s="78" t="s">
        <v>365</v>
      </c>
      <c r="O33" s="84" t="str">
        <f>RIGHT(INDEX($D$9:$D$47,MATCH('EEPROM-Contents'!Q27,$B$9:$B$47,0)),2)</f>
        <v>64</v>
      </c>
      <c r="P33" s="84" t="e">
        <f ca="1">RIGHT(INDEX($D$9:$D$47,MATCH('EEPROM-Contents'!R27,$B$9:$B$47,0)),2)</f>
        <v>#NUM!</v>
      </c>
      <c r="Q33" s="79" t="str">
        <f>RIGHT(INDEX('EEPROM-Contents'!$D$4:'EEPROM-Contents'!$D$141,MATCH('EEPROM-Contents'!S27,'EEPROM-Contents'!$B$4:'EEPROM-Contents'!$B$141,0)),2)</f>
        <v>0C</v>
      </c>
      <c r="R33" s="84" t="str">
        <f>RIGHT(INDEX($D$9:$D$47,MATCH('EEPROM-Contents'!T27,$B$9:$B$47,0)),2)</f>
        <v>09</v>
      </c>
      <c r="S33" s="84" t="str">
        <f ca="1">RIGHT(INDEX($D$9:$D$47,MATCH('EEPROM-Contents'!U27,$B$9:$B$47,0)),2)</f>
        <v>07</v>
      </c>
      <c r="T33" s="84" t="str">
        <f ca="1">RIGHT(INDEX($D$9:$D$47,MATCH('EEPROM-Contents'!V27,$B$9:$B$47,0)),2)</f>
        <v>01</v>
      </c>
      <c r="U33" s="84" t="str">
        <f ca="1">RIGHT(INDEX($D$9:$D$47,MATCH('EEPROM-Contents'!W27,$B$9:$B$47,0)),2)</f>
        <v>03</v>
      </c>
      <c r="V33" s="84" t="str">
        <f>RIGHT(INDEX($D$9:$D$47,MATCH('EEPROM-Contents'!X27,$B$9:$B$47,0)),2)</f>
        <v>17</v>
      </c>
      <c r="W33" s="84" t="str">
        <f>RIGHT(INDEX($D$9:$D$47,MATCH('EEPROM-Contents'!Y27,$B$9:$B$47,0)),2)</f>
        <v>73</v>
      </c>
      <c r="X33" s="84" t="str">
        <f>RIGHT(INDEX($D$9:$D$47,MATCH('EEPROM-Contents'!Z27,$B$9:$B$47,0)),2)</f>
        <v>00</v>
      </c>
      <c r="Y33" s="84" t="str">
        <f>RIGHT(INDEX($D$9:$D$47,MATCH('EEPROM-Contents'!AA27,$B$9:$B$47,0)),2)</f>
        <v>00</v>
      </c>
      <c r="Z33" s="84" t="str">
        <f>RIGHT(INDEX($D$9:$D$47,MATCH('EEPROM-Contents'!AB27,$B$9:$B$47,0)),2)</f>
        <v>00</v>
      </c>
      <c r="AA33" s="84" t="str">
        <f>RIGHT(INDEX($D$9:$D$47,MATCH('EEPROM-Contents'!AC27,$B$9:$B$47,0)),2)</f>
        <v>00</v>
      </c>
      <c r="AB33" s="79" t="str">
        <f>RIGHT(INDEX('EEPROM-Contents'!$D$4:'EEPROM-Contents'!$D$141,MATCH('EEPROM-Contents'!AD27,'EEPROM-Contents'!$B$4:'EEPROM-Contents'!$B$141,0)),2)</f>
        <v>00</v>
      </c>
      <c r="AC33" s="79" t="str">
        <f>RIGHT(INDEX('EEPROM-Contents'!$D$4:'EEPROM-Contents'!$D$141,MATCH('EEPROM-Contents'!AE27,'EEPROM-Contents'!$B$4:'EEPROM-Contents'!$B$141,0)),2)</f>
        <v>00</v>
      </c>
      <c r="AD33" s="79" t="str">
        <f>RIGHT(INDEX('EEPROM-Contents'!$D$4:'EEPROM-Contents'!$D$141,MATCH('EEPROM-Contents'!AF27,'EEPROM-Contents'!$B$4:'EEPROM-Contents'!$B$141,0)),2)</f>
        <v>00</v>
      </c>
      <c r="AF33" s="81" t="e">
        <f t="shared" ca="1" si="4"/>
        <v>#NUM!</v>
      </c>
    </row>
    <row r="34" spans="2:32" x14ac:dyDescent="0.3">
      <c r="B34" s="85">
        <f>'EEPROM-Contents'!B107</f>
        <v>103</v>
      </c>
      <c r="C34" s="75">
        <f t="shared" si="5"/>
        <v>0</v>
      </c>
      <c r="D34" s="75" t="str">
        <f>LEFT(RIGHT($D$5,4),2)</f>
        <v>00</v>
      </c>
      <c r="E34" s="66" t="str">
        <f>'EEPROM-Contents'!E107</f>
        <v>Manufacturer / Lot ID</v>
      </c>
      <c r="F34" s="67"/>
      <c r="G34" s="68"/>
      <c r="N34" s="78" t="s">
        <v>366</v>
      </c>
      <c r="O34" s="79" t="str">
        <f>RIGHT(INDEX('EEPROM-Contents'!$D$4:'EEPROM-Contents'!$D$141,MATCH('EEPROM-Contents'!Q28,'EEPROM-Contents'!$B$4:'EEPROM-Contents'!$B$141,0)),2)</f>
        <v>00</v>
      </c>
      <c r="P34" s="79" t="str">
        <f>RIGHT(INDEX('EEPROM-Contents'!$D$4:'EEPROM-Contents'!$D$141,MATCH('EEPROM-Contents'!R28,'EEPROM-Contents'!$B$4:'EEPROM-Contents'!$B$141,0)),2)</f>
        <v>00</v>
      </c>
      <c r="Q34" s="79" t="str">
        <f>RIGHT(INDEX('EEPROM-Contents'!$D$4:'EEPROM-Contents'!$D$141,MATCH('EEPROM-Contents'!S28,'EEPROM-Contents'!$B$4:'EEPROM-Contents'!$B$141,0)),2)</f>
        <v>00</v>
      </c>
      <c r="R34" s="79" t="str">
        <f>RIGHT(INDEX('EEPROM-Contents'!$D$4:'EEPROM-Contents'!$D$141,MATCH('EEPROM-Contents'!T28,'EEPROM-Contents'!$B$4:'EEPROM-Contents'!$B$141,0)),2)</f>
        <v>00</v>
      </c>
      <c r="S34" s="79" t="str">
        <f>RIGHT(INDEX('EEPROM-Contents'!$D$4:'EEPROM-Contents'!$D$141,MATCH('EEPROM-Contents'!U28,'EEPROM-Contents'!$B$4:'EEPROM-Contents'!$B$141,0)),2)</f>
        <v>00</v>
      </c>
      <c r="T34" s="84" t="e">
        <f>RIGHT(INDEX($D$9:$D$47,MATCH('EEPROM-Contents'!V28,$B$9:$B$47,0)),2)</f>
        <v>#NUM!</v>
      </c>
      <c r="U34" s="84" t="str">
        <f>RIGHT(INDEX($D$9:$D$47,MATCH('EEPROM-Contents'!W28,$B$9:$B$47,0)),2)</f>
        <v>64</v>
      </c>
      <c r="V34" s="84" t="str">
        <f>RIGHT(INDEX($D$9:$D$47,MATCH('EEPROM-Contents'!X28,$B$9:$B$47,0)),2)</f>
        <v>64</v>
      </c>
      <c r="W34" s="84" t="e">
        <f ca="1">RIGHT(INDEX($D$9:$D$47,MATCH('EEPROM-Contents'!Y28,$B$9:$B$47,0)),2)</f>
        <v>#NUM!</v>
      </c>
      <c r="X34" s="79" t="str">
        <f>RIGHT(INDEX('EEPROM-Contents'!$D$4:'EEPROM-Contents'!$D$141,MATCH('EEPROM-Contents'!Z28,'EEPROM-Contents'!$B$4:'EEPROM-Contents'!$B$141,0)),2)</f>
        <v>0D</v>
      </c>
      <c r="Y34" s="84" t="str">
        <f>RIGHT(INDEX($D$9:$D$47,MATCH('EEPROM-Contents'!AA28,$B$9:$B$47,0)),2)</f>
        <v>09</v>
      </c>
      <c r="Z34" s="84" t="str">
        <f ca="1">RIGHT(INDEX($D$9:$D$47,MATCH('EEPROM-Contents'!AB28,$B$9:$B$47,0)),2)</f>
        <v>07</v>
      </c>
      <c r="AA34" s="84" t="str">
        <f ca="1">RIGHT(INDEX($D$9:$D$47,MATCH('EEPROM-Contents'!AC28,$B$9:$B$47,0)),2)</f>
        <v>01</v>
      </c>
      <c r="AB34" s="84" t="str">
        <f ca="1">RIGHT(INDEX($D$9:$D$47,MATCH('EEPROM-Contents'!AD28,$B$9:$B$47,0)),2)</f>
        <v>03</v>
      </c>
      <c r="AC34" s="84" t="str">
        <f>RIGHT(INDEX($D$9:$D$47,MATCH('EEPROM-Contents'!AE28,$B$9:$B$47,0)),2)</f>
        <v>17</v>
      </c>
      <c r="AD34" s="84" t="str">
        <f>RIGHT(INDEX($D$9:$D$47,MATCH('EEPROM-Contents'!AF28,$B$9:$B$47,0)),2)</f>
        <v>73</v>
      </c>
      <c r="AF34" s="81" t="e">
        <f t="shared" ca="1" si="4"/>
        <v>#NUM!</v>
      </c>
    </row>
    <row r="35" spans="2:32" x14ac:dyDescent="0.3">
      <c r="B35" s="85">
        <f>'EEPROM-Contents'!B108</f>
        <v>104</v>
      </c>
      <c r="C35" s="75">
        <f t="shared" si="5"/>
        <v>0</v>
      </c>
      <c r="D35" s="75" t="str">
        <f>LEFT(RIGHT($D$5,2),2)</f>
        <v>00</v>
      </c>
      <c r="E35" s="66" t="str">
        <f>'EEPROM-Contents'!E108</f>
        <v>Manufacturer / Lot ID</v>
      </c>
      <c r="F35" s="67"/>
      <c r="G35" s="68"/>
      <c r="N35" s="78" t="s">
        <v>367</v>
      </c>
      <c r="O35" s="84" t="str">
        <f>RIGHT(INDEX($D$9:$D$47,MATCH('EEPROM-Contents'!Q29,$B$9:$B$47,0)),2)</f>
        <v>00</v>
      </c>
      <c r="P35" s="84" t="str">
        <f>RIGHT(INDEX($D$9:$D$47,MATCH('EEPROM-Contents'!R29,$B$9:$B$47,0)),2)</f>
        <v>00</v>
      </c>
      <c r="Q35" s="84" t="str">
        <f>RIGHT(INDEX($D$9:$D$47,MATCH('EEPROM-Contents'!S29,$B$9:$B$47,0)),2)</f>
        <v>00</v>
      </c>
      <c r="R35" s="84" t="str">
        <f>RIGHT(INDEX($D$9:$D$47,MATCH('EEPROM-Contents'!T29,$B$9:$B$47,0)),2)</f>
        <v>00</v>
      </c>
      <c r="S35" s="79" t="str">
        <f>RIGHT(INDEX('EEPROM-Contents'!$D$4:'EEPROM-Contents'!$D$141,MATCH('EEPROM-Contents'!U29,'EEPROM-Contents'!$B$4:'EEPROM-Contents'!$B$141,0)),2)</f>
        <v>00</v>
      </c>
      <c r="T35" s="79" t="str">
        <f>RIGHT(INDEX('EEPROM-Contents'!$D$4:'EEPROM-Contents'!$D$141,MATCH('EEPROM-Contents'!V29,'EEPROM-Contents'!$B$4:'EEPROM-Contents'!$B$141,0)),2)</f>
        <v>00</v>
      </c>
      <c r="U35" s="79" t="str">
        <f>RIGHT(INDEX('EEPROM-Contents'!$D$4:'EEPROM-Contents'!$D$141,MATCH('EEPROM-Contents'!W29,'EEPROM-Contents'!$B$4:'EEPROM-Contents'!$B$141,0)),2)</f>
        <v>00</v>
      </c>
      <c r="V35" s="79" t="str">
        <f>RIGHT(INDEX('EEPROM-Contents'!$D$4:'EEPROM-Contents'!$D$141,MATCH('EEPROM-Contents'!X29,'EEPROM-Contents'!$B$4:'EEPROM-Contents'!$B$141,0)),2)</f>
        <v>00</v>
      </c>
      <c r="W35" s="79" t="str">
        <f>RIGHT(INDEX('EEPROM-Contents'!$D$4:'EEPROM-Contents'!$D$141,MATCH('EEPROM-Contents'!Y29,'EEPROM-Contents'!$B$4:'EEPROM-Contents'!$B$141,0)),2)</f>
        <v>00</v>
      </c>
      <c r="X35" s="79" t="str">
        <f>RIGHT(INDEX('EEPROM-Contents'!$D$4:'EEPROM-Contents'!$D$141,MATCH('EEPROM-Contents'!Z29,'EEPROM-Contents'!$B$4:'EEPROM-Contents'!$B$141,0)),2)</f>
        <v>00</v>
      </c>
      <c r="Y35" s="79" t="str">
        <f>RIGHT(INDEX('EEPROM-Contents'!$D$4:'EEPROM-Contents'!$D$141,MATCH('EEPROM-Contents'!AA29,'EEPROM-Contents'!$B$4:'EEPROM-Contents'!$B$141,0)),2)</f>
        <v>00</v>
      </c>
      <c r="Z35" s="79" t="str">
        <f>RIGHT(INDEX('EEPROM-Contents'!$D$4:'EEPROM-Contents'!$D$141,MATCH('EEPROM-Contents'!AB29,'EEPROM-Contents'!$B$4:'EEPROM-Contents'!$B$141,0)),2)</f>
        <v>00</v>
      </c>
      <c r="AA35" s="84" t="e">
        <f>RIGHT(INDEX($D$9:$D$47,MATCH('EEPROM-Contents'!AC29,$B$9:$B$47,0)),2)</f>
        <v>#NUM!</v>
      </c>
      <c r="AB35" s="84" t="str">
        <f>RIGHT(INDEX($D$9:$D$47,MATCH('EEPROM-Contents'!AD29,$B$9:$B$47,0)),2)</f>
        <v>64</v>
      </c>
      <c r="AC35" s="84" t="str">
        <f>RIGHT(INDEX($D$9:$D$47,MATCH('EEPROM-Contents'!AE29,$B$9:$B$47,0)),2)</f>
        <v>64</v>
      </c>
      <c r="AD35" s="84" t="e">
        <f ca="1">RIGHT(INDEX($D$9:$D$47,MATCH('EEPROM-Contents'!AF29,$B$9:$B$47,0)),2)</f>
        <v>#NUM!</v>
      </c>
      <c r="AF35" s="81" t="e">
        <f t="shared" ca="1" si="4"/>
        <v>#NUM!</v>
      </c>
    </row>
    <row r="36" spans="2:32" x14ac:dyDescent="0.3">
      <c r="B36" s="85">
        <f>'EEPROM-Contents'!B109</f>
        <v>105</v>
      </c>
      <c r="C36" s="75">
        <f t="shared" si="5"/>
        <v>0</v>
      </c>
      <c r="D36" s="76" t="str">
        <f>$I$5</f>
        <v>00</v>
      </c>
      <c r="E36" s="66" t="str">
        <f>'EEPROM-Contents'!E109</f>
        <v>Voltage Cal</v>
      </c>
      <c r="F36" s="67"/>
      <c r="G36" s="68"/>
      <c r="N36" s="78" t="s">
        <v>368</v>
      </c>
      <c r="O36" s="79" t="str">
        <f>RIGHT(INDEX('EEPROM-Contents'!$D$4:'EEPROM-Contents'!$D$141,MATCH('EEPROM-Contents'!Q30,'EEPROM-Contents'!$B$4:'EEPROM-Contents'!$B$141,0)),2)</f>
        <v>0E</v>
      </c>
      <c r="P36" s="84" t="str">
        <f>RIGHT(INDEX($D$9:$D$47,MATCH('EEPROM-Contents'!R30,$B$9:$B$47,0)),2)</f>
        <v>09</v>
      </c>
      <c r="Q36" s="84" t="str">
        <f ca="1">RIGHT(INDEX($D$9:$D$47,MATCH('EEPROM-Contents'!S30,$B$9:$B$47,0)),2)</f>
        <v>07</v>
      </c>
      <c r="R36" s="84" t="str">
        <f ca="1">RIGHT(INDEX($D$9:$D$47,MATCH('EEPROM-Contents'!T30,$B$9:$B$47,0)),2)</f>
        <v>01</v>
      </c>
      <c r="S36" s="84" t="str">
        <f ca="1">RIGHT(INDEX($D$9:$D$47,MATCH('EEPROM-Contents'!U30,$B$9:$B$47,0)),2)</f>
        <v>03</v>
      </c>
      <c r="T36" s="84" t="str">
        <f>RIGHT(INDEX($D$9:$D$47,MATCH('EEPROM-Contents'!V30,$B$9:$B$47,0)),2)</f>
        <v>17</v>
      </c>
      <c r="U36" s="84" t="str">
        <f>RIGHT(INDEX($D$9:$D$47,MATCH('EEPROM-Contents'!W30,$B$9:$B$47,0)),2)</f>
        <v>73</v>
      </c>
      <c r="V36" s="84" t="str">
        <f>RIGHT(INDEX($D$9:$D$47,MATCH('EEPROM-Contents'!X30,$B$9:$B$47,0)),2)</f>
        <v>00</v>
      </c>
      <c r="W36" s="84" t="str">
        <f>RIGHT(INDEX($D$9:$D$47,MATCH('EEPROM-Contents'!Y30,$B$9:$B$47,0)),2)</f>
        <v>00</v>
      </c>
      <c r="X36" s="84" t="str">
        <f>RIGHT(INDEX($D$9:$D$47,MATCH('EEPROM-Contents'!Z30,$B$9:$B$47,0)),2)</f>
        <v>00</v>
      </c>
      <c r="Y36" s="84" t="str">
        <f>RIGHT(INDEX($D$9:$D$47,MATCH('EEPROM-Contents'!AA30,$B$9:$B$47,0)),2)</f>
        <v>00</v>
      </c>
      <c r="Z36" s="79" t="str">
        <f>RIGHT(INDEX('EEPROM-Contents'!$D$4:'EEPROM-Contents'!$D$141,MATCH('EEPROM-Contents'!AB30,'EEPROM-Contents'!$B$4:'EEPROM-Contents'!$B$141,0)),2)</f>
        <v>00</v>
      </c>
      <c r="AA36" s="79" t="str">
        <f>RIGHT(INDEX('EEPROM-Contents'!$D$4:'EEPROM-Contents'!$D$141,MATCH('EEPROM-Contents'!AC30,'EEPROM-Contents'!$B$4:'EEPROM-Contents'!$B$141,0)),2)</f>
        <v>00</v>
      </c>
      <c r="AB36" s="79" t="str">
        <f>RIGHT(INDEX('EEPROM-Contents'!$D$4:'EEPROM-Contents'!$D$141,MATCH('EEPROM-Contents'!AD30,'EEPROM-Contents'!$B$4:'EEPROM-Contents'!$B$141,0)),2)</f>
        <v>00</v>
      </c>
      <c r="AC36" s="79" t="str">
        <f>RIGHT(INDEX('EEPROM-Contents'!$D$4:'EEPROM-Contents'!$D$141,MATCH('EEPROM-Contents'!AE30,'EEPROM-Contents'!$B$4:'EEPROM-Contents'!$B$141,0)),2)</f>
        <v>00</v>
      </c>
      <c r="AD36" s="79" t="str">
        <f>RIGHT(INDEX('EEPROM-Contents'!$D$4:'EEPROM-Contents'!$D$141,MATCH('EEPROM-Contents'!AF30,'EEPROM-Contents'!$B$4:'EEPROM-Contents'!$B$141,0)),2)</f>
        <v>00</v>
      </c>
      <c r="AF36" s="81" t="str">
        <f t="shared" ca="1" si="4"/>
        <v>000000000000000000000E09070103177300000000000000000000</v>
      </c>
    </row>
    <row r="37" spans="2:32" x14ac:dyDescent="0.3">
      <c r="B37" s="85">
        <f>'EEPROM-Contents'!B110</f>
        <v>106</v>
      </c>
      <c r="C37" s="75">
        <f t="shared" si="5"/>
        <v>0</v>
      </c>
      <c r="D37" s="76" t="str">
        <f t="shared" ref="D37:D43" si="6">$I$5</f>
        <v>00</v>
      </c>
      <c r="E37" s="66" t="str">
        <f>'EEPROM-Contents'!E110</f>
        <v>Voltage Cal</v>
      </c>
      <c r="F37" s="67"/>
      <c r="G37" s="68"/>
      <c r="N37" s="78" t="s">
        <v>369</v>
      </c>
      <c r="O37" s="79" t="str">
        <f>RIGHT(INDEX('EEPROM-Contents'!$D$4:'EEPROM-Contents'!$D$141,MATCH('EEPROM-Contents'!Q31,'EEPROM-Contents'!$B$4:'EEPROM-Contents'!$B$141,0)),2)</f>
        <v>00</v>
      </c>
      <c r="P37" s="79" t="str">
        <f>RIGHT(INDEX('EEPROM-Contents'!$D$4:'EEPROM-Contents'!$D$141,MATCH('EEPROM-Contents'!R31,'EEPROM-Contents'!$B$4:'EEPROM-Contents'!$B$141,0)),2)</f>
        <v>00</v>
      </c>
      <c r="Q37" s="79" t="str">
        <f>RIGHT(INDEX('EEPROM-Contents'!$D$4:'EEPROM-Contents'!$D$141,MATCH('EEPROM-Contents'!S31,'EEPROM-Contents'!$B$4:'EEPROM-Contents'!$B$141,0)),2)</f>
        <v>00</v>
      </c>
      <c r="R37" s="84" t="e">
        <f>RIGHT(INDEX($D$9:$D$47,MATCH('EEPROM-Contents'!T31,$B$9:$B$47,0)),2)</f>
        <v>#NUM!</v>
      </c>
      <c r="S37" s="84" t="str">
        <f>RIGHT(INDEX($D$9:$D$47,MATCH('EEPROM-Contents'!U31,$B$9:$B$47,0)),2)</f>
        <v>64</v>
      </c>
      <c r="T37" s="84" t="str">
        <f>RIGHT(INDEX($D$9:$D$47,MATCH('EEPROM-Contents'!V31,$B$9:$B$47,0)),2)</f>
        <v>64</v>
      </c>
      <c r="U37" s="84" t="e">
        <f ca="1">RIGHT(INDEX($D$9:$D$47,MATCH('EEPROM-Contents'!W31,$B$9:$B$47,0)),2)</f>
        <v>#NUM!</v>
      </c>
      <c r="V37" s="79" t="str">
        <f>RIGHT(INDEX('EEPROM-Contents'!$D$4:'EEPROM-Contents'!$D$141,MATCH('EEPROM-Contents'!X31,'EEPROM-Contents'!$B$4:'EEPROM-Contents'!$B$141,0)),2)</f>
        <v>0F</v>
      </c>
      <c r="W37" s="84" t="str">
        <f>RIGHT(INDEX($D$9:$D$47,MATCH('EEPROM-Contents'!Y31,$B$9:$B$47,0)),2)</f>
        <v>09</v>
      </c>
      <c r="X37" s="84" t="str">
        <f ca="1">RIGHT(INDEX($D$9:$D$47,MATCH('EEPROM-Contents'!Z31,$B$9:$B$47,0)),2)</f>
        <v>07</v>
      </c>
      <c r="Y37" s="84" t="str">
        <f ca="1">RIGHT(INDEX($D$9:$D$47,MATCH('EEPROM-Contents'!AA31,$B$9:$B$47,0)),2)</f>
        <v>01</v>
      </c>
      <c r="Z37" s="84" t="str">
        <f ca="1">RIGHT(INDEX($D$9:$D$47,MATCH('EEPROM-Contents'!AB31,$B$9:$B$47,0)),2)</f>
        <v>03</v>
      </c>
      <c r="AA37" s="84" t="str">
        <f>RIGHT(INDEX($D$9:$D$47,MATCH('EEPROM-Contents'!AC31,$B$9:$B$47,0)),2)</f>
        <v>17</v>
      </c>
      <c r="AB37" s="84" t="str">
        <f>RIGHT(INDEX($D$9:$D$47,MATCH('EEPROM-Contents'!AD31,$B$9:$B$47,0)),2)</f>
        <v>73</v>
      </c>
      <c r="AC37" s="84" t="str">
        <f>RIGHT(INDEX($D$9:$D$47,MATCH('EEPROM-Contents'!AE31,$B$9:$B$47,0)),2)</f>
        <v>00</v>
      </c>
      <c r="AD37" s="84" t="str">
        <f>RIGHT(INDEX($D$9:$D$47,MATCH('EEPROM-Contents'!AF31,$B$9:$B$47,0)),2)</f>
        <v>00</v>
      </c>
      <c r="AF37" s="81" t="e">
        <f t="shared" ca="1" si="4"/>
        <v>#NUM!</v>
      </c>
    </row>
    <row r="38" spans="2:32" x14ac:dyDescent="0.3">
      <c r="B38" s="85">
        <f>'EEPROM-Contents'!B111</f>
        <v>107</v>
      </c>
      <c r="C38" s="75">
        <f t="shared" si="5"/>
        <v>0</v>
      </c>
      <c r="D38" s="76" t="str">
        <f t="shared" si="6"/>
        <v>00</v>
      </c>
      <c r="E38" s="66" t="str">
        <f>'EEPROM-Contents'!E111</f>
        <v>Voltage Cal</v>
      </c>
      <c r="F38" s="67"/>
      <c r="G38" s="68"/>
      <c r="N38" s="78" t="s">
        <v>370</v>
      </c>
      <c r="O38" s="84" t="str">
        <f>RIGHT(INDEX($D$9:$D$47,MATCH('EEPROM-Contents'!Q32,$B$9:$B$47,0)),2)</f>
        <v>00</v>
      </c>
      <c r="P38" s="84" t="str">
        <f>RIGHT(INDEX($D$9:$D$47,MATCH('EEPROM-Contents'!R32,$B$9:$B$47,0)),2)</f>
        <v>00</v>
      </c>
      <c r="Q38" s="79" t="str">
        <f>RIGHT(INDEX('EEPROM-Contents'!$D$4:'EEPROM-Contents'!$D$141,MATCH('EEPROM-Contents'!S32,'EEPROM-Contents'!$B$4:'EEPROM-Contents'!$B$141,0)),2)</f>
        <v>00</v>
      </c>
      <c r="R38" s="79" t="str">
        <f>RIGHT(INDEX('EEPROM-Contents'!$D$4:'EEPROM-Contents'!$D$141,MATCH('EEPROM-Contents'!T32,'EEPROM-Contents'!$B$4:'EEPROM-Contents'!$B$141,0)),2)</f>
        <v>00</v>
      </c>
      <c r="S38" s="79" t="str">
        <f>RIGHT(INDEX('EEPROM-Contents'!$D$4:'EEPROM-Contents'!$D$141,MATCH('EEPROM-Contents'!U32,'EEPROM-Contents'!$B$4:'EEPROM-Contents'!$B$141,0)),2)</f>
        <v>00</v>
      </c>
      <c r="T38" s="79" t="str">
        <f>RIGHT(INDEX('EEPROM-Contents'!$D$4:'EEPROM-Contents'!$D$141,MATCH('EEPROM-Contents'!V32,'EEPROM-Contents'!$B$4:'EEPROM-Contents'!$B$141,0)),2)</f>
        <v>00</v>
      </c>
      <c r="U38" s="79" t="str">
        <f>RIGHT(INDEX('EEPROM-Contents'!$D$4:'EEPROM-Contents'!$D$141,MATCH('EEPROM-Contents'!W32,'EEPROM-Contents'!$B$4:'EEPROM-Contents'!$B$141,0)),2)</f>
        <v>00</v>
      </c>
      <c r="V38" s="79" t="str">
        <f>RIGHT(INDEX('EEPROM-Contents'!$D$4:'EEPROM-Contents'!$D$141,MATCH('EEPROM-Contents'!X32,'EEPROM-Contents'!$B$4:'EEPROM-Contents'!$B$141,0)),2)</f>
        <v>00</v>
      </c>
      <c r="W38" s="79" t="str">
        <f>RIGHT(INDEX('EEPROM-Contents'!$D$4:'EEPROM-Contents'!$D$141,MATCH('EEPROM-Contents'!Y32,'EEPROM-Contents'!$B$4:'EEPROM-Contents'!$B$141,0)),2)</f>
        <v>00</v>
      </c>
      <c r="X38" s="79" t="str">
        <f>RIGHT(INDEX('EEPROM-Contents'!$D$4:'EEPROM-Contents'!$D$141,MATCH('EEPROM-Contents'!Z32,'EEPROM-Contents'!$B$4:'EEPROM-Contents'!$B$141,0)),2)</f>
        <v>00</v>
      </c>
      <c r="Y38" s="84" t="e">
        <f>RIGHT(INDEX($D$9:$D$47,MATCH('EEPROM-Contents'!AA32,$B$9:$B$47,0)),2)</f>
        <v>#NUM!</v>
      </c>
      <c r="Z38" s="84" t="str">
        <f>RIGHT(INDEX($D$9:$D$47,MATCH('EEPROM-Contents'!AB32,$B$9:$B$47,0)),2)</f>
        <v>64</v>
      </c>
      <c r="AA38" s="84" t="str">
        <f>RIGHT(INDEX($D$9:$D$47,MATCH('EEPROM-Contents'!AC32,$B$9:$B$47,0)),2)</f>
        <v>64</v>
      </c>
      <c r="AB38" s="84" t="e">
        <f ca="1">RIGHT(INDEX($D$9:$D$47,MATCH('EEPROM-Contents'!AD32,$B$9:$B$47,0)),2)</f>
        <v>#NUM!</v>
      </c>
      <c r="AC38" s="79" t="str">
        <f>RIGHT(INDEX('EEPROM-Contents'!$D$4:'EEPROM-Contents'!$D$141,MATCH('EEPROM-Contents'!AE32,'EEPROM-Contents'!$B$4:'EEPROM-Contents'!$B$141,0)),2)</f>
        <v>10</v>
      </c>
      <c r="AD38" s="84" t="str">
        <f>RIGHT(INDEX($D$9:$D$47,MATCH('EEPROM-Contents'!AF32,$B$9:$B$47,0)),2)</f>
        <v>09</v>
      </c>
      <c r="AF38" s="81" t="e">
        <f t="shared" ca="1" si="4"/>
        <v>#NUM!</v>
      </c>
    </row>
    <row r="39" spans="2:32" x14ac:dyDescent="0.3">
      <c r="B39" s="85">
        <f>'EEPROM-Contents'!B112</f>
        <v>108</v>
      </c>
      <c r="C39" s="75">
        <f t="shared" si="5"/>
        <v>0</v>
      </c>
      <c r="D39" s="76" t="str">
        <f t="shared" si="6"/>
        <v>00</v>
      </c>
      <c r="E39" s="66" t="str">
        <f>'EEPROM-Contents'!E112</f>
        <v>Voltage Cal</v>
      </c>
      <c r="F39" s="67"/>
      <c r="G39" s="68"/>
      <c r="N39" s="78" t="s">
        <v>371</v>
      </c>
      <c r="O39" s="84" t="str">
        <f ca="1">RIGHT(INDEX($D$9:$D$47,MATCH('EEPROM-Contents'!Q33,$B$9:$B$47,0)),2)</f>
        <v>07</v>
      </c>
      <c r="P39" s="84" t="str">
        <f ca="1">RIGHT(INDEX($D$9:$D$47,MATCH('EEPROM-Contents'!R33,$B$9:$B$47,0)),2)</f>
        <v>01</v>
      </c>
      <c r="Q39" s="84" t="str">
        <f ca="1">RIGHT(INDEX($D$9:$D$47,MATCH('EEPROM-Contents'!S33,$B$9:$B$47,0)),2)</f>
        <v>03</v>
      </c>
      <c r="R39" s="84" t="str">
        <f>RIGHT(INDEX($D$9:$D$47,MATCH('EEPROM-Contents'!T33,$B$9:$B$47,0)),2)</f>
        <v>17</v>
      </c>
      <c r="S39" s="84" t="str">
        <f>RIGHT(INDEX($D$9:$D$47,MATCH('EEPROM-Contents'!U33,$B$9:$B$47,0)),2)</f>
        <v>73</v>
      </c>
      <c r="T39" s="84" t="str">
        <f>RIGHT(INDEX($D$9:$D$47,MATCH('EEPROM-Contents'!V33,$B$9:$B$47,0)),2)</f>
        <v>00</v>
      </c>
      <c r="U39" s="84" t="str">
        <f>RIGHT(INDEX($D$9:$D$47,MATCH('EEPROM-Contents'!W33,$B$9:$B$47,0)),2)</f>
        <v>00</v>
      </c>
      <c r="V39" s="84" t="str">
        <f>RIGHT(INDEX($D$9:$D$47,MATCH('EEPROM-Contents'!X33,$B$9:$B$47,0)),2)</f>
        <v>00</v>
      </c>
      <c r="W39" s="84" t="str">
        <f>RIGHT(INDEX($D$9:$D$47,MATCH('EEPROM-Contents'!Y33,$B$9:$B$47,0)),2)</f>
        <v>00</v>
      </c>
      <c r="X39" s="79" t="str">
        <f>RIGHT(INDEX('EEPROM-Contents'!$D$4:'EEPROM-Contents'!$D$141,MATCH('EEPROM-Contents'!Z33,'EEPROM-Contents'!$B$4:'EEPROM-Contents'!$B$141,0)),2)</f>
        <v>00</v>
      </c>
      <c r="Y39" s="79" t="str">
        <f>RIGHT(INDEX('EEPROM-Contents'!$D$4:'EEPROM-Contents'!$D$141,MATCH('EEPROM-Contents'!AA33,'EEPROM-Contents'!$B$4:'EEPROM-Contents'!$B$141,0)),2)</f>
        <v>00</v>
      </c>
      <c r="Z39" s="79" t="str">
        <f>RIGHT(INDEX('EEPROM-Contents'!$D$4:'EEPROM-Contents'!$D$141,MATCH('EEPROM-Contents'!AB33,'EEPROM-Contents'!$B$4:'EEPROM-Contents'!$B$141,0)),2)</f>
        <v>00</v>
      </c>
      <c r="AA39" s="79" t="str">
        <f>RIGHT(INDEX('EEPROM-Contents'!$D$4:'EEPROM-Contents'!$D$141,MATCH('EEPROM-Contents'!AC33,'EEPROM-Contents'!$B$4:'EEPROM-Contents'!$B$141,0)),2)</f>
        <v>00</v>
      </c>
      <c r="AB39" s="79" t="str">
        <f>RIGHT(INDEX('EEPROM-Contents'!$D$4:'EEPROM-Contents'!$D$141,MATCH('EEPROM-Contents'!AD33,'EEPROM-Contents'!$B$4:'EEPROM-Contents'!$B$141,0)),2)</f>
        <v>00</v>
      </c>
      <c r="AC39" s="79" t="str">
        <f>RIGHT(INDEX('EEPROM-Contents'!$D$4:'EEPROM-Contents'!$D$141,MATCH('EEPROM-Contents'!AE33,'EEPROM-Contents'!$B$4:'EEPROM-Contents'!$B$141,0)),2)</f>
        <v>00</v>
      </c>
      <c r="AD39" s="79" t="str">
        <f>RIGHT(INDEX('EEPROM-Contents'!$D$4:'EEPROM-Contents'!$D$141,MATCH('EEPROM-Contents'!AF33,'EEPROM-Contents'!$B$4:'EEPROM-Contents'!$B$141,0)),2)</f>
        <v>00</v>
      </c>
      <c r="AF39" s="81" t="str">
        <f t="shared" ca="1" si="4"/>
        <v>000000000000000000000701031773000000000000000000000000</v>
      </c>
    </row>
    <row r="40" spans="2:32" x14ac:dyDescent="0.3">
      <c r="B40" s="85">
        <f>'EEPROM-Contents'!B113</f>
        <v>109</v>
      </c>
      <c r="C40" s="75">
        <f t="shared" si="5"/>
        <v>0</v>
      </c>
      <c r="D40" s="76" t="str">
        <f t="shared" si="6"/>
        <v>00</v>
      </c>
      <c r="E40" s="66" t="str">
        <f>'EEPROM-Contents'!E113</f>
        <v>Voltage Cal</v>
      </c>
      <c r="F40" s="67"/>
      <c r="G40" s="68"/>
      <c r="N40" s="78" t="s">
        <v>372</v>
      </c>
      <c r="O40" s="79" t="str">
        <f>RIGHT(INDEX('EEPROM-Contents'!$D$4:'EEPROM-Contents'!$D$141,MATCH('EEPROM-Contents'!Q34,'EEPROM-Contents'!$B$4:'EEPROM-Contents'!$B$141,0)),2)</f>
        <v>00</v>
      </c>
      <c r="P40" s="84" t="e">
        <f>RIGHT(INDEX($D$9:$D$47,MATCH('EEPROM-Contents'!R34,$B$9:$B$47,0)),2)</f>
        <v>#NUM!</v>
      </c>
      <c r="Q40" s="84" t="str">
        <f>RIGHT(INDEX($D$9:$D$47,MATCH('EEPROM-Contents'!S34,$B$9:$B$47,0)),2)</f>
        <v>64</v>
      </c>
      <c r="R40" s="84" t="str">
        <f>RIGHT(INDEX($D$9:$D$47,MATCH('EEPROM-Contents'!T34,$B$9:$B$47,0)),2)</f>
        <v>64</v>
      </c>
      <c r="S40" s="84" t="e">
        <f ca="1">RIGHT(INDEX($D$9:$D$47,MATCH('EEPROM-Contents'!U34,$B$9:$B$47,0)),2)</f>
        <v>#NUM!</v>
      </c>
      <c r="T40" s="79" t="str">
        <f>RIGHT(INDEX('EEPROM-Contents'!$D$4:'EEPROM-Contents'!$D$141,MATCH('EEPROM-Contents'!V34,'EEPROM-Contents'!$B$4:'EEPROM-Contents'!$B$141,0)),2)</f>
        <v>11</v>
      </c>
      <c r="U40" s="84" t="str">
        <f>RIGHT(INDEX($D$9:$D$47,MATCH('EEPROM-Contents'!W34,$B$9:$B$47,0)),2)</f>
        <v>09</v>
      </c>
      <c r="V40" s="84" t="str">
        <f ca="1">RIGHT(INDEX($D$9:$D$47,MATCH('EEPROM-Contents'!X34,$B$9:$B$47,0)),2)</f>
        <v>07</v>
      </c>
      <c r="W40" s="84" t="str">
        <f ca="1">RIGHT(INDEX($D$9:$D$47,MATCH('EEPROM-Contents'!Y34,$B$9:$B$47,0)),2)</f>
        <v>01</v>
      </c>
      <c r="X40" s="84" t="str">
        <f ca="1">RIGHT(INDEX($D$9:$D$47,MATCH('EEPROM-Contents'!Z34,$B$9:$B$47,0)),2)</f>
        <v>03</v>
      </c>
      <c r="Y40" s="84" t="str">
        <f>RIGHT(INDEX($D$9:$D$47,MATCH('EEPROM-Contents'!AA34,$B$9:$B$47,0)),2)</f>
        <v>17</v>
      </c>
      <c r="Z40" s="84" t="str">
        <f>RIGHT(INDEX($D$9:$D$47,MATCH('EEPROM-Contents'!AB34,$B$9:$B$47,0)),2)</f>
        <v>73</v>
      </c>
      <c r="AA40" s="84" t="str">
        <f>RIGHT(INDEX($D$9:$D$47,MATCH('EEPROM-Contents'!AC34,$B$9:$B$47,0)),2)</f>
        <v>00</v>
      </c>
      <c r="AB40" s="84" t="str">
        <f>RIGHT(INDEX($D$9:$D$47,MATCH('EEPROM-Contents'!AD34,$B$9:$B$47,0)),2)</f>
        <v>00</v>
      </c>
      <c r="AC40" s="84" t="str">
        <f>RIGHT(INDEX($D$9:$D$47,MATCH('EEPROM-Contents'!AE34,$B$9:$B$47,0)),2)</f>
        <v>00</v>
      </c>
      <c r="AD40" s="84" t="str">
        <f>RIGHT(INDEX($D$9:$D$47,MATCH('EEPROM-Contents'!AF34,$B$9:$B$47,0)),2)</f>
        <v>00</v>
      </c>
      <c r="AF40" s="81" t="e">
        <f t="shared" ca="1" si="4"/>
        <v>#NUM!</v>
      </c>
    </row>
    <row r="41" spans="2:32" ht="15" thickBot="1" x14ac:dyDescent="0.35">
      <c r="B41" s="85">
        <f>'EEPROM-Contents'!B114</f>
        <v>110</v>
      </c>
      <c r="C41" s="75">
        <f t="shared" si="5"/>
        <v>0</v>
      </c>
      <c r="D41" s="76" t="str">
        <f t="shared" si="6"/>
        <v>00</v>
      </c>
      <c r="E41" s="66" t="str">
        <f>'EEPROM-Contents'!E114</f>
        <v>Voltage Cal</v>
      </c>
      <c r="F41" s="67"/>
      <c r="G41" s="68"/>
      <c r="N41" s="78" t="s">
        <v>373</v>
      </c>
      <c r="O41" s="79" t="str">
        <f>RIGHT(INDEX('EEPROM-Contents'!$D$4:'EEPROM-Contents'!$D$141,MATCH('EEPROM-Contents'!Q35,'EEPROM-Contents'!$B$4:'EEPROM-Contents'!$B$141,0)),2)</f>
        <v>00</v>
      </c>
      <c r="P41" s="79" t="str">
        <f>RIGHT(INDEX('EEPROM-Contents'!$D$4:'EEPROM-Contents'!$D$141,MATCH('EEPROM-Contents'!R35,'EEPROM-Contents'!$B$4:'EEPROM-Contents'!$B$141,0)),2)</f>
        <v>00</v>
      </c>
      <c r="Q41" s="79" t="str">
        <f>RIGHT(INDEX('EEPROM-Contents'!$D$4:'EEPROM-Contents'!$D$141,MATCH('EEPROM-Contents'!S35,'EEPROM-Contents'!$B$4:'EEPROM-Contents'!$B$141,0)),2)</f>
        <v>00</v>
      </c>
      <c r="R41" s="79" t="str">
        <f>RIGHT(INDEX('EEPROM-Contents'!$D$4:'EEPROM-Contents'!$D$141,MATCH('EEPROM-Contents'!T35,'EEPROM-Contents'!$B$4:'EEPROM-Contents'!$B$141,0)),2)</f>
        <v>00</v>
      </c>
      <c r="S41" s="79" t="str">
        <f>RIGHT(INDEX('EEPROM-Contents'!$D$4:'EEPROM-Contents'!$D$141,MATCH('EEPROM-Contents'!U35,'EEPROM-Contents'!$B$4:'EEPROM-Contents'!$B$141,0)),2)</f>
        <v>00</v>
      </c>
      <c r="T41" s="79" t="str">
        <f>RIGHT(INDEX('EEPROM-Contents'!$D$4:'EEPROM-Contents'!$D$141,MATCH('EEPROM-Contents'!V35,'EEPROM-Contents'!$B$4:'EEPROM-Contents'!$B$141,0)),2)</f>
        <v>00</v>
      </c>
      <c r="U41" s="79" t="str">
        <f>RIGHT(INDEX('EEPROM-Contents'!$D$4:'EEPROM-Contents'!$D$141,MATCH('EEPROM-Contents'!W35,'EEPROM-Contents'!$B$4:'EEPROM-Contents'!$B$141,0)),2)</f>
        <v>00</v>
      </c>
      <c r="V41" s="79" t="str">
        <f>RIGHT(INDEX('EEPROM-Contents'!$D$4:'EEPROM-Contents'!$D$141,MATCH('EEPROM-Contents'!X35,'EEPROM-Contents'!$B$4:'EEPROM-Contents'!$B$141,0)),2)</f>
        <v>00</v>
      </c>
      <c r="W41" s="84" t="e">
        <f>RIGHT(INDEX($D$9:$D$47,MATCH('EEPROM-Contents'!Y35,$B$9:$B$47,0)),2)</f>
        <v>#NUM!</v>
      </c>
      <c r="X41" s="84" t="str">
        <f>RIGHT(INDEX($D$9:$D$47,MATCH('EEPROM-Contents'!Z35,$B$9:$B$47,0)),2)</f>
        <v>64</v>
      </c>
      <c r="Y41" s="84" t="str">
        <f>RIGHT(INDEX($D$9:$D$47,MATCH('EEPROM-Contents'!AA35,$B$9:$B$47,0)),2)</f>
        <v>64</v>
      </c>
      <c r="Z41" s="84" t="e">
        <f ca="1">RIGHT(INDEX($D$9:$D$47,MATCH('EEPROM-Contents'!AB35,$B$9:$B$47,0)),2)</f>
        <v>#NUM!</v>
      </c>
      <c r="AA41" s="79" t="str">
        <f>RIGHT(INDEX('EEPROM-Contents'!$D$4:'EEPROM-Contents'!$D$141,MATCH('EEPROM-Contents'!AC35,'EEPROM-Contents'!$B$4:'EEPROM-Contents'!$B$141,0)),2)</f>
        <v>12</v>
      </c>
      <c r="AB41" s="79" t="str">
        <f>RIGHT(INDEX('EEPROM-Contents'!$D$4:'EEPROM-Contents'!$D$141,MATCH('EEPROM-Contents'!AD35,'EEPROM-Contents'!$B$4:'EEPROM-Contents'!$B$141,0)),2)</f>
        <v>00</v>
      </c>
      <c r="AC41" s="79" t="str">
        <f>RIGHT(INDEX('EEPROM-Contents'!$D$4:'EEPROM-Contents'!$D$141,MATCH('EEPROM-Contents'!AE35,'EEPROM-Contents'!$B$4:'EEPROM-Contents'!$B$141,0)),2)</f>
        <v>00</v>
      </c>
      <c r="AD41" s="79" t="str">
        <f>RIGHT(INDEX('EEPROM-Contents'!$D$4:'EEPROM-Contents'!$D$141,MATCH('EEPROM-Contents'!AF35,'EEPROM-Contents'!$B$4:'EEPROM-Contents'!$B$141,0)),2)</f>
        <v>00</v>
      </c>
      <c r="AF41" s="82" t="e">
        <f t="shared" ca="1" si="4"/>
        <v>#NUM!</v>
      </c>
    </row>
    <row r="42" spans="2:32" x14ac:dyDescent="0.3">
      <c r="B42" s="85">
        <f>'EEPROM-Contents'!B115</f>
        <v>111</v>
      </c>
      <c r="C42" s="75">
        <f t="shared" si="5"/>
        <v>0</v>
      </c>
      <c r="D42" s="76" t="str">
        <f t="shared" si="6"/>
        <v>00</v>
      </c>
      <c r="E42" s="66" t="str">
        <f>'EEPROM-Contents'!E115</f>
        <v>Voltage Cal</v>
      </c>
      <c r="F42" s="67"/>
      <c r="G42" s="68"/>
    </row>
    <row r="43" spans="2:32" x14ac:dyDescent="0.3">
      <c r="B43" s="85">
        <f>'EEPROM-Contents'!B116</f>
        <v>112</v>
      </c>
      <c r="C43" s="75">
        <f t="shared" si="5"/>
        <v>0</v>
      </c>
      <c r="D43" s="76" t="str">
        <f t="shared" si="6"/>
        <v>00</v>
      </c>
      <c r="E43" s="66" t="str">
        <f>'EEPROM-Contents'!E116</f>
        <v>Voltage Cal</v>
      </c>
      <c r="F43" s="67"/>
      <c r="G43" s="68"/>
    </row>
    <row r="44" spans="2:32" x14ac:dyDescent="0.3">
      <c r="B44" s="85">
        <f>'EEPROM-Contents'!B117</f>
        <v>113</v>
      </c>
      <c r="C44" s="75" t="e">
        <f t="shared" si="5"/>
        <v>#NUM!</v>
      </c>
      <c r="D44" s="75" t="e">
        <f>D19</f>
        <v>#NUM!</v>
      </c>
      <c r="E44" s="66" t="str">
        <f>'EEPROM-Contents'!E117</f>
        <v>GAINC</v>
      </c>
      <c r="F44" s="67"/>
      <c r="G44" s="68"/>
    </row>
    <row r="45" spans="2:32" x14ac:dyDescent="0.3">
      <c r="B45" s="85">
        <f>'EEPROM-Contents'!B118</f>
        <v>114</v>
      </c>
      <c r="C45" s="75">
        <f t="shared" si="5"/>
        <v>100</v>
      </c>
      <c r="D45" s="75" t="str">
        <f>J5</f>
        <v>64</v>
      </c>
      <c r="E45" s="66" t="str">
        <f>'EEPROM-Contents'!E118</f>
        <v>Cal Factor for CondyleA</v>
      </c>
      <c r="F45" s="67"/>
      <c r="G45" s="68"/>
    </row>
    <row r="46" spans="2:32" x14ac:dyDescent="0.3">
      <c r="B46" s="85">
        <f>'EEPROM-Contents'!B119</f>
        <v>115</v>
      </c>
      <c r="C46" s="75">
        <f t="shared" si="5"/>
        <v>100</v>
      </c>
      <c r="D46" s="75" t="str">
        <f>K5</f>
        <v>64</v>
      </c>
      <c r="E46" s="66" t="str">
        <f>'EEPROM-Contents'!E119</f>
        <v>Cal Factor for CondyleB</v>
      </c>
      <c r="F46" s="67"/>
      <c r="G46" s="68"/>
    </row>
    <row r="47" spans="2:32" x14ac:dyDescent="0.3">
      <c r="B47" s="85">
        <f>'EEPROM-Contents'!B120</f>
        <v>116</v>
      </c>
      <c r="C47" s="75" t="e">
        <f ca="1">255-HEX2DEC(RIGHT(DEC2HEX(SUM(C22:C46)),2))</f>
        <v>#NUM!</v>
      </c>
      <c r="D47" s="75" t="e">
        <f ca="1">DEC2HEX($C$47,2)</f>
        <v>#NUM!</v>
      </c>
      <c r="E47" s="66" t="str">
        <f>'EEPROM-Contents'!E120</f>
        <v>Checksum</v>
      </c>
      <c r="F47" s="67"/>
      <c r="G47" s="68"/>
    </row>
    <row r="49" spans="2:12" x14ac:dyDescent="0.3">
      <c r="B49" s="442" t="s">
        <v>403</v>
      </c>
      <c r="C49" s="443"/>
      <c r="D49" s="443"/>
      <c r="E49" s="443"/>
      <c r="F49" s="443"/>
      <c r="G49" s="443"/>
      <c r="H49" s="443"/>
      <c r="I49" s="443"/>
      <c r="J49" s="444"/>
    </row>
    <row r="50" spans="2:12" x14ac:dyDescent="0.3">
      <c r="B50" s="35" t="s">
        <v>222</v>
      </c>
      <c r="C50" s="35" t="s">
        <v>223</v>
      </c>
      <c r="D50" s="35" t="s">
        <v>224</v>
      </c>
      <c r="E50" s="35" t="s">
        <v>225</v>
      </c>
      <c r="F50" s="35" t="s">
        <v>226</v>
      </c>
      <c r="G50" s="35" t="s">
        <v>227</v>
      </c>
      <c r="H50" s="35" t="s">
        <v>228</v>
      </c>
      <c r="I50" s="35" t="s">
        <v>229</v>
      </c>
      <c r="J50" s="35" t="s">
        <v>230</v>
      </c>
    </row>
    <row r="51" spans="2:12" x14ac:dyDescent="0.3">
      <c r="B51" s="36">
        <v>0</v>
      </c>
      <c r="C51" s="23"/>
      <c r="D51" s="23"/>
      <c r="E51" s="23"/>
      <c r="F51" s="23"/>
      <c r="G51" s="23"/>
      <c r="H51" s="23"/>
      <c r="I51" s="23"/>
      <c r="J51" s="23"/>
    </row>
    <row r="53" spans="2:12" x14ac:dyDescent="0.3">
      <c r="B53" s="439" t="s">
        <v>404</v>
      </c>
      <c r="C53" s="440"/>
      <c r="D53" s="440"/>
      <c r="E53" s="440"/>
      <c r="F53" s="440"/>
      <c r="G53" s="88" t="s">
        <v>409</v>
      </c>
      <c r="H53" s="88">
        <f>'FTS-Initialization'!$O$27</f>
        <v>18000</v>
      </c>
      <c r="I53" s="88" t="s">
        <v>410</v>
      </c>
      <c r="J53" s="88">
        <f>'FTS-Initialization'!$O$26</f>
        <v>24000</v>
      </c>
      <c r="L53" s="90" t="s">
        <v>413</v>
      </c>
    </row>
    <row r="54" spans="2:12" x14ac:dyDescent="0.3">
      <c r="B54" s="35" t="s">
        <v>230</v>
      </c>
      <c r="C54" s="35">
        <f>J51</f>
        <v>0</v>
      </c>
      <c r="I54" s="35" t="s">
        <v>406</v>
      </c>
      <c r="J54" s="35" t="b">
        <f>IF(AND(C54&gt;=H53,C54&lt;=J53),TRUE,FALSE)</f>
        <v>0</v>
      </c>
      <c r="L54" s="90">
        <f>IF(J54,0,IF(C54&lt;H53,'FTS-Initialization'!N73,IF(C54&gt;J53,'FTS-Initialization'!N72,0)))</f>
        <v>36</v>
      </c>
    </row>
    <row r="56" spans="2:12" x14ac:dyDescent="0.3">
      <c r="B56" s="439" t="s">
        <v>405</v>
      </c>
      <c r="C56" s="440"/>
      <c r="D56" s="440"/>
      <c r="E56" s="440"/>
      <c r="F56" s="440"/>
      <c r="G56" s="440"/>
      <c r="H56" s="440"/>
      <c r="I56" s="88" t="s">
        <v>206</v>
      </c>
      <c r="J56" s="88">
        <f>'FTS-Initialization'!$O$28</f>
        <v>65000</v>
      </c>
      <c r="L56" s="90" t="s">
        <v>413</v>
      </c>
    </row>
    <row r="57" spans="2:12" x14ac:dyDescent="0.3">
      <c r="B57" s="35" t="s">
        <v>411</v>
      </c>
      <c r="C57" s="35">
        <f>MAX($C$51:$I$51)</f>
        <v>0</v>
      </c>
      <c r="I57" s="35" t="s">
        <v>406</v>
      </c>
      <c r="J57" s="35" t="b">
        <f>IF($C$57&lt;=$J$56,TRUE,FALSE)</f>
        <v>1</v>
      </c>
      <c r="L57" s="90">
        <f>IF(J57,0,'FTS-Initialization'!$N$75)</f>
        <v>0</v>
      </c>
    </row>
    <row r="60" spans="2:12" x14ac:dyDescent="0.3">
      <c r="B60" s="439" t="s">
        <v>407</v>
      </c>
      <c r="C60" s="440"/>
      <c r="D60" s="440"/>
      <c r="E60" s="440"/>
      <c r="F60" s="440"/>
      <c r="G60" s="440"/>
      <c r="H60" s="440"/>
      <c r="I60" s="88" t="s">
        <v>206</v>
      </c>
      <c r="J60" s="89">
        <f>'FTS-Initialization'!O30/100</f>
        <v>0.3</v>
      </c>
    </row>
    <row r="61" spans="2:12" x14ac:dyDescent="0.3">
      <c r="B61" s="35" t="s">
        <v>408</v>
      </c>
      <c r="C61" s="35" t="str">
        <f>C50</f>
        <v>S3</v>
      </c>
      <c r="D61" s="35" t="str">
        <f t="shared" ref="D61:I61" si="7">D50</f>
        <v>S4</v>
      </c>
      <c r="E61" s="35" t="str">
        <f t="shared" si="7"/>
        <v>S5</v>
      </c>
      <c r="F61" s="35" t="str">
        <f t="shared" si="7"/>
        <v>S6</v>
      </c>
      <c r="G61" s="35" t="str">
        <f t="shared" si="7"/>
        <v>S7</v>
      </c>
      <c r="H61" s="35" t="str">
        <f t="shared" si="7"/>
        <v>S8</v>
      </c>
      <c r="I61" s="35" t="str">
        <f t="shared" si="7"/>
        <v>S9</v>
      </c>
      <c r="J61" s="35" t="s">
        <v>406</v>
      </c>
      <c r="L61" s="90" t="s">
        <v>413</v>
      </c>
    </row>
    <row r="62" spans="2:12" x14ac:dyDescent="0.3">
      <c r="B62" s="86" t="e">
        <f>MEDIAN(C51:I51)</f>
        <v>#NUM!</v>
      </c>
      <c r="C62" s="87" t="e">
        <f>ABS(C51-$B$62)/$B$62</f>
        <v>#NUM!</v>
      </c>
      <c r="D62" s="87" t="e">
        <f t="shared" ref="D62:I62" si="8">ABS(D51-$B$62)/$B$62</f>
        <v>#NUM!</v>
      </c>
      <c r="E62" s="87" t="e">
        <f t="shared" si="8"/>
        <v>#NUM!</v>
      </c>
      <c r="F62" s="87" t="e">
        <f t="shared" si="8"/>
        <v>#NUM!</v>
      </c>
      <c r="G62" s="87" t="e">
        <f t="shared" si="8"/>
        <v>#NUM!</v>
      </c>
      <c r="H62" s="87" t="e">
        <f t="shared" si="8"/>
        <v>#NUM!</v>
      </c>
      <c r="I62" s="87" t="e">
        <f t="shared" si="8"/>
        <v>#NUM!</v>
      </c>
      <c r="J62" s="35" t="e">
        <f>IF(MAX(C62:I62)&lt;=$J$60,TRUE,FALSE)</f>
        <v>#NUM!</v>
      </c>
      <c r="L62" s="90" t="e">
        <f>IF(J62,0,'FTS-Initialization'!$N$74)</f>
        <v>#NUM!</v>
      </c>
    </row>
    <row r="64" spans="2:12" x14ac:dyDescent="0.3">
      <c r="B64" s="439" t="s">
        <v>417</v>
      </c>
      <c r="C64" s="440"/>
      <c r="D64" s="440"/>
      <c r="E64" s="440"/>
      <c r="F64" s="440"/>
      <c r="G64" s="440"/>
      <c r="H64" s="440"/>
      <c r="I64" s="440"/>
      <c r="J64" s="441"/>
    </row>
    <row r="65" spans="2:12" x14ac:dyDescent="0.3">
      <c r="B65" s="35" t="s">
        <v>408</v>
      </c>
      <c r="C65" s="88" t="s">
        <v>418</v>
      </c>
      <c r="D65" s="35" t="s">
        <v>434</v>
      </c>
      <c r="I65" s="35" t="s">
        <v>73</v>
      </c>
      <c r="J65" s="35" t="s">
        <v>434</v>
      </c>
    </row>
    <row r="66" spans="2:12" x14ac:dyDescent="0.3">
      <c r="B66" s="35" t="e">
        <f>B62</f>
        <v>#NUM!</v>
      </c>
      <c r="C66" s="93">
        <f>$J$26</f>
        <v>51000</v>
      </c>
      <c r="D66" s="35" t="e">
        <f>B66/C66</f>
        <v>#NUM!</v>
      </c>
      <c r="I66" s="97" t="e">
        <f>INDEX($I$10:$I$23,MATCH($D$66,$K$10:$K$23,1))</f>
        <v>#NUM!</v>
      </c>
      <c r="J66" s="98" t="e">
        <f>INDEX($K$10:$K$23,MATCH(I66,$I$10:$I$23,0))</f>
        <v>#NUM!</v>
      </c>
    </row>
    <row r="68" spans="2:12" x14ac:dyDescent="0.3">
      <c r="B68" s="439" t="s">
        <v>435</v>
      </c>
      <c r="C68" s="440"/>
      <c r="D68" s="440"/>
      <c r="E68" s="440"/>
      <c r="F68" s="440"/>
      <c r="G68" s="440"/>
      <c r="H68" s="440"/>
      <c r="I68" s="440"/>
      <c r="J68" s="441"/>
    </row>
    <row r="69" spans="2:12" x14ac:dyDescent="0.3">
      <c r="B69" s="88" t="s">
        <v>410</v>
      </c>
      <c r="C69" s="35" t="str">
        <f>C61</f>
        <v>S3</v>
      </c>
      <c r="D69" s="35" t="str">
        <f t="shared" ref="D69:I69" si="9">D61</f>
        <v>S4</v>
      </c>
      <c r="E69" s="35" t="str">
        <f t="shared" si="9"/>
        <v>S5</v>
      </c>
      <c r="F69" s="35" t="str">
        <f t="shared" si="9"/>
        <v>S6</v>
      </c>
      <c r="G69" s="35" t="str">
        <f t="shared" si="9"/>
        <v>S7</v>
      </c>
      <c r="H69" s="35" t="str">
        <f t="shared" si="9"/>
        <v>S8</v>
      </c>
      <c r="I69" s="35" t="str">
        <f t="shared" si="9"/>
        <v>S9</v>
      </c>
      <c r="J69" s="35" t="s">
        <v>406</v>
      </c>
      <c r="L69" s="90" t="s">
        <v>413</v>
      </c>
    </row>
    <row r="70" spans="2:12" x14ac:dyDescent="0.3">
      <c r="B70" s="93">
        <f>'FTS-Initialization'!$O$28</f>
        <v>65000</v>
      </c>
      <c r="C70" s="99" t="e">
        <f>C51/$J$66</f>
        <v>#NUM!</v>
      </c>
      <c r="D70" s="99" t="e">
        <f t="shared" ref="D70:I70" si="10">D51/$J$66</f>
        <v>#NUM!</v>
      </c>
      <c r="E70" s="99" t="e">
        <f t="shared" si="10"/>
        <v>#NUM!</v>
      </c>
      <c r="F70" s="99" t="e">
        <f t="shared" si="10"/>
        <v>#NUM!</v>
      </c>
      <c r="G70" s="99" t="e">
        <f t="shared" si="10"/>
        <v>#NUM!</v>
      </c>
      <c r="H70" s="99" t="e">
        <f t="shared" si="10"/>
        <v>#NUM!</v>
      </c>
      <c r="I70" s="99" t="e">
        <f t="shared" si="10"/>
        <v>#NUM!</v>
      </c>
      <c r="J70" s="35" t="e">
        <f>IF(MAX($C$70:$I$70)&lt;=$B$70,TRUE,FALSE)</f>
        <v>#NUM!</v>
      </c>
      <c r="L70" s="90" t="e">
        <f>IF(J70,0,'FTS-Initialization'!$N$75)</f>
        <v>#NUM!</v>
      </c>
    </row>
    <row r="88" spans="2:5" x14ac:dyDescent="0.3">
      <c r="B88" s="438" t="s">
        <v>414</v>
      </c>
      <c r="C88" s="438"/>
      <c r="D88" s="438"/>
      <c r="E88" s="438"/>
    </row>
    <row r="89" spans="2:5" x14ac:dyDescent="0.3">
      <c r="B89" s="91" t="s">
        <v>415</v>
      </c>
      <c r="C89" s="92" t="e">
        <f>MAX(L54,L57,L62,L70)</f>
        <v>#NUM!</v>
      </c>
      <c r="D89" s="91" t="s">
        <v>73</v>
      </c>
      <c r="E89" s="92" t="e">
        <f>IF($H$4="TKA",I66,I79)</f>
        <v>#NUM!</v>
      </c>
    </row>
  </sheetData>
  <mergeCells count="8">
    <mergeCell ref="B88:E88"/>
    <mergeCell ref="B68:J68"/>
    <mergeCell ref="B64:J64"/>
    <mergeCell ref="B2:L2"/>
    <mergeCell ref="B49:J49"/>
    <mergeCell ref="B60:H60"/>
    <mergeCell ref="B56:H56"/>
    <mergeCell ref="B53:F53"/>
  </mergeCells>
  <pageMargins left="0.7" right="0.7" top="0.75" bottom="0.75" header="0.3" footer="0.3"/>
  <ignoredErrors>
    <ignoredError sqref="B62" formulaRange="1"/>
  </ignoredError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AL146"/>
  <sheetViews>
    <sheetView workbookViewId="0">
      <selection activeCell="K27" sqref="K27"/>
    </sheetView>
  </sheetViews>
  <sheetFormatPr defaultColWidth="8.5546875" defaultRowHeight="14.4" x14ac:dyDescent="0.3"/>
  <cols>
    <col min="1" max="1" width="3" customWidth="1"/>
    <col min="6" max="6" width="9.5546875" bestFit="1" customWidth="1"/>
    <col min="9" max="9" width="10.5546875" bestFit="1" customWidth="1"/>
    <col min="15" max="30" width="5.44140625" customWidth="1"/>
    <col min="32" max="32" width="64.44140625" bestFit="1" customWidth="1"/>
  </cols>
  <sheetData>
    <row r="2" spans="2:38" x14ac:dyDescent="0.3">
      <c r="B2" s="437" t="s">
        <v>295</v>
      </c>
      <c r="C2" s="437"/>
      <c r="D2" s="437"/>
      <c r="E2" s="437"/>
      <c r="F2" s="437"/>
      <c r="G2" s="437"/>
      <c r="H2" s="437"/>
      <c r="I2" s="437"/>
      <c r="J2" s="437"/>
      <c r="K2" s="437"/>
      <c r="L2" s="437"/>
    </row>
    <row r="3" spans="2:38" x14ac:dyDescent="0.3">
      <c r="B3" s="61" t="s">
        <v>197</v>
      </c>
      <c r="C3" s="61" t="s">
        <v>296</v>
      </c>
      <c r="D3" s="61" t="s">
        <v>297</v>
      </c>
      <c r="E3" s="61" t="s">
        <v>298</v>
      </c>
      <c r="F3" s="61" t="s">
        <v>73</v>
      </c>
      <c r="G3" s="61" t="s">
        <v>299</v>
      </c>
      <c r="H3" s="61" t="s">
        <v>300</v>
      </c>
      <c r="I3" s="61" t="s">
        <v>301</v>
      </c>
      <c r="J3" s="61" t="s">
        <v>199</v>
      </c>
      <c r="K3" s="61" t="s">
        <v>200</v>
      </c>
      <c r="L3" s="25" t="s">
        <v>182</v>
      </c>
    </row>
    <row r="4" spans="2:38" x14ac:dyDescent="0.3">
      <c r="B4" s="25">
        <f>'1010-Initial'!B4</f>
        <v>6003</v>
      </c>
      <c r="C4" s="25">
        <f>'1010-Initial'!C4</f>
        <v>5</v>
      </c>
      <c r="D4" s="25">
        <f>'1010-Initial'!D4</f>
        <v>0</v>
      </c>
      <c r="E4" s="25">
        <f>'1010-Initial'!E4</f>
        <v>0</v>
      </c>
      <c r="F4" s="25" t="e">
        <f>'1010-GAINC'!E89</f>
        <v>#NUM!</v>
      </c>
      <c r="G4" s="25">
        <f>INDEX('FTS-Initialization'!$W$20:$W$32,MATCH(FLOOR($B$4,1000),'FTS-Initialization'!$V$20:$V$32,0))</f>
        <v>84</v>
      </c>
      <c r="H4" s="25" t="str">
        <f>INDEX('FTS-Initialization'!$X$20:$X$32,MATCH(FLOOR($B$4,1000),'FTS-Initialization'!$V$20:$V$32,0))</f>
        <v>TKA</v>
      </c>
      <c r="I4" s="60">
        <f ca="1">TODAY()</f>
        <v>42738</v>
      </c>
      <c r="J4" s="25"/>
      <c r="K4" s="25"/>
      <c r="L4" s="25">
        <v>9</v>
      </c>
    </row>
    <row r="5" spans="2:38" x14ac:dyDescent="0.3">
      <c r="B5" s="71" t="str">
        <f>DEC2HEX(B4,4)</f>
        <v>1773</v>
      </c>
      <c r="C5" s="71" t="str">
        <f>DEC2HEX(C4*2,2)</f>
        <v>0A</v>
      </c>
      <c r="D5" s="71" t="str">
        <f>DEC2HEX(D4,8)</f>
        <v>00000000</v>
      </c>
      <c r="E5" s="71" t="str">
        <f>DEC2HEX(E4,8)</f>
        <v>00000000</v>
      </c>
      <c r="F5" s="72" t="str">
        <f ca="1">DEC2HEX(YEAR($I$4)-2010,2)</f>
        <v>07</v>
      </c>
      <c r="G5" s="71" t="str">
        <f ca="1">DEC2HEX(MONTH($I$4),2)</f>
        <v>01</v>
      </c>
      <c r="H5" s="71" t="str">
        <f ca="1">DEC2HEX(DAY($I$4),2)</f>
        <v>03</v>
      </c>
      <c r="I5" s="71" t="str">
        <f>DEC2HEX('FTS-Initialization'!$AA$31,2)</f>
        <v>00</v>
      </c>
      <c r="J5" s="71"/>
      <c r="K5" s="71"/>
      <c r="L5" s="71" t="str">
        <f>DEC2HEX(L4,2)</f>
        <v>09</v>
      </c>
    </row>
    <row r="6" spans="2:38" x14ac:dyDescent="0.3">
      <c r="B6" s="61" t="str">
        <f>B3</f>
        <v>DevType</v>
      </c>
      <c r="C6" s="61" t="str">
        <f t="shared" ref="C6:E6" si="0">C3</f>
        <v>Channel</v>
      </c>
      <c r="D6" s="61" t="str">
        <f t="shared" si="0"/>
        <v>Lot #</v>
      </c>
      <c r="E6" s="61" t="str">
        <f t="shared" si="0"/>
        <v>Serial #</v>
      </c>
      <c r="F6" s="61" t="s">
        <v>185</v>
      </c>
      <c r="G6" s="61" t="s">
        <v>183</v>
      </c>
      <c r="H6" s="61" t="s">
        <v>184</v>
      </c>
      <c r="I6" s="61" t="s">
        <v>323</v>
      </c>
      <c r="J6" s="61" t="s">
        <v>199</v>
      </c>
      <c r="K6" s="61" t="s">
        <v>200</v>
      </c>
      <c r="L6" s="25" t="s">
        <v>322</v>
      </c>
    </row>
    <row r="8" spans="2:38" ht="15" thickBot="1" x14ac:dyDescent="0.35">
      <c r="B8" t="s">
        <v>416</v>
      </c>
      <c r="N8" t="s">
        <v>401</v>
      </c>
      <c r="AF8" t="s">
        <v>402</v>
      </c>
    </row>
    <row r="9" spans="2:38" x14ac:dyDescent="0.3">
      <c r="B9" s="85">
        <f>'EEPROM-Contents'!B33</f>
        <v>29</v>
      </c>
      <c r="C9" s="74">
        <f t="shared" ref="C9:C21" ca="1" si="1">HEX2DEC(D9)</f>
        <v>2</v>
      </c>
      <c r="D9" s="77" t="str">
        <f ca="1">DEC2HEX(OFFSET('FTS-Initialization'!AC37,0,MATCH(H4,'FTS-Initialization'!$AD$36:$AE$36,0)),2)</f>
        <v>02</v>
      </c>
      <c r="E9" s="69" t="str">
        <f>'EEPROM-Contents'!E33</f>
        <v>SEN(0) X</v>
      </c>
      <c r="F9" s="70"/>
      <c r="G9" s="73"/>
      <c r="K9" s="101" t="s">
        <v>199</v>
      </c>
      <c r="L9" s="101" t="s">
        <v>200</v>
      </c>
      <c r="N9" s="78" t="s">
        <v>325</v>
      </c>
      <c r="O9" s="78" t="s">
        <v>326</v>
      </c>
      <c r="P9" s="78" t="s">
        <v>327</v>
      </c>
      <c r="Q9" s="78" t="s">
        <v>328</v>
      </c>
      <c r="R9" s="78" t="s">
        <v>329</v>
      </c>
      <c r="S9" s="78" t="s">
        <v>330</v>
      </c>
      <c r="T9" s="78" t="s">
        <v>331</v>
      </c>
      <c r="U9" s="78" t="s">
        <v>332</v>
      </c>
      <c r="V9" s="78" t="s">
        <v>333</v>
      </c>
      <c r="W9" s="78" t="s">
        <v>334</v>
      </c>
      <c r="X9" s="78" t="s">
        <v>335</v>
      </c>
      <c r="Y9" s="78" t="s">
        <v>336</v>
      </c>
      <c r="Z9" s="78" t="s">
        <v>337</v>
      </c>
      <c r="AA9" s="78" t="s">
        <v>338</v>
      </c>
      <c r="AB9" s="78" t="s">
        <v>339</v>
      </c>
      <c r="AC9" s="78" t="s">
        <v>340</v>
      </c>
      <c r="AD9" s="78" t="s">
        <v>341</v>
      </c>
      <c r="AF9" s="80" t="s">
        <v>374</v>
      </c>
    </row>
    <row r="10" spans="2:38" x14ac:dyDescent="0.3">
      <c r="B10" s="85">
        <f>'EEPROM-Contents'!B34</f>
        <v>30</v>
      </c>
      <c r="C10" s="74">
        <f t="shared" ca="1" si="1"/>
        <v>2</v>
      </c>
      <c r="D10" s="77" t="str">
        <f ca="1">DEC2HEX(OFFSET('FTS-Initialization'!AC38,0,MATCH($H$4,'FTS-Initialization'!$AD$36:$AE$36,0)),2)</f>
        <v>02</v>
      </c>
      <c r="E10" s="69" t="str">
        <f>'EEPROM-Contents'!E34</f>
        <v>SEN(1) Y</v>
      </c>
      <c r="F10" s="70"/>
      <c r="G10" s="73"/>
      <c r="K10" s="101">
        <f>E137</f>
        <v>0</v>
      </c>
      <c r="L10" s="101">
        <f>G137</f>
        <v>0</v>
      </c>
      <c r="N10" s="78" t="s">
        <v>326</v>
      </c>
      <c r="O10" s="79" t="str">
        <f>RIGHT(INDEX('EEPROM-Contents'!$D$4:'EEPROM-Contents'!$D$141,MATCH('EEPROM-Contents'!Q4,'EEPROM-Contents'!$B$4:'EEPROM-Contents'!$B$141,0)),2)</f>
        <v>1B</v>
      </c>
      <c r="P10" s="79" t="str">
        <f>RIGHT(INDEX('EEPROM-Contents'!$D$4:'EEPROM-Contents'!$D$141,MATCH('EEPROM-Contents'!R4,'EEPROM-Contents'!$B$4:'EEPROM-Contents'!$B$141,0)),2)</f>
        <v>00</v>
      </c>
      <c r="Q10" s="79" t="str">
        <f>RIGHT(INDEX('EEPROM-Contents'!$D$4:'EEPROM-Contents'!$D$141,MATCH('EEPROM-Contents'!S4,'EEPROM-Contents'!$B$4:'EEPROM-Contents'!$B$141,0)),2)</f>
        <v>00</v>
      </c>
      <c r="R10" s="79" t="str">
        <f>RIGHT(INDEX('EEPROM-Contents'!$D$4:'EEPROM-Contents'!$D$141,MATCH('EEPROM-Contents'!T4,'EEPROM-Contents'!$B$4:'EEPROM-Contents'!$B$141,0)),2)</f>
        <v>00</v>
      </c>
      <c r="S10" s="79" t="str">
        <f>RIGHT(INDEX('EEPROM-Contents'!$D$4:'EEPROM-Contents'!$D$141,MATCH('EEPROM-Contents'!U4,'EEPROM-Contents'!$B$4:'EEPROM-Contents'!$B$141,0)),2)</f>
        <v>00</v>
      </c>
      <c r="T10" s="79" t="str">
        <f>RIGHT(INDEX('EEPROM-Contents'!$D$4:'EEPROM-Contents'!$D$141,MATCH('EEPROM-Contents'!V4,'EEPROM-Contents'!$B$4:'EEPROM-Contents'!$B$141,0)),2)</f>
        <v>00</v>
      </c>
      <c r="U10" s="79" t="str">
        <f>RIGHT(INDEX('EEPROM-Contents'!$D$4:'EEPROM-Contents'!$D$141,MATCH('EEPROM-Contents'!W4,'EEPROM-Contents'!$B$4:'EEPROM-Contents'!$B$141,0)),2)</f>
        <v>00</v>
      </c>
      <c r="V10" s="79" t="str">
        <f>RIGHT(INDEX('EEPROM-Contents'!$D$4:'EEPROM-Contents'!$D$141,MATCH('EEPROM-Contents'!X4,'EEPROM-Contents'!$B$4:'EEPROM-Contents'!$B$141,0)),2)</f>
        <v>00</v>
      </c>
      <c r="W10" s="79" t="str">
        <f>RIGHT(INDEX('EEPROM-Contents'!$D$4:'EEPROM-Contents'!$D$141,MATCH('EEPROM-Contents'!Y4,'EEPROM-Contents'!$B$4:'EEPROM-Contents'!$B$141,0)),2)</f>
        <v>84</v>
      </c>
      <c r="X10" s="79" t="str">
        <f>RIGHT(INDEX('EEPROM-Contents'!$D$4:'EEPROM-Contents'!$D$141,MATCH('EEPROM-Contents'!Z4,'EEPROM-Contents'!$B$4:'EEPROM-Contents'!$B$141,0)),2)</f>
        <v>60</v>
      </c>
      <c r="Y10" s="79" t="str">
        <f>RIGHT(INDEX('EEPROM-Contents'!$D$4:'EEPROM-Contents'!$D$141,MATCH('EEPROM-Contents'!AA4,'EEPROM-Contents'!$B$4:'EEPROM-Contents'!$B$141,0)),2)</f>
        <v>0D</v>
      </c>
      <c r="Z10" s="79" t="str">
        <f>RIGHT(INDEX('EEPROM-Contents'!$D$4:'EEPROM-Contents'!$D$141,MATCH('EEPROM-Contents'!AB4,'EEPROM-Contents'!$B$4:'EEPROM-Contents'!$B$141,0)),2)</f>
        <v>EA</v>
      </c>
      <c r="AA10" s="79" t="str">
        <f>RIGHT(INDEX('EEPROM-Contents'!$D$4:'EEPROM-Contents'!$D$141,MATCH('EEPROM-Contents'!AC4,'EEPROM-Contents'!$B$4:'EEPROM-Contents'!$B$141,0)),2)</f>
        <v>01</v>
      </c>
      <c r="AB10" s="79" t="str">
        <f>RIGHT(INDEX('EEPROM-Contents'!$D$4:'EEPROM-Contents'!$D$141,MATCH('EEPROM-Contents'!AD4,'EEPROM-Contents'!$B$4:'EEPROM-Contents'!$B$141,0)),2)</f>
        <v>00</v>
      </c>
      <c r="AC10" s="79" t="str">
        <f>RIGHT(INDEX('EEPROM-Contents'!$D$4:'EEPROM-Contents'!$D$141,MATCH('EEPROM-Contents'!AE4,'EEPROM-Contents'!$B$4:'EEPROM-Contents'!$B$141,0)),2)</f>
        <v>03</v>
      </c>
      <c r="AD10" s="79" t="str">
        <f>RIGHT(INDEX('EEPROM-Contents'!$D$4:'EEPROM-Contents'!$D$141,MATCH('EEPROM-Contents'!AF4,'EEPROM-Contents'!$B$4:'EEPROM-Contents'!$B$141,0)),2)</f>
        <v>00</v>
      </c>
      <c r="AF10" s="81" t="str">
        <f>CONCATENATE("00000000000000000000",O10,P10,Q10,R10,S10,T10,U10,V10,W10,X10,Y10,Z10,AA10,AB10,AC10,AD10,"00")</f>
        <v>000000000000000000001B0000000000000084600DEA0100030000</v>
      </c>
    </row>
    <row r="11" spans="2:38" x14ac:dyDescent="0.3">
      <c r="B11" s="85">
        <f>'EEPROM-Contents'!B35</f>
        <v>31</v>
      </c>
      <c r="C11" s="74">
        <f t="shared" ca="1" si="1"/>
        <v>4</v>
      </c>
      <c r="D11" s="77" t="str">
        <f ca="1">DEC2HEX(OFFSET('FTS-Initialization'!AC39,0,MATCH($H$4,'FTS-Initialization'!$AD$36:$AE$36,0)),2)</f>
        <v>04</v>
      </c>
      <c r="E11" s="69" t="str">
        <f>'EEPROM-Contents'!E35</f>
        <v>SEN(2) Z</v>
      </c>
      <c r="F11" s="70"/>
      <c r="G11" s="73"/>
      <c r="I11" s="101" t="s">
        <v>454</v>
      </c>
      <c r="J11" s="101" t="s">
        <v>446</v>
      </c>
      <c r="K11" s="101" t="s">
        <v>447</v>
      </c>
      <c r="L11" s="101" t="s">
        <v>448</v>
      </c>
      <c r="N11" s="78" t="s">
        <v>342</v>
      </c>
      <c r="O11" s="84" t="e">
        <f>RIGHT(INDEX($D$9:$D$47,MATCH('EEPROM-Contents'!Q5,$B$9:$B$47,0)),2)</f>
        <v>#NUM!</v>
      </c>
      <c r="P11" s="79" t="str">
        <f>RIGHT(INDEX('EEPROM-Contents'!$D$4:'EEPROM-Contents'!$D$141,MATCH('EEPROM-Contents'!R5,'EEPROM-Contents'!$B$4:'EEPROM-Contents'!$B$141,0)),2)</f>
        <v>00</v>
      </c>
      <c r="Q11" s="79" t="str">
        <f>RIGHT(INDEX('EEPROM-Contents'!$D$4:'EEPROM-Contents'!$D$141,MATCH('EEPROM-Contents'!S5,'EEPROM-Contents'!$B$4:'EEPROM-Contents'!$B$141,0)),2)</f>
        <v>00</v>
      </c>
      <c r="R11" s="79" t="str">
        <f>RIGHT(INDEX('EEPROM-Contents'!$D$4:'EEPROM-Contents'!$D$141,MATCH('EEPROM-Contents'!T5,'EEPROM-Contents'!$B$4:'EEPROM-Contents'!$B$141,0)),2)</f>
        <v>00</v>
      </c>
      <c r="S11" s="79" t="str">
        <f>RIGHT(INDEX('EEPROM-Contents'!$D$4:'EEPROM-Contents'!$D$141,MATCH('EEPROM-Contents'!U5,'EEPROM-Contents'!$B$4:'EEPROM-Contents'!$B$141,0)),2)</f>
        <v>00</v>
      </c>
      <c r="T11" s="79" t="str">
        <f>RIGHT(INDEX('EEPROM-Contents'!$D$4:'EEPROM-Contents'!$D$141,MATCH('EEPROM-Contents'!V5,'EEPROM-Contents'!$B$4:'EEPROM-Contents'!$B$141,0)),2)</f>
        <v>00</v>
      </c>
      <c r="U11" s="79" t="str">
        <f>RIGHT(INDEX('EEPROM-Contents'!$D$4:'EEPROM-Contents'!$D$141,MATCH('EEPROM-Contents'!W5,'EEPROM-Contents'!$B$4:'EEPROM-Contents'!$B$141,0)),2)</f>
        <v>06</v>
      </c>
      <c r="V11" s="79" t="str">
        <f>RIGHT(INDEX('EEPROM-Contents'!$D$4:'EEPROM-Contents'!$D$141,MATCH('EEPROM-Contents'!X5,'EEPROM-Contents'!$B$4:'EEPROM-Contents'!$B$141,0)),2)</f>
        <v>01</v>
      </c>
      <c r="W11" s="79" t="str">
        <f>RIGHT(INDEX('EEPROM-Contents'!$D$4:'EEPROM-Contents'!$D$141,MATCH('EEPROM-Contents'!Y5,'EEPROM-Contents'!$B$4:'EEPROM-Contents'!$B$141,0)),2)</f>
        <v>01</v>
      </c>
      <c r="X11" s="79" t="str">
        <f>RIGHT(INDEX('EEPROM-Contents'!$D$4:'EEPROM-Contents'!$D$141,MATCH('EEPROM-Contents'!Z5,'EEPROM-Contents'!$B$4:'EEPROM-Contents'!$B$141,0)),2)</f>
        <v>02</v>
      </c>
      <c r="Y11" s="79" t="str">
        <f>RIGHT(INDEX('EEPROM-Contents'!$D$4:'EEPROM-Contents'!$D$141,MATCH('EEPROM-Contents'!AA5,'EEPROM-Contents'!$B$4:'EEPROM-Contents'!$B$141,0)),2)</f>
        <v>1F</v>
      </c>
      <c r="Z11" s="79" t="str">
        <f>RIGHT(INDEX('EEPROM-Contents'!$D$4:'EEPROM-Contents'!$D$141,MATCH('EEPROM-Contents'!AB5,'EEPROM-Contents'!$B$4:'EEPROM-Contents'!$B$141,0)),2)</f>
        <v>0C</v>
      </c>
      <c r="AA11" s="79" t="str">
        <f>RIGHT(INDEX('EEPROM-Contents'!$D$4:'EEPROM-Contents'!$D$141,MATCH('EEPROM-Contents'!AC5,'EEPROM-Contents'!$B$4:'EEPROM-Contents'!$B$141,0)),2)</f>
        <v>08</v>
      </c>
      <c r="AB11" s="84" t="str">
        <f ca="1">RIGHT(INDEX($D$9:$D$47,MATCH('EEPROM-Contents'!AD5,$B$9:$B$47,0)),2)</f>
        <v>02</v>
      </c>
      <c r="AC11" s="84" t="str">
        <f ca="1">RIGHT(INDEX($D$9:$D$47,MATCH('EEPROM-Contents'!AE5,$B$9:$B$47,0)),2)</f>
        <v>02</v>
      </c>
      <c r="AD11" s="84" t="str">
        <f ca="1">RIGHT(INDEX($D$9:$D$47,MATCH('EEPROM-Contents'!AF5,$B$9:$B$47,0)),2)</f>
        <v>04</v>
      </c>
      <c r="AF11" s="81" t="e">
        <f t="shared" ref="AF11:AF41" ca="1" si="2">CONCATENATE("00000000000000000000",O11,P11,Q11,R11,S11,T11,U11,V11,W11,X11,Y11,Z11,AA11,AB11,AC11,AD11,"00")</f>
        <v>#NUM!</v>
      </c>
    </row>
    <row r="12" spans="2:38" x14ac:dyDescent="0.3">
      <c r="B12" s="85">
        <f>'EEPROM-Contents'!B36</f>
        <v>32</v>
      </c>
      <c r="C12" s="74">
        <f t="shared" ca="1" si="1"/>
        <v>4</v>
      </c>
      <c r="D12" s="77" t="str">
        <f ca="1">DEC2HEX(OFFSET('FTS-Initialization'!AC40,0,MATCH($H$4,'FTS-Initialization'!$AD$36:$AE$36,0)),2)</f>
        <v>04</v>
      </c>
      <c r="E12" s="69" t="str">
        <f>'EEPROM-Contents'!E36</f>
        <v>SEN(3) SP6B</v>
      </c>
      <c r="F12" s="70"/>
      <c r="G12" s="73"/>
      <c r="I12" s="101">
        <v>0</v>
      </c>
      <c r="J12" s="101">
        <v>0</v>
      </c>
      <c r="K12" s="103">
        <f>$J12*K$10/100</f>
        <v>0</v>
      </c>
      <c r="L12" s="103">
        <f>$J12*L$10/100</f>
        <v>0</v>
      </c>
      <c r="N12" s="78" t="s">
        <v>343</v>
      </c>
      <c r="O12" s="84" t="str">
        <f ca="1">RIGHT(INDEX($D$9:$D$47,MATCH('EEPROM-Contents'!Q6,$B$9:$B$47,0)),2)</f>
        <v>04</v>
      </c>
      <c r="P12" s="84" t="str">
        <f ca="1">RIGHT(INDEX($D$9:$D$47,MATCH('EEPROM-Contents'!R6,$B$9:$B$47,0)),2)</f>
        <v>04</v>
      </c>
      <c r="Q12" s="84" t="str">
        <f ca="1">RIGHT(INDEX($D$9:$D$47,MATCH('EEPROM-Contents'!S6,$B$9:$B$47,0)),2)</f>
        <v>04</v>
      </c>
      <c r="R12" s="84" t="str">
        <f ca="1">RIGHT(INDEX($D$9:$D$47,MATCH('EEPROM-Contents'!T6,$B$9:$B$47,0)),2)</f>
        <v>04</v>
      </c>
      <c r="S12" s="84" t="str">
        <f ca="1">RIGHT(INDEX($D$9:$D$47,MATCH('EEPROM-Contents'!U6,$B$9:$B$47,0)),2)</f>
        <v>04</v>
      </c>
      <c r="T12" s="84" t="str">
        <f ca="1">RIGHT(INDEX($D$9:$D$47,MATCH('EEPROM-Contents'!V6,$B$9:$B$47,0)),2)</f>
        <v>04</v>
      </c>
      <c r="U12" s="84" t="str">
        <f ca="1">RIGHT(INDEX($D$9:$D$47,MATCH('EEPROM-Contents'!W6,$B$9:$B$47,0)),2)</f>
        <v>04</v>
      </c>
      <c r="V12" s="79" t="str">
        <f>RIGHT(INDEX('EEPROM-Contents'!$D$4:'EEPROM-Contents'!$D$141,MATCH('EEPROM-Contents'!X6,'EEPROM-Contents'!$B$4:'EEPROM-Contents'!$B$141,0)),2)</f>
        <v>03</v>
      </c>
      <c r="W12" s="79" t="str">
        <f>RIGHT(INDEX('EEPROM-Contents'!$D$4:'EEPROM-Contents'!$D$141,MATCH('EEPROM-Contents'!Y6,'EEPROM-Contents'!$B$4:'EEPROM-Contents'!$B$141,0)),2)</f>
        <v>21</v>
      </c>
      <c r="X12" s="79" t="str">
        <f>RIGHT(INDEX('EEPROM-Contents'!$D$4:'EEPROM-Contents'!$D$141,MATCH('EEPROM-Contents'!Z6,'EEPROM-Contents'!$B$4:'EEPROM-Contents'!$B$141,0)),2)</f>
        <v>07</v>
      </c>
      <c r="Y12" s="79" t="str">
        <f>RIGHT(INDEX('EEPROM-Contents'!$D$4:'EEPROM-Contents'!$D$141,MATCH('EEPROM-Contents'!AA6,'EEPROM-Contents'!$B$4:'EEPROM-Contents'!$B$141,0)),2)</f>
        <v>10</v>
      </c>
      <c r="Z12" s="79" t="str">
        <f>RIGHT(INDEX('EEPROM-Contents'!$D$4:'EEPROM-Contents'!$D$141,MATCH('EEPROM-Contents'!AB6,'EEPROM-Contents'!$B$4:'EEPROM-Contents'!$B$141,0)),2)</f>
        <v>02</v>
      </c>
      <c r="AA12" s="79" t="str">
        <f>RIGHT(INDEX('EEPROM-Contents'!$D$4:'EEPROM-Contents'!$D$141,MATCH('EEPROM-Contents'!AC6,'EEPROM-Contents'!$B$4:'EEPROM-Contents'!$B$141,0)),2)</f>
        <v>20</v>
      </c>
      <c r="AB12" s="79" t="str">
        <f>RIGHT(INDEX('EEPROM-Contents'!$D$4:'EEPROM-Contents'!$D$141,MATCH('EEPROM-Contents'!AD6,'EEPROM-Contents'!$B$4:'EEPROM-Contents'!$B$141,0)),2)</f>
        <v>04</v>
      </c>
      <c r="AC12" s="79" t="str">
        <f>RIGHT(INDEX('EEPROM-Contents'!$D$4:'EEPROM-Contents'!$D$141,MATCH('EEPROM-Contents'!AE6,'EEPROM-Contents'!$B$4:'EEPROM-Contents'!$B$141,0)),2)</f>
        <v>40</v>
      </c>
      <c r="AD12" s="84" t="str">
        <f>RIGHT(INDEX($D$9:$D$47,MATCH('EEPROM-Contents'!AF6,$B$9:$B$47,0)),2)</f>
        <v>84</v>
      </c>
      <c r="AF12" s="81" t="str">
        <f t="shared" ca="1" si="2"/>
        <v>000000000000000000000404040404040403210710022004408400</v>
      </c>
    </row>
    <row r="13" spans="2:38" x14ac:dyDescent="0.3">
      <c r="B13" s="85">
        <f>'EEPROM-Contents'!B37</f>
        <v>33</v>
      </c>
      <c r="C13" s="74">
        <f t="shared" ca="1" si="1"/>
        <v>4</v>
      </c>
      <c r="D13" s="77" t="str">
        <f ca="1">DEC2HEX(OFFSET('FTS-Initialization'!AC41,0,MATCH($H$4,'FTS-Initialization'!$AD$36:$AE$36,0)),2)</f>
        <v>04</v>
      </c>
      <c r="E13" s="69" t="str">
        <f>'EEPROM-Contents'!E37</f>
        <v>SEN(4) SP5B</v>
      </c>
      <c r="F13" s="70"/>
      <c r="G13" s="73"/>
      <c r="I13" s="101">
        <v>5</v>
      </c>
      <c r="J13" s="101">
        <v>9</v>
      </c>
      <c r="K13" s="103">
        <f t="shared" ref="K13:L17" si="3">$J13*K$10/100</f>
        <v>0</v>
      </c>
      <c r="L13" s="103">
        <f t="shared" si="3"/>
        <v>0</v>
      </c>
      <c r="N13" s="78" t="s">
        <v>344</v>
      </c>
      <c r="O13" s="79" t="str">
        <f>RIGHT(INDEX('EEPROM-Contents'!$D$4:'EEPROM-Contents'!$D$141,MATCH('EEPROM-Contents'!Q7,'EEPROM-Contents'!$B$4:'EEPROM-Contents'!$B$141,0)),2)</f>
        <v>A8</v>
      </c>
      <c r="P13" s="79" t="str">
        <f>RIGHT(INDEX('EEPROM-Contents'!$D$4:'EEPROM-Contents'!$D$141,MATCH('EEPROM-Contents'!R7,'EEPROM-Contents'!$B$4:'EEPROM-Contents'!$B$141,0)),2)</f>
        <v>06</v>
      </c>
      <c r="Q13" s="79" t="str">
        <f>RIGHT(INDEX('EEPROM-Contents'!$D$4:'EEPROM-Contents'!$D$141,MATCH('EEPROM-Contents'!S7,'EEPROM-Contents'!$B$4:'EEPROM-Contents'!$B$141,0)),2)</f>
        <v>2E</v>
      </c>
      <c r="R13" s="79" t="str">
        <f>RIGHT(INDEX('EEPROM-Contents'!$D$4:'EEPROM-Contents'!$D$141,MATCH('EEPROM-Contents'!T7,'EEPROM-Contents'!$B$4:'EEPROM-Contents'!$B$141,0)),2)</f>
        <v>2F</v>
      </c>
      <c r="S13" s="79" t="str">
        <f>RIGHT(INDEX('EEPROM-Contents'!$D$4:'EEPROM-Contents'!$D$141,MATCH('EEPROM-Contents'!U7,'EEPROM-Contents'!$B$4:'EEPROM-Contents'!$B$141,0)),2)</f>
        <v>1B</v>
      </c>
      <c r="T13" s="79" t="str">
        <f>RIGHT(INDEX('EEPROM-Contents'!$D$4:'EEPROM-Contents'!$D$141,MATCH('EEPROM-Contents'!V7,'EEPROM-Contents'!$B$4:'EEPROM-Contents'!$B$141,0)),2)</f>
        <v>D3</v>
      </c>
      <c r="U13" s="79" t="str">
        <f>RIGHT(INDEX('EEPROM-Contents'!$D$4:'EEPROM-Contents'!$D$141,MATCH('EEPROM-Contents'!W7,'EEPROM-Contents'!$B$4:'EEPROM-Contents'!$B$141,0)),2)</f>
        <v>91</v>
      </c>
      <c r="V13" s="79" t="str">
        <f>RIGHT(INDEX('EEPROM-Contents'!$D$4:'EEPROM-Contents'!$D$141,MATCH('EEPROM-Contents'!X7,'EEPROM-Contents'!$B$4:'EEPROM-Contents'!$B$141,0)),2)</f>
        <v>1B</v>
      </c>
      <c r="W13" s="79" t="str">
        <f>RIGHT(INDEX('EEPROM-Contents'!$D$4:'EEPROM-Contents'!$D$141,MATCH('EEPROM-Contents'!Y7,'EEPROM-Contents'!$B$4:'EEPROM-Contents'!$B$141,0)),2)</f>
        <v>08</v>
      </c>
      <c r="X13" s="79" t="str">
        <f>RIGHT(INDEX('EEPROM-Contents'!$D$4:'EEPROM-Contents'!$D$141,MATCH('EEPROM-Contents'!Z7,'EEPROM-Contents'!$B$4:'EEPROM-Contents'!$B$141,0)),2)</f>
        <v>44</v>
      </c>
      <c r="Y13" s="79" t="str">
        <f>RIGHT(INDEX('EEPROM-Contents'!$D$4:'EEPROM-Contents'!$D$141,MATCH('EEPROM-Contents'!AA7,'EEPROM-Contents'!$B$4:'EEPROM-Contents'!$B$141,0)),2)</f>
        <v>00</v>
      </c>
      <c r="Z13" s="84" t="str">
        <f>RIGHT(INDEX($D$9:$D$47,MATCH('EEPROM-Contents'!AB7,$B$9:$B$47,0)),2)</f>
        <v>0A</v>
      </c>
      <c r="AA13" s="79" t="str">
        <f>RIGHT(INDEX('EEPROM-Contents'!$D$4:'EEPROM-Contents'!$D$141,MATCH('EEPROM-Contents'!AC7,'EEPROM-Contents'!$B$4:'EEPROM-Contents'!$B$141,0)),2)</f>
        <v>0F</v>
      </c>
      <c r="AB13" s="79" t="str">
        <f>RIGHT(INDEX('EEPROM-Contents'!$D$4:'EEPROM-Contents'!$D$141,MATCH('EEPROM-Contents'!AD7,'EEPROM-Contents'!$B$4:'EEPROM-Contents'!$B$141,0)),2)</f>
        <v>00</v>
      </c>
      <c r="AC13" s="79" t="str">
        <f>RIGHT(INDEX('EEPROM-Contents'!$D$4:'EEPROM-Contents'!$D$141,MATCH('EEPROM-Contents'!AE7,'EEPROM-Contents'!$B$4:'EEPROM-Contents'!$B$141,0)),2)</f>
        <v>0F</v>
      </c>
      <c r="AD13" s="79" t="str">
        <f>RIGHT(INDEX('EEPROM-Contents'!$D$4:'EEPROM-Contents'!$D$141,MATCH('EEPROM-Contents'!AF7,'EEPROM-Contents'!$B$4:'EEPROM-Contents'!$B$141,0)),2)</f>
        <v>6C</v>
      </c>
      <c r="AF13" s="81" t="str">
        <f t="shared" si="2"/>
        <v>00000000000000000000A8062E2F1BD3911B0844000A0F000F6C00</v>
      </c>
      <c r="AL13" s="106"/>
    </row>
    <row r="14" spans="2:38" x14ac:dyDescent="0.3">
      <c r="B14" s="85">
        <f>'EEPROM-Contents'!B38</f>
        <v>34</v>
      </c>
      <c r="C14" s="74">
        <f t="shared" ca="1" si="1"/>
        <v>4</v>
      </c>
      <c r="D14" s="77" t="str">
        <f ca="1">DEC2HEX(OFFSET('FTS-Initialization'!AC42,0,MATCH($H$4,'FTS-Initialization'!$AD$36:$AE$36,0)),2)</f>
        <v>04</v>
      </c>
      <c r="E14" s="69" t="str">
        <f>'EEPROM-Contents'!E38</f>
        <v>SEN(5) SP4B</v>
      </c>
      <c r="F14" s="70"/>
      <c r="G14" s="73"/>
      <c r="I14" s="101">
        <v>10</v>
      </c>
      <c r="J14" s="101">
        <v>19</v>
      </c>
      <c r="K14" s="103">
        <f t="shared" si="3"/>
        <v>0</v>
      </c>
      <c r="L14" s="103">
        <f t="shared" si="3"/>
        <v>0</v>
      </c>
      <c r="N14" s="78" t="s">
        <v>346</v>
      </c>
      <c r="O14" s="79" t="str">
        <f>RIGHT(INDEX('EEPROM-Contents'!$D$4:'EEPROM-Contents'!$D$141,MATCH('EEPROM-Contents'!Q8,'EEPROM-Contents'!$B$4:'EEPROM-Contents'!$B$141,0)),2)</f>
        <v>CC</v>
      </c>
      <c r="P14" s="79" t="str">
        <f>RIGHT(INDEX('EEPROM-Contents'!$D$4:'EEPROM-Contents'!$D$141,MATCH('EEPROM-Contents'!R8,'EEPROM-Contents'!$B$4:'EEPROM-Contents'!$B$141,0)),2)</f>
        <v>5B</v>
      </c>
      <c r="Q14" s="79" t="str">
        <f>RIGHT(INDEX('EEPROM-Contents'!$D$4:'EEPROM-Contents'!$D$141,MATCH('EEPROM-Contents'!S8,'EEPROM-Contents'!$B$4:'EEPROM-Contents'!$B$141,0)),2)</f>
        <v>F8</v>
      </c>
      <c r="R14" s="79" t="str">
        <f>RIGHT(INDEX('EEPROM-Contents'!$D$4:'EEPROM-Contents'!$D$141,MATCH('EEPROM-Contents'!T8,'EEPROM-Contents'!$B$4:'EEPROM-Contents'!$B$141,0)),2)</f>
        <v>17</v>
      </c>
      <c r="S14" s="79" t="str">
        <f>RIGHT(INDEX('EEPROM-Contents'!$D$4:'EEPROM-Contents'!$D$141,MATCH('EEPROM-Contents'!U8,'EEPROM-Contents'!$B$4:'EEPROM-Contents'!$B$141,0)),2)</f>
        <v>23</v>
      </c>
      <c r="T14" s="79" t="str">
        <f>RIGHT(INDEX('EEPROM-Contents'!$D$4:'EEPROM-Contents'!$D$141,MATCH('EEPROM-Contents'!V8,'EEPROM-Contents'!$B$4:'EEPROM-Contents'!$B$141,0)),2)</f>
        <v>9A</v>
      </c>
      <c r="U14" s="79" t="str">
        <f>RIGHT(INDEX('EEPROM-Contents'!$D$4:'EEPROM-Contents'!$D$141,MATCH('EEPROM-Contents'!W8,'EEPROM-Contents'!$B$4:'EEPROM-Contents'!$B$141,0)),2)</f>
        <v>47</v>
      </c>
      <c r="V14" s="79" t="str">
        <f>RIGHT(INDEX('EEPROM-Contents'!$D$4:'EEPROM-Contents'!$D$141,MATCH('EEPROM-Contents'!X8,'EEPROM-Contents'!$B$4:'EEPROM-Contents'!$B$141,0)),2)</f>
        <v>00</v>
      </c>
      <c r="W14" s="79" t="str">
        <f>RIGHT(INDEX('EEPROM-Contents'!$D$4:'EEPROM-Contents'!$D$141,MATCH('EEPROM-Contents'!Y8,'EEPROM-Contents'!$B$4:'EEPROM-Contents'!$B$141,0)),2)</f>
        <v>30</v>
      </c>
      <c r="X14" s="79" t="str">
        <f>RIGHT(INDEX('EEPROM-Contents'!$D$4:'EEPROM-Contents'!$D$141,MATCH('EEPROM-Contents'!Z8,'EEPROM-Contents'!$B$4:'EEPROM-Contents'!$B$141,0)),2)</f>
        <v>18</v>
      </c>
      <c r="Y14" s="79" t="str">
        <f>RIGHT(INDEX('EEPROM-Contents'!$D$4:'EEPROM-Contents'!$D$141,MATCH('EEPROM-Contents'!AA8,'EEPROM-Contents'!$B$4:'EEPROM-Contents'!$B$141,0)),2)</f>
        <v>16</v>
      </c>
      <c r="Z14" s="79" t="str">
        <f>RIGHT(INDEX('EEPROM-Contents'!$D$4:'EEPROM-Contents'!$D$141,MATCH('EEPROM-Contents'!AB8,'EEPROM-Contents'!$B$4:'EEPROM-Contents'!$B$141,0)),2)</f>
        <v>6C</v>
      </c>
      <c r="AA14" s="79" t="str">
        <f>RIGHT(INDEX('EEPROM-Contents'!$D$4:'EEPROM-Contents'!$D$141,MATCH('EEPROM-Contents'!AC8,'EEPROM-Contents'!$B$4:'EEPROM-Contents'!$B$141,0)),2)</f>
        <v>03</v>
      </c>
      <c r="AB14" s="79" t="str">
        <f>RIGHT(INDEX('EEPROM-Contents'!$D$4:'EEPROM-Contents'!$D$141,MATCH('EEPROM-Contents'!AD8,'EEPROM-Contents'!$B$4:'EEPROM-Contents'!$B$141,0)),2)</f>
        <v>40</v>
      </c>
      <c r="AC14" s="79" t="str">
        <f>RIGHT(INDEX('EEPROM-Contents'!$D$4:'EEPROM-Contents'!$D$141,MATCH('EEPROM-Contents'!AE8,'EEPROM-Contents'!$B$4:'EEPROM-Contents'!$B$141,0)),2)</f>
        <v>91</v>
      </c>
      <c r="AD14" s="79" t="str">
        <f>RIGHT(INDEX('EEPROM-Contents'!$D$4:'EEPROM-Contents'!$D$141,MATCH('EEPROM-Contents'!AF8,'EEPROM-Contents'!$B$4:'EEPROM-Contents'!$B$141,0)),2)</f>
        <v>00</v>
      </c>
      <c r="AF14" s="81" t="str">
        <f t="shared" si="2"/>
        <v>00000000000000000000CC5BF817239A47003018166C0340910000</v>
      </c>
      <c r="AL14" s="106"/>
    </row>
    <row r="15" spans="2:38" x14ac:dyDescent="0.3">
      <c r="B15" s="85">
        <f>'EEPROM-Contents'!B39</f>
        <v>35</v>
      </c>
      <c r="C15" s="74">
        <f t="shared" ca="1" si="1"/>
        <v>4</v>
      </c>
      <c r="D15" s="77" t="str">
        <f ca="1">DEC2HEX(OFFSET('FTS-Initialization'!AC43,0,MATCH($H$4,'FTS-Initialization'!$AD$36:$AE$36,0)),2)</f>
        <v>04</v>
      </c>
      <c r="E15" s="69" t="str">
        <f>'EEPROM-Contents'!E39</f>
        <v>SEN(6) SP3B</v>
      </c>
      <c r="F15" s="70"/>
      <c r="G15" s="73"/>
      <c r="I15" s="101">
        <v>20</v>
      </c>
      <c r="J15" s="101">
        <v>39</v>
      </c>
      <c r="K15" s="103">
        <f t="shared" si="3"/>
        <v>0</v>
      </c>
      <c r="L15" s="103">
        <f t="shared" si="3"/>
        <v>0</v>
      </c>
      <c r="N15" s="78" t="s">
        <v>347</v>
      </c>
      <c r="O15" s="79" t="str">
        <f>RIGHT(INDEX('EEPROM-Contents'!$D$4:'EEPROM-Contents'!$D$141,MATCH('EEPROM-Contents'!Q9,'EEPROM-Contents'!$B$4:'EEPROM-Contents'!$B$141,0)),2)</f>
        <v>C0</v>
      </c>
      <c r="P15" s="79" t="str">
        <f>RIGHT(INDEX('EEPROM-Contents'!$D$4:'EEPROM-Contents'!$D$141,MATCH('EEPROM-Contents'!R9,'EEPROM-Contents'!$B$4:'EEPROM-Contents'!$B$141,0)),2)</f>
        <v>78</v>
      </c>
      <c r="Q15" s="79" t="str">
        <f>RIGHT(INDEX('EEPROM-Contents'!$D$4:'EEPROM-Contents'!$D$141,MATCH('EEPROM-Contents'!S9,'EEPROM-Contents'!$B$4:'EEPROM-Contents'!$B$141,0)),2)</f>
        <v>56</v>
      </c>
      <c r="R15" s="79" t="str">
        <f>RIGHT(INDEX('EEPROM-Contents'!$D$4:'EEPROM-Contents'!$D$141,MATCH('EEPROM-Contents'!T9,'EEPROM-Contents'!$B$4:'EEPROM-Contents'!$B$141,0)),2)</f>
        <v>10</v>
      </c>
      <c r="S15" s="79" t="str">
        <f>RIGHT(INDEX('EEPROM-Contents'!$D$4:'EEPROM-Contents'!$D$141,MATCH('EEPROM-Contents'!U9,'EEPROM-Contents'!$B$4:'EEPROM-Contents'!$B$141,0)),2)</f>
        <v>EA</v>
      </c>
      <c r="T15" s="79" t="str">
        <f>RIGHT(INDEX('EEPROM-Contents'!$D$4:'EEPROM-Contents'!$D$141,MATCH('EEPROM-Contents'!V9,'EEPROM-Contents'!$B$4:'EEPROM-Contents'!$B$141,0)),2)</f>
        <v>2A</v>
      </c>
      <c r="U15" s="79" t="str">
        <f>RIGHT(INDEX('EEPROM-Contents'!$D$4:'EEPROM-Contents'!$D$141,MATCH('EEPROM-Contents'!W9,'EEPROM-Contents'!$B$4:'EEPROM-Contents'!$B$141,0)),2)</f>
        <v>00</v>
      </c>
      <c r="V15" s="79" t="str">
        <f>RIGHT(INDEX('EEPROM-Contents'!$D$4:'EEPROM-Contents'!$D$141,MATCH('EEPROM-Contents'!X9,'EEPROM-Contents'!$B$4:'EEPROM-Contents'!$B$141,0)),2)</f>
        <v>1F</v>
      </c>
      <c r="W15" s="79" t="str">
        <f>RIGHT(INDEX('EEPROM-Contents'!$D$4:'EEPROM-Contents'!$D$141,MATCH('EEPROM-Contents'!Y9,'EEPROM-Contents'!$B$4:'EEPROM-Contents'!$B$141,0)),2)</f>
        <v>41</v>
      </c>
      <c r="X15" s="79" t="str">
        <f>RIGHT(INDEX('EEPROM-Contents'!$D$4:'EEPROM-Contents'!$D$141,MATCH('EEPROM-Contents'!Z9,'EEPROM-Contents'!$B$4:'EEPROM-Contents'!$B$141,0)),2)</f>
        <v>00</v>
      </c>
      <c r="Y15" s="79" t="str">
        <f>RIGHT(INDEX('EEPROM-Contents'!$D$4:'EEPROM-Contents'!$D$141,MATCH('EEPROM-Contents'!AA9,'EEPROM-Contents'!$B$4:'EEPROM-Contents'!$B$141,0)),2)</f>
        <v>00</v>
      </c>
      <c r="Z15" s="84" t="str">
        <f>RIGHT(INDEX($D$9:$D$47,MATCH('EEPROM-Contents'!AB9,$B$9:$B$47,0)),2)</f>
        <v>00</v>
      </c>
      <c r="AA15" s="84" t="str">
        <f>RIGHT(INDEX($D$9:$D$47,MATCH('EEPROM-Contents'!AC9,$B$9:$B$47,0)),2)</f>
        <v>00</v>
      </c>
      <c r="AB15" s="84" t="str">
        <f>RIGHT(INDEX($D$9:$D$47,MATCH('EEPROM-Contents'!AD9,$B$9:$B$47,0)),2)</f>
        <v>00</v>
      </c>
      <c r="AC15" s="84" t="str">
        <f>RIGHT(INDEX($D$9:$D$47,MATCH('EEPROM-Contents'!AE9,$B$9:$B$47,0)),2)</f>
        <v>00</v>
      </c>
      <c r="AD15" s="84" t="str">
        <f>RIGHT(INDEX($D$9:$D$47,MATCH('EEPROM-Contents'!AF9,$B$9:$B$47,0)),2)</f>
        <v>09</v>
      </c>
      <c r="AF15" s="81" t="str">
        <f t="shared" si="2"/>
        <v>00000000000000000000C0785610EA2A001F410000000000000900</v>
      </c>
      <c r="AL15" s="106"/>
    </row>
    <row r="16" spans="2:38" x14ac:dyDescent="0.3">
      <c r="B16" s="85">
        <f>'EEPROM-Contents'!B40</f>
        <v>36</v>
      </c>
      <c r="C16" s="74">
        <f t="shared" ca="1" si="1"/>
        <v>4</v>
      </c>
      <c r="D16" s="77" t="str">
        <f ca="1">DEC2HEX(OFFSET('FTS-Initialization'!AC44,0,MATCH($H$4,'FTS-Initialization'!$AD$36:$AE$36,0)),2)</f>
        <v>04</v>
      </c>
      <c r="E16" s="69" t="str">
        <f>'EEPROM-Contents'!E40</f>
        <v>SEN(7) SP2B</v>
      </c>
      <c r="F16" s="70"/>
      <c r="G16" s="73"/>
      <c r="I16" s="101">
        <v>30</v>
      </c>
      <c r="J16" s="101">
        <v>56</v>
      </c>
      <c r="K16" s="103">
        <f t="shared" si="3"/>
        <v>0</v>
      </c>
      <c r="L16" s="103">
        <f t="shared" si="3"/>
        <v>0</v>
      </c>
      <c r="N16" s="78" t="s">
        <v>348</v>
      </c>
      <c r="O16" s="84" t="str">
        <f ca="1">RIGHT(INDEX($D$9:$D$47,MATCH('EEPROM-Contents'!Q10,$B$9:$B$47,0)),2)</f>
        <v>07</v>
      </c>
      <c r="P16" s="84" t="str">
        <f ca="1">RIGHT(INDEX($D$9:$D$47,MATCH('EEPROM-Contents'!R10,$B$9:$B$47,0)),2)</f>
        <v>01</v>
      </c>
      <c r="Q16" s="84" t="str">
        <f ca="1">RIGHT(INDEX($D$9:$D$47,MATCH('EEPROM-Contents'!S10,$B$9:$B$47,0)),2)</f>
        <v>03</v>
      </c>
      <c r="R16" s="84" t="str">
        <f>RIGHT(INDEX($D$9:$D$47,MATCH('EEPROM-Contents'!T10,$B$9:$B$47,0)),2)</f>
        <v>17</v>
      </c>
      <c r="S16" s="84" t="str">
        <f>RIGHT(INDEX($D$9:$D$47,MATCH('EEPROM-Contents'!U10,$B$9:$B$47,0)),2)</f>
        <v>73</v>
      </c>
      <c r="T16" s="84" t="str">
        <f>RIGHT(INDEX($D$9:$D$47,MATCH('EEPROM-Contents'!V10,$B$9:$B$47,0)),2)</f>
        <v>00</v>
      </c>
      <c r="U16" s="84" t="str">
        <f>RIGHT(INDEX($D$9:$D$47,MATCH('EEPROM-Contents'!W10,$B$9:$B$47,0)),2)</f>
        <v>00</v>
      </c>
      <c r="V16" s="84" t="str">
        <f>RIGHT(INDEX($D$9:$D$47,MATCH('EEPROM-Contents'!X10,$B$9:$B$47,0)),2)</f>
        <v>00</v>
      </c>
      <c r="W16" s="84" t="str">
        <f>RIGHT(INDEX($D$9:$D$47,MATCH('EEPROM-Contents'!Y10,$B$9:$B$47,0)),2)</f>
        <v>00</v>
      </c>
      <c r="X16" s="79" t="str">
        <f>RIGHT(INDEX('EEPROM-Contents'!$D$4:'EEPROM-Contents'!$D$141,MATCH('EEPROM-Contents'!Z10,'EEPROM-Contents'!$B$4:'EEPROM-Contents'!$B$141,0)),2)</f>
        <v>00</v>
      </c>
      <c r="Y16" s="79" t="str">
        <f>RIGHT(INDEX('EEPROM-Contents'!$D$4:'EEPROM-Contents'!$D$141,MATCH('EEPROM-Contents'!AA10,'EEPROM-Contents'!$B$4:'EEPROM-Contents'!$B$141,0)),2)</f>
        <v>00</v>
      </c>
      <c r="Z16" s="79" t="str">
        <f>RIGHT(INDEX('EEPROM-Contents'!$D$4:'EEPROM-Contents'!$D$141,MATCH('EEPROM-Contents'!AB10,'EEPROM-Contents'!$B$4:'EEPROM-Contents'!$B$141,0)),2)</f>
        <v>00</v>
      </c>
      <c r="AA16" s="79" t="str">
        <f>RIGHT(INDEX('EEPROM-Contents'!$D$4:'EEPROM-Contents'!$D$141,MATCH('EEPROM-Contents'!AC10,'EEPROM-Contents'!$B$4:'EEPROM-Contents'!$B$141,0)),2)</f>
        <v>00</v>
      </c>
      <c r="AB16" s="79" t="str">
        <f>RIGHT(INDEX('EEPROM-Contents'!$D$4:'EEPROM-Contents'!$D$141,MATCH('EEPROM-Contents'!AD10,'EEPROM-Contents'!$B$4:'EEPROM-Contents'!$B$141,0)),2)</f>
        <v>00</v>
      </c>
      <c r="AC16" s="79" t="str">
        <f>RIGHT(INDEX('EEPROM-Contents'!$D$4:'EEPROM-Contents'!$D$141,MATCH('EEPROM-Contents'!AE10,'EEPROM-Contents'!$B$4:'EEPROM-Contents'!$B$141,0)),2)</f>
        <v>00</v>
      </c>
      <c r="AD16" s="79" t="str">
        <f>RIGHT(INDEX('EEPROM-Contents'!$D$4:'EEPROM-Contents'!$D$141,MATCH('EEPROM-Contents'!AF10,'EEPROM-Contents'!$B$4:'EEPROM-Contents'!$B$141,0)),2)</f>
        <v>00</v>
      </c>
      <c r="AF16" s="81" t="str">
        <f t="shared" ca="1" si="2"/>
        <v>000000000000000000000701031773000000000000000000000000</v>
      </c>
      <c r="AL16" s="106"/>
    </row>
    <row r="17" spans="2:38" x14ac:dyDescent="0.3">
      <c r="B17" s="85">
        <f>'EEPROM-Contents'!B41</f>
        <v>37</v>
      </c>
      <c r="C17" s="74">
        <f t="shared" ca="1" si="1"/>
        <v>4</v>
      </c>
      <c r="D17" s="77" t="str">
        <f ca="1">DEC2HEX(OFFSET('FTS-Initialization'!AC45,0,MATCH($H$4,'FTS-Initialization'!$AD$36:$AE$36,0)),2)</f>
        <v>04</v>
      </c>
      <c r="E17" s="69" t="str">
        <f>'EEPROM-Contents'!E41</f>
        <v>SEN(8) SP1B</v>
      </c>
      <c r="F17" s="70"/>
      <c r="G17" s="73"/>
      <c r="I17" s="101">
        <v>40</v>
      </c>
      <c r="J17" s="101">
        <v>73</v>
      </c>
      <c r="K17" s="103">
        <f t="shared" si="3"/>
        <v>0</v>
      </c>
      <c r="L17" s="103">
        <f t="shared" si="3"/>
        <v>0</v>
      </c>
      <c r="N17" s="78" t="s">
        <v>349</v>
      </c>
      <c r="O17" s="79" t="str">
        <f>RIGHT(INDEX('EEPROM-Contents'!$D$4:'EEPROM-Contents'!$D$141,MATCH('EEPROM-Contents'!Q11,'EEPROM-Contents'!$B$4:'EEPROM-Contents'!$B$141,0)),2)</f>
        <v>00</v>
      </c>
      <c r="P17" s="84" t="e">
        <f>RIGHT(INDEX($D$9:$D$47,MATCH('EEPROM-Contents'!R11,$B$9:$B$47,0)),2)</f>
        <v>#NUM!</v>
      </c>
      <c r="Q17" s="84" t="str">
        <f>RIGHT(INDEX($D$9:$D$47,MATCH('EEPROM-Contents'!S11,$B$9:$B$47,0)),2)</f>
        <v>00</v>
      </c>
      <c r="R17" s="84" t="str">
        <f>RIGHT(INDEX($D$9:$D$47,MATCH('EEPROM-Contents'!T11,$B$9:$B$47,0)),2)</f>
        <v>00</v>
      </c>
      <c r="S17" s="84" t="e">
        <f ca="1">RIGHT(INDEX($D$9:$D$47,MATCH('EEPROM-Contents'!U11,$B$9:$B$47,0)),2)</f>
        <v>#NUM!</v>
      </c>
      <c r="T17" s="79" t="str">
        <f>RIGHT(INDEX('EEPROM-Contents'!$D$4:'EEPROM-Contents'!$D$141,MATCH('EEPROM-Contents'!V11,'EEPROM-Contents'!$B$4:'EEPROM-Contents'!$B$141,0)),2)</f>
        <v>01</v>
      </c>
      <c r="U17" s="84" t="str">
        <f>RIGHT(INDEX($D$9:$D$47,MATCH('EEPROM-Contents'!W11,$B$9:$B$47,0)),2)</f>
        <v>09</v>
      </c>
      <c r="V17" s="84" t="str">
        <f ca="1">RIGHT(INDEX($D$9:$D$47,MATCH('EEPROM-Contents'!X11,$B$9:$B$47,0)),2)</f>
        <v>07</v>
      </c>
      <c r="W17" s="84" t="str">
        <f ca="1">RIGHT(INDEX($D$9:$D$47,MATCH('EEPROM-Contents'!Y11,$B$9:$B$47,0)),2)</f>
        <v>01</v>
      </c>
      <c r="X17" s="84" t="str">
        <f ca="1">RIGHT(INDEX($D$9:$D$47,MATCH('EEPROM-Contents'!Z11,$B$9:$B$47,0)),2)</f>
        <v>03</v>
      </c>
      <c r="Y17" s="84" t="str">
        <f>RIGHT(INDEX($D$9:$D$47,MATCH('EEPROM-Contents'!AA11,$B$9:$B$47,0)),2)</f>
        <v>17</v>
      </c>
      <c r="Z17" s="84" t="str">
        <f>RIGHT(INDEX($D$9:$D$47,MATCH('EEPROM-Contents'!AB11,$B$9:$B$47,0)),2)</f>
        <v>73</v>
      </c>
      <c r="AA17" s="84" t="str">
        <f>RIGHT(INDEX($D$9:$D$47,MATCH('EEPROM-Contents'!AC11,$B$9:$B$47,0)),2)</f>
        <v>00</v>
      </c>
      <c r="AB17" s="84" t="str">
        <f>RIGHT(INDEX($D$9:$D$47,MATCH('EEPROM-Contents'!AD11,$B$9:$B$47,0)),2)</f>
        <v>00</v>
      </c>
      <c r="AC17" s="84" t="str">
        <f>RIGHT(INDEX($D$9:$D$47,MATCH('EEPROM-Contents'!AE11,$B$9:$B$47,0)),2)</f>
        <v>00</v>
      </c>
      <c r="AD17" s="84" t="str">
        <f>RIGHT(INDEX($D$9:$D$47,MATCH('EEPROM-Contents'!AF11,$B$9:$B$47,0)),2)</f>
        <v>00</v>
      </c>
      <c r="AF17" s="81" t="e">
        <f t="shared" ca="1" si="2"/>
        <v>#NUM!</v>
      </c>
      <c r="AL17" s="106"/>
    </row>
    <row r="18" spans="2:38" x14ac:dyDescent="0.3">
      <c r="B18" s="85">
        <f>'EEPROM-Contents'!B42</f>
        <v>38</v>
      </c>
      <c r="C18" s="74">
        <f t="shared" ca="1" si="1"/>
        <v>4</v>
      </c>
      <c r="D18" s="77" t="str">
        <f ca="1">DEC2HEX(OFFSET('FTS-Initialization'!AC46,0,MATCH($H$4,'FTS-Initialization'!$AD$36:$AE$36,0)),2)</f>
        <v>04</v>
      </c>
      <c r="E18" s="69" t="str">
        <f>'EEPROM-Contents'!E42</f>
        <v>SEN(9) CP1B</v>
      </c>
      <c r="F18" s="70"/>
      <c r="G18" s="73"/>
      <c r="N18" s="78" t="s">
        <v>350</v>
      </c>
      <c r="O18" s="79" t="str">
        <f>RIGHT(INDEX('EEPROM-Contents'!$D$4:'EEPROM-Contents'!$D$141,MATCH('EEPROM-Contents'!Q12,'EEPROM-Contents'!$B$4:'EEPROM-Contents'!$B$141,0)),2)</f>
        <v>00</v>
      </c>
      <c r="P18" s="79" t="str">
        <f>RIGHT(INDEX('EEPROM-Contents'!$D$4:'EEPROM-Contents'!$D$141,MATCH('EEPROM-Contents'!R12,'EEPROM-Contents'!$B$4:'EEPROM-Contents'!$B$141,0)),2)</f>
        <v>00</v>
      </c>
      <c r="Q18" s="79" t="str">
        <f>RIGHT(INDEX('EEPROM-Contents'!$D$4:'EEPROM-Contents'!$D$141,MATCH('EEPROM-Contents'!S12,'EEPROM-Contents'!$B$4:'EEPROM-Contents'!$B$141,0)),2)</f>
        <v>00</v>
      </c>
      <c r="R18" s="79" t="str">
        <f>RIGHT(INDEX('EEPROM-Contents'!$D$4:'EEPROM-Contents'!$D$141,MATCH('EEPROM-Contents'!T12,'EEPROM-Contents'!$B$4:'EEPROM-Contents'!$B$141,0)),2)</f>
        <v>00</v>
      </c>
      <c r="S18" s="79" t="str">
        <f>RIGHT(INDEX('EEPROM-Contents'!$D$4:'EEPROM-Contents'!$D$141,MATCH('EEPROM-Contents'!U12,'EEPROM-Contents'!$B$4:'EEPROM-Contents'!$B$141,0)),2)</f>
        <v>00</v>
      </c>
      <c r="T18" s="79" t="str">
        <f>RIGHT(INDEX('EEPROM-Contents'!$D$4:'EEPROM-Contents'!$D$141,MATCH('EEPROM-Contents'!V12,'EEPROM-Contents'!$B$4:'EEPROM-Contents'!$B$141,0)),2)</f>
        <v>00</v>
      </c>
      <c r="U18" s="79" t="str">
        <f>RIGHT(INDEX('EEPROM-Contents'!$D$4:'EEPROM-Contents'!$D$141,MATCH('EEPROM-Contents'!W12,'EEPROM-Contents'!$B$4:'EEPROM-Contents'!$B$141,0)),2)</f>
        <v>00</v>
      </c>
      <c r="V18" s="79" t="str">
        <f>RIGHT(INDEX('EEPROM-Contents'!$D$4:'EEPROM-Contents'!$D$141,MATCH('EEPROM-Contents'!X12,'EEPROM-Contents'!$B$4:'EEPROM-Contents'!$B$141,0)),2)</f>
        <v>00</v>
      </c>
      <c r="W18" s="84" t="e">
        <f>RIGHT(INDEX($D$9:$D$47,MATCH('EEPROM-Contents'!Y12,$B$9:$B$47,0)),2)</f>
        <v>#NUM!</v>
      </c>
      <c r="X18" s="84" t="str">
        <f>RIGHT(INDEX($D$9:$D$47,MATCH('EEPROM-Contents'!Z12,$B$9:$B$47,0)),2)</f>
        <v>00</v>
      </c>
      <c r="Y18" s="84" t="str">
        <f>RIGHT(INDEX($D$9:$D$47,MATCH('EEPROM-Contents'!AA12,$B$9:$B$47,0)),2)</f>
        <v>00</v>
      </c>
      <c r="Z18" s="84" t="e">
        <f ca="1">RIGHT(INDEX($D$9:$D$47,MATCH('EEPROM-Contents'!AB12,$B$9:$B$47,0)),2)</f>
        <v>#NUM!</v>
      </c>
      <c r="AA18" s="79" t="str">
        <f>RIGHT(INDEX('EEPROM-Contents'!$D$4:'EEPROM-Contents'!$D$141,MATCH('EEPROM-Contents'!AC12,'EEPROM-Contents'!$B$4:'EEPROM-Contents'!$B$141,0)),2)</f>
        <v>02</v>
      </c>
      <c r="AB18" s="84" t="str">
        <f>RIGHT(INDEX($D$9:$D$47,MATCH('EEPROM-Contents'!AD12,$B$9:$B$47,0)),2)</f>
        <v>09</v>
      </c>
      <c r="AC18" s="84" t="str">
        <f ca="1">RIGHT(INDEX($D$9:$D$47,MATCH('EEPROM-Contents'!AE12,$B$9:$B$47,0)),2)</f>
        <v>07</v>
      </c>
      <c r="AD18" s="84" t="str">
        <f ca="1">RIGHT(INDEX($D$9:$D$47,MATCH('EEPROM-Contents'!AF12,$B$9:$B$47,0)),2)</f>
        <v>01</v>
      </c>
      <c r="AF18" s="81" t="e">
        <f t="shared" ca="1" si="2"/>
        <v>#NUM!</v>
      </c>
      <c r="AL18" s="106"/>
    </row>
    <row r="19" spans="2:38" x14ac:dyDescent="0.3">
      <c r="B19" s="85">
        <f>'EEPROM-Contents'!B20</f>
        <v>16</v>
      </c>
      <c r="C19" s="74" t="e">
        <f t="shared" si="1"/>
        <v>#NUM!</v>
      </c>
      <c r="D19" s="77" t="e">
        <f>$F$4</f>
        <v>#NUM!</v>
      </c>
      <c r="E19" s="69" t="str">
        <f>'EEPROM-Contents'!E20</f>
        <v>GAINC</v>
      </c>
      <c r="F19" s="70"/>
      <c r="G19" s="73"/>
      <c r="N19" s="78" t="s">
        <v>351</v>
      </c>
      <c r="O19" s="84" t="str">
        <f ca="1">RIGHT(INDEX($D$9:$D$47,MATCH('EEPROM-Contents'!Q13,$B$9:$B$47,0)),2)</f>
        <v>03</v>
      </c>
      <c r="P19" s="84" t="str">
        <f>RIGHT(INDEX($D$9:$D$47,MATCH('EEPROM-Contents'!R13,$B$9:$B$47,0)),2)</f>
        <v>17</v>
      </c>
      <c r="Q19" s="84" t="str">
        <f>RIGHT(INDEX($D$9:$D$47,MATCH('EEPROM-Contents'!S13,$B$9:$B$47,0)),2)</f>
        <v>73</v>
      </c>
      <c r="R19" s="84" t="str">
        <f>RIGHT(INDEX($D$9:$D$47,MATCH('EEPROM-Contents'!T13,$B$9:$B$47,0)),2)</f>
        <v>00</v>
      </c>
      <c r="S19" s="84" t="str">
        <f>RIGHT(INDEX($D$9:$D$47,MATCH('EEPROM-Contents'!U13,$B$9:$B$47,0)),2)</f>
        <v>00</v>
      </c>
      <c r="T19" s="84" t="str">
        <f>RIGHT(INDEX($D$9:$D$47,MATCH('EEPROM-Contents'!V13,$B$9:$B$47,0)),2)</f>
        <v>00</v>
      </c>
      <c r="U19" s="84" t="str">
        <f>RIGHT(INDEX($D$9:$D$47,MATCH('EEPROM-Contents'!W13,$B$9:$B$47,0)),2)</f>
        <v>00</v>
      </c>
      <c r="V19" s="79" t="str">
        <f>RIGHT(INDEX('EEPROM-Contents'!$D$4:'EEPROM-Contents'!$D$141,MATCH('EEPROM-Contents'!X13,'EEPROM-Contents'!$B$4:'EEPROM-Contents'!$B$141,0)),2)</f>
        <v>00</v>
      </c>
      <c r="W19" s="79" t="str">
        <f>RIGHT(INDEX('EEPROM-Contents'!$D$4:'EEPROM-Contents'!$D$141,MATCH('EEPROM-Contents'!Y13,'EEPROM-Contents'!$B$4:'EEPROM-Contents'!$B$141,0)),2)</f>
        <v>00</v>
      </c>
      <c r="X19" s="79" t="str">
        <f>RIGHT(INDEX('EEPROM-Contents'!$D$4:'EEPROM-Contents'!$D$141,MATCH('EEPROM-Contents'!Z13,'EEPROM-Contents'!$B$4:'EEPROM-Contents'!$B$141,0)),2)</f>
        <v>00</v>
      </c>
      <c r="Y19" s="79" t="str">
        <f>RIGHT(INDEX('EEPROM-Contents'!$D$4:'EEPROM-Contents'!$D$141,MATCH('EEPROM-Contents'!AA13,'EEPROM-Contents'!$B$4:'EEPROM-Contents'!$B$141,0)),2)</f>
        <v>00</v>
      </c>
      <c r="Z19" s="79" t="str">
        <f>RIGHT(INDEX('EEPROM-Contents'!$D$4:'EEPROM-Contents'!$D$141,MATCH('EEPROM-Contents'!AB13,'EEPROM-Contents'!$B$4:'EEPROM-Contents'!$B$141,0)),2)</f>
        <v>00</v>
      </c>
      <c r="AA19" s="79" t="str">
        <f>RIGHT(INDEX('EEPROM-Contents'!$D$4:'EEPROM-Contents'!$D$141,MATCH('EEPROM-Contents'!AC13,'EEPROM-Contents'!$B$4:'EEPROM-Contents'!$B$141,0)),2)</f>
        <v>00</v>
      </c>
      <c r="AB19" s="79" t="str">
        <f>RIGHT(INDEX('EEPROM-Contents'!$D$4:'EEPROM-Contents'!$D$141,MATCH('EEPROM-Contents'!AD13,'EEPROM-Contents'!$B$4:'EEPROM-Contents'!$B$141,0)),2)</f>
        <v>00</v>
      </c>
      <c r="AC19" s="79" t="str">
        <f>RIGHT(INDEX('EEPROM-Contents'!$D$4:'EEPROM-Contents'!$D$141,MATCH('EEPROM-Contents'!AE13,'EEPROM-Contents'!$B$4:'EEPROM-Contents'!$B$141,0)),2)</f>
        <v>00</v>
      </c>
      <c r="AD19" s="84" t="e">
        <f>RIGHT(INDEX($D$9:$D$47,MATCH('EEPROM-Contents'!AF13,$B$9:$B$47,0)),2)</f>
        <v>#NUM!</v>
      </c>
      <c r="AF19" s="81" t="e">
        <f t="shared" ca="1" si="2"/>
        <v>#NUM!</v>
      </c>
      <c r="AL19" s="106"/>
    </row>
    <row r="20" spans="2:38" x14ac:dyDescent="0.3">
      <c r="B20" s="85">
        <f>'EEPROM-Contents'!B51</f>
        <v>47</v>
      </c>
      <c r="C20" s="74">
        <f t="shared" si="1"/>
        <v>132</v>
      </c>
      <c r="D20" s="77">
        <f>$G$4</f>
        <v>84</v>
      </c>
      <c r="E20" s="69" t="str">
        <f>'EEPROM-Contents'!E51</f>
        <v>PATBL</v>
      </c>
      <c r="F20" s="70"/>
      <c r="G20" s="73"/>
      <c r="N20" s="78" t="s">
        <v>352</v>
      </c>
      <c r="O20" s="84" t="str">
        <f>RIGHT(INDEX($D$9:$D$47,MATCH('EEPROM-Contents'!Q14,$B$9:$B$47,0)),2)</f>
        <v>00</v>
      </c>
      <c r="P20" s="84" t="str">
        <f>RIGHT(INDEX($D$9:$D$47,MATCH('EEPROM-Contents'!R14,$B$9:$B$47,0)),2)</f>
        <v>00</v>
      </c>
      <c r="Q20" s="84" t="e">
        <f ca="1">RIGHT(INDEX($D$9:$D$47,MATCH('EEPROM-Contents'!S14,$B$9:$B$47,0)),2)</f>
        <v>#NUM!</v>
      </c>
      <c r="R20" s="79" t="str">
        <f>RIGHT(INDEX('EEPROM-Contents'!$D$4:'EEPROM-Contents'!$D$141,MATCH('EEPROM-Contents'!T14,'EEPROM-Contents'!$B$4:'EEPROM-Contents'!$B$141,0)),2)</f>
        <v>03</v>
      </c>
      <c r="S20" s="84" t="str">
        <f>RIGHT(INDEX($D$9:$D$47,MATCH('EEPROM-Contents'!U14,$B$9:$B$47,0)),2)</f>
        <v>09</v>
      </c>
      <c r="T20" s="84" t="str">
        <f ca="1">RIGHT(INDEX($D$9:$D$47,MATCH('EEPROM-Contents'!V14,$B$9:$B$47,0)),2)</f>
        <v>07</v>
      </c>
      <c r="U20" s="84" t="str">
        <f ca="1">RIGHT(INDEX($D$9:$D$47,MATCH('EEPROM-Contents'!W14,$B$9:$B$47,0)),2)</f>
        <v>01</v>
      </c>
      <c r="V20" s="84" t="str">
        <f ca="1">RIGHT(INDEX($D$9:$D$47,MATCH('EEPROM-Contents'!X14,$B$9:$B$47,0)),2)</f>
        <v>03</v>
      </c>
      <c r="W20" s="84" t="str">
        <f>RIGHT(INDEX($D$9:$D$47,MATCH('EEPROM-Contents'!Y14,$B$9:$B$47,0)),2)</f>
        <v>17</v>
      </c>
      <c r="X20" s="84" t="str">
        <f>RIGHT(INDEX($D$9:$D$47,MATCH('EEPROM-Contents'!Z14,$B$9:$B$47,0)),2)</f>
        <v>73</v>
      </c>
      <c r="Y20" s="84" t="str">
        <f>RIGHT(INDEX($D$9:$D$47,MATCH('EEPROM-Contents'!AA14,$B$9:$B$47,0)),2)</f>
        <v>00</v>
      </c>
      <c r="Z20" s="84" t="str">
        <f>RIGHT(INDEX($D$9:$D$47,MATCH('EEPROM-Contents'!AB14,$B$9:$B$47,0)),2)</f>
        <v>00</v>
      </c>
      <c r="AA20" s="84" t="str">
        <f>RIGHT(INDEX($D$9:$D$47,MATCH('EEPROM-Contents'!AC14,$B$9:$B$47,0)),2)</f>
        <v>00</v>
      </c>
      <c r="AB20" s="84" t="str">
        <f>RIGHT(INDEX($D$9:$D$47,MATCH('EEPROM-Contents'!AD14,$B$9:$B$47,0)),2)</f>
        <v>00</v>
      </c>
      <c r="AC20" s="79" t="str">
        <f>RIGHT(INDEX('EEPROM-Contents'!$D$4:'EEPROM-Contents'!$D$141,MATCH('EEPROM-Contents'!AE14,'EEPROM-Contents'!$B$4:'EEPROM-Contents'!$B$141,0)),2)</f>
        <v>00</v>
      </c>
      <c r="AD20" s="79" t="str">
        <f>RIGHT(INDEX('EEPROM-Contents'!$D$4:'EEPROM-Contents'!$D$141,MATCH('EEPROM-Contents'!AF14,'EEPROM-Contents'!$B$4:'EEPROM-Contents'!$B$141,0)),2)</f>
        <v>00</v>
      </c>
      <c r="AF20" s="81" t="e">
        <f t="shared" ca="1" si="2"/>
        <v>#NUM!</v>
      </c>
    </row>
    <row r="21" spans="2:38" x14ac:dyDescent="0.3">
      <c r="B21" s="85">
        <f>'EEPROM-Contents'!B63</f>
        <v>59</v>
      </c>
      <c r="C21" s="74">
        <f t="shared" si="1"/>
        <v>10</v>
      </c>
      <c r="D21" s="77" t="str">
        <f>DEC2HEX(2*$C$4,2)</f>
        <v>0A</v>
      </c>
      <c r="E21" s="69" t="str">
        <f>'EEPROM-Contents'!E63</f>
        <v>CHANNR</v>
      </c>
      <c r="F21" s="70"/>
      <c r="G21" s="73"/>
      <c r="N21" s="78" t="s">
        <v>353</v>
      </c>
      <c r="O21" s="79" t="str">
        <f>RIGHT(INDEX('EEPROM-Contents'!$D$4:'EEPROM-Contents'!$D$141,MATCH('EEPROM-Contents'!Q15,'EEPROM-Contents'!$B$4:'EEPROM-Contents'!$B$141,0)),2)</f>
        <v>00</v>
      </c>
      <c r="P21" s="79" t="str">
        <f>RIGHT(INDEX('EEPROM-Contents'!$D$4:'EEPROM-Contents'!$D$141,MATCH('EEPROM-Contents'!R15,'EEPROM-Contents'!$B$4:'EEPROM-Contents'!$B$141,0)),2)</f>
        <v>00</v>
      </c>
      <c r="Q21" s="79" t="str">
        <f>RIGHT(INDEX('EEPROM-Contents'!$D$4:'EEPROM-Contents'!$D$141,MATCH('EEPROM-Contents'!S15,'EEPROM-Contents'!$B$4:'EEPROM-Contents'!$B$141,0)),2)</f>
        <v>00</v>
      </c>
      <c r="R21" s="79" t="str">
        <f>RIGHT(INDEX('EEPROM-Contents'!$D$4:'EEPROM-Contents'!$D$141,MATCH('EEPROM-Contents'!T15,'EEPROM-Contents'!$B$4:'EEPROM-Contents'!$B$141,0)),2)</f>
        <v>00</v>
      </c>
      <c r="S21" s="79" t="str">
        <f>RIGHT(INDEX('EEPROM-Contents'!$D$4:'EEPROM-Contents'!$D$141,MATCH('EEPROM-Contents'!U15,'EEPROM-Contents'!$B$4:'EEPROM-Contents'!$B$141,0)),2)</f>
        <v>00</v>
      </c>
      <c r="T21" s="79" t="str">
        <f>RIGHT(INDEX('EEPROM-Contents'!$D$4:'EEPROM-Contents'!$D$141,MATCH('EEPROM-Contents'!V15,'EEPROM-Contents'!$B$4:'EEPROM-Contents'!$B$141,0)),2)</f>
        <v>00</v>
      </c>
      <c r="U21" s="84" t="e">
        <f>RIGHT(INDEX($D$9:$D$47,MATCH('EEPROM-Contents'!W15,$B$9:$B$47,0)),2)</f>
        <v>#NUM!</v>
      </c>
      <c r="V21" s="84" t="str">
        <f>RIGHT(INDEX($D$9:$D$47,MATCH('EEPROM-Contents'!X15,$B$9:$B$47,0)),2)</f>
        <v>00</v>
      </c>
      <c r="W21" s="84" t="str">
        <f>RIGHT(INDEX($D$9:$D$47,MATCH('EEPROM-Contents'!Y15,$B$9:$B$47,0)),2)</f>
        <v>00</v>
      </c>
      <c r="X21" s="84" t="e">
        <f ca="1">RIGHT(INDEX($D$9:$D$47,MATCH('EEPROM-Contents'!Z15,$B$9:$B$47,0)),2)</f>
        <v>#NUM!</v>
      </c>
      <c r="Y21" s="79" t="str">
        <f>RIGHT(INDEX('EEPROM-Contents'!$D$4:'EEPROM-Contents'!$D$141,MATCH('EEPROM-Contents'!AA15,'EEPROM-Contents'!$B$4:'EEPROM-Contents'!$B$141,0)),2)</f>
        <v>04</v>
      </c>
      <c r="Z21" s="84" t="str">
        <f>RIGHT(INDEX($D$9:$D$47,MATCH('EEPROM-Contents'!AB15,$B$9:$B$47,0)),2)</f>
        <v>09</v>
      </c>
      <c r="AA21" s="84" t="str">
        <f ca="1">RIGHT(INDEX($D$9:$D$47,MATCH('EEPROM-Contents'!AC15,$B$9:$B$47,0)),2)</f>
        <v>07</v>
      </c>
      <c r="AB21" s="84" t="str">
        <f ca="1">RIGHT(INDEX($D$9:$D$47,MATCH('EEPROM-Contents'!AD15,$B$9:$B$47,0)),2)</f>
        <v>01</v>
      </c>
      <c r="AC21" s="84" t="str">
        <f ca="1">RIGHT(INDEX($D$9:$D$47,MATCH('EEPROM-Contents'!AE15,$B$9:$B$47,0)),2)</f>
        <v>03</v>
      </c>
      <c r="AD21" s="84" t="str">
        <f>RIGHT(INDEX($D$9:$D$47,MATCH('EEPROM-Contents'!AF15,$B$9:$B$47,0)),2)</f>
        <v>17</v>
      </c>
      <c r="AF21" s="81" t="e">
        <f t="shared" ca="1" si="2"/>
        <v>#NUM!</v>
      </c>
    </row>
    <row r="22" spans="2:38" x14ac:dyDescent="0.3">
      <c r="B22" s="85">
        <f>'EEPROM-Contents'!B95</f>
        <v>91</v>
      </c>
      <c r="C22" s="77">
        <f>HEX2DEC(D22)</f>
        <v>0</v>
      </c>
      <c r="D22" s="77" t="str">
        <f>LEFT(RIGHT($E$5,8),2)</f>
        <v>00</v>
      </c>
      <c r="E22" s="69" t="str">
        <f>'EEPROM-Contents'!E95</f>
        <v>Info byte 1</v>
      </c>
      <c r="F22" s="70"/>
      <c r="G22" s="73"/>
      <c r="N22" s="78" t="s">
        <v>354</v>
      </c>
      <c r="O22" s="84" t="str">
        <f>RIGHT(INDEX($D$9:$D$47,MATCH('EEPROM-Contents'!Q16,$B$9:$B$47,0)),2)</f>
        <v>73</v>
      </c>
      <c r="P22" s="84" t="str">
        <f>RIGHT(INDEX($D$9:$D$47,MATCH('EEPROM-Contents'!R16,$B$9:$B$47,0)),2)</f>
        <v>00</v>
      </c>
      <c r="Q22" s="84" t="str">
        <f>RIGHT(INDEX($D$9:$D$47,MATCH('EEPROM-Contents'!S16,$B$9:$B$47,0)),2)</f>
        <v>00</v>
      </c>
      <c r="R22" s="84" t="str">
        <f>RIGHT(INDEX($D$9:$D$47,MATCH('EEPROM-Contents'!T16,$B$9:$B$47,0)),2)</f>
        <v>00</v>
      </c>
      <c r="S22" s="84" t="str">
        <f>RIGHT(INDEX($D$9:$D$47,MATCH('EEPROM-Contents'!U16,$B$9:$B$47,0)),2)</f>
        <v>00</v>
      </c>
      <c r="T22" s="79" t="str">
        <f>RIGHT(INDEX('EEPROM-Contents'!$D$4:'EEPROM-Contents'!$D$141,MATCH('EEPROM-Contents'!V16,'EEPROM-Contents'!$B$4:'EEPROM-Contents'!$B$141,0)),2)</f>
        <v>00</v>
      </c>
      <c r="U22" s="79" t="str">
        <f>RIGHT(INDEX('EEPROM-Contents'!$D$4:'EEPROM-Contents'!$D$141,MATCH('EEPROM-Contents'!W16,'EEPROM-Contents'!$B$4:'EEPROM-Contents'!$B$141,0)),2)</f>
        <v>00</v>
      </c>
      <c r="V22" s="79" t="str">
        <f>RIGHT(INDEX('EEPROM-Contents'!$D$4:'EEPROM-Contents'!$D$141,MATCH('EEPROM-Contents'!X16,'EEPROM-Contents'!$B$4:'EEPROM-Contents'!$B$141,0)),2)</f>
        <v>00</v>
      </c>
      <c r="W22" s="79" t="str">
        <f>RIGHT(INDEX('EEPROM-Contents'!$D$4:'EEPROM-Contents'!$D$141,MATCH('EEPROM-Contents'!Y16,'EEPROM-Contents'!$B$4:'EEPROM-Contents'!$B$141,0)),2)</f>
        <v>00</v>
      </c>
      <c r="X22" s="79" t="str">
        <f>RIGHT(INDEX('EEPROM-Contents'!$D$4:'EEPROM-Contents'!$D$141,MATCH('EEPROM-Contents'!Z16,'EEPROM-Contents'!$B$4:'EEPROM-Contents'!$B$141,0)),2)</f>
        <v>00</v>
      </c>
      <c r="Y22" s="79" t="str">
        <f>RIGHT(INDEX('EEPROM-Contents'!$D$4:'EEPROM-Contents'!$D$141,MATCH('EEPROM-Contents'!AA16,'EEPROM-Contents'!$B$4:'EEPROM-Contents'!$B$141,0)),2)</f>
        <v>00</v>
      </c>
      <c r="Z22" s="79" t="str">
        <f>RIGHT(INDEX('EEPROM-Contents'!$D$4:'EEPROM-Contents'!$D$141,MATCH('EEPROM-Contents'!AB16,'EEPROM-Contents'!$B$4:'EEPROM-Contents'!$B$141,0)),2)</f>
        <v>00</v>
      </c>
      <c r="AA22" s="79" t="str">
        <f>RIGHT(INDEX('EEPROM-Contents'!$D$4:'EEPROM-Contents'!$D$141,MATCH('EEPROM-Contents'!AC16,'EEPROM-Contents'!$B$4:'EEPROM-Contents'!$B$141,0)),2)</f>
        <v>00</v>
      </c>
      <c r="AB22" s="84" t="e">
        <f>RIGHT(INDEX($D$9:$D$47,MATCH('EEPROM-Contents'!AD16,$B$9:$B$47,0)),2)</f>
        <v>#NUM!</v>
      </c>
      <c r="AC22" s="84" t="str">
        <f>RIGHT(INDEX($D$9:$D$47,MATCH('EEPROM-Contents'!AE16,$B$9:$B$47,0)),2)</f>
        <v>00</v>
      </c>
      <c r="AD22" s="84" t="str">
        <f>RIGHT(INDEX($D$9:$D$47,MATCH('EEPROM-Contents'!AF16,$B$9:$B$47,0)),2)</f>
        <v>00</v>
      </c>
      <c r="AF22" s="81" t="e">
        <f t="shared" si="2"/>
        <v>#NUM!</v>
      </c>
    </row>
    <row r="23" spans="2:38" x14ac:dyDescent="0.3">
      <c r="B23" s="85">
        <f>'EEPROM-Contents'!B96</f>
        <v>92</v>
      </c>
      <c r="C23" s="77">
        <f t="shared" ref="C23:C44" si="4">HEX2DEC(D23)</f>
        <v>0</v>
      </c>
      <c r="D23" s="77" t="str">
        <f>LEFT(RIGHT($E$5,6),2)</f>
        <v>00</v>
      </c>
      <c r="E23" s="69" t="str">
        <f>'EEPROM-Contents'!E96</f>
        <v>Info byte 2</v>
      </c>
      <c r="F23" s="70"/>
      <c r="G23" s="73"/>
      <c r="N23" s="78" t="s">
        <v>355</v>
      </c>
      <c r="O23" s="84" t="e">
        <f ca="1">RIGHT(INDEX($D$9:$D$47,MATCH('EEPROM-Contents'!Q17,$B$9:$B$47,0)),2)</f>
        <v>#NUM!</v>
      </c>
      <c r="P23" s="79" t="str">
        <f>RIGHT(INDEX('EEPROM-Contents'!$D$4:'EEPROM-Contents'!$D$141,MATCH('EEPROM-Contents'!R17,'EEPROM-Contents'!$B$4:'EEPROM-Contents'!$B$141,0)),2)</f>
        <v>05</v>
      </c>
      <c r="Q23" s="84" t="str">
        <f>RIGHT(INDEX($D$9:$D$47,MATCH('EEPROM-Contents'!S17,$B$9:$B$47,0)),2)</f>
        <v>09</v>
      </c>
      <c r="R23" s="84" t="str">
        <f ca="1">RIGHT(INDEX($D$9:$D$47,MATCH('EEPROM-Contents'!T17,$B$9:$B$47,0)),2)</f>
        <v>07</v>
      </c>
      <c r="S23" s="84" t="str">
        <f ca="1">RIGHT(INDEX($D$9:$D$47,MATCH('EEPROM-Contents'!U17,$B$9:$B$47,0)),2)</f>
        <v>01</v>
      </c>
      <c r="T23" s="84" t="str">
        <f ca="1">RIGHT(INDEX($D$9:$D$47,MATCH('EEPROM-Contents'!V17,$B$9:$B$47,0)),2)</f>
        <v>03</v>
      </c>
      <c r="U23" s="84" t="str">
        <f>RIGHT(INDEX($D$9:$D$47,MATCH('EEPROM-Contents'!W17,$B$9:$B$47,0)),2)</f>
        <v>17</v>
      </c>
      <c r="V23" s="84" t="str">
        <f>RIGHT(INDEX($D$9:$D$47,MATCH('EEPROM-Contents'!X17,$B$9:$B$47,0)),2)</f>
        <v>73</v>
      </c>
      <c r="W23" s="84" t="str">
        <f>RIGHT(INDEX($D$9:$D$47,MATCH('EEPROM-Contents'!Y17,$B$9:$B$47,0)),2)</f>
        <v>00</v>
      </c>
      <c r="X23" s="84" t="str">
        <f>RIGHT(INDEX($D$9:$D$47,MATCH('EEPROM-Contents'!Z17,$B$9:$B$47,0)),2)</f>
        <v>00</v>
      </c>
      <c r="Y23" s="84" t="str">
        <f>RIGHT(INDEX($D$9:$D$47,MATCH('EEPROM-Contents'!AA17,$B$9:$B$47,0)),2)</f>
        <v>00</v>
      </c>
      <c r="Z23" s="84" t="str">
        <f>RIGHT(INDEX($D$9:$D$47,MATCH('EEPROM-Contents'!AB17,$B$9:$B$47,0)),2)</f>
        <v>00</v>
      </c>
      <c r="AA23" s="79" t="str">
        <f>RIGHT(INDEX('EEPROM-Contents'!$D$4:'EEPROM-Contents'!$D$141,MATCH('EEPROM-Contents'!AC17,'EEPROM-Contents'!$B$4:'EEPROM-Contents'!$B$141,0)),2)</f>
        <v>00</v>
      </c>
      <c r="AB23" s="79" t="str">
        <f>RIGHT(INDEX('EEPROM-Contents'!$D$4:'EEPROM-Contents'!$D$141,MATCH('EEPROM-Contents'!AD17,'EEPROM-Contents'!$B$4:'EEPROM-Contents'!$B$141,0)),2)</f>
        <v>00</v>
      </c>
      <c r="AC23" s="79" t="str">
        <f>RIGHT(INDEX('EEPROM-Contents'!$D$4:'EEPROM-Contents'!$D$141,MATCH('EEPROM-Contents'!AE17,'EEPROM-Contents'!$B$4:'EEPROM-Contents'!$B$141,0)),2)</f>
        <v>00</v>
      </c>
      <c r="AD23" s="79" t="str">
        <f>RIGHT(INDEX('EEPROM-Contents'!$D$4:'EEPROM-Contents'!$D$141,MATCH('EEPROM-Contents'!AF17,'EEPROM-Contents'!$B$4:'EEPROM-Contents'!$B$141,0)),2)</f>
        <v>00</v>
      </c>
      <c r="AF23" s="81" t="e">
        <f t="shared" ca="1" si="2"/>
        <v>#NUM!</v>
      </c>
    </row>
    <row r="24" spans="2:38" x14ac:dyDescent="0.3">
      <c r="B24" s="85">
        <f>'EEPROM-Contents'!B97</f>
        <v>93</v>
      </c>
      <c r="C24" s="77">
        <f t="shared" si="4"/>
        <v>0</v>
      </c>
      <c r="D24" s="77" t="str">
        <f>LEFT(RIGHT($E$5,4),2)</f>
        <v>00</v>
      </c>
      <c r="E24" s="69" t="str">
        <f>'EEPROM-Contents'!E97</f>
        <v>Info byte 3</v>
      </c>
      <c r="F24" s="70"/>
      <c r="G24" s="73"/>
      <c r="N24" s="78" t="s">
        <v>356</v>
      </c>
      <c r="O24" s="79" t="str">
        <f>RIGHT(INDEX('EEPROM-Contents'!$D$4:'EEPROM-Contents'!$D$141,MATCH('EEPROM-Contents'!Q18,'EEPROM-Contents'!$B$4:'EEPROM-Contents'!$B$141,0)),2)</f>
        <v>00</v>
      </c>
      <c r="P24" s="79" t="str">
        <f>RIGHT(INDEX('EEPROM-Contents'!$D$4:'EEPROM-Contents'!$D$141,MATCH('EEPROM-Contents'!R18,'EEPROM-Contents'!$B$4:'EEPROM-Contents'!$B$141,0)),2)</f>
        <v>00</v>
      </c>
      <c r="Q24" s="79" t="str">
        <f>RIGHT(INDEX('EEPROM-Contents'!$D$4:'EEPROM-Contents'!$D$141,MATCH('EEPROM-Contents'!S18,'EEPROM-Contents'!$B$4:'EEPROM-Contents'!$B$141,0)),2)</f>
        <v>00</v>
      </c>
      <c r="R24" s="79" t="str">
        <f>RIGHT(INDEX('EEPROM-Contents'!$D$4:'EEPROM-Contents'!$D$141,MATCH('EEPROM-Contents'!T18,'EEPROM-Contents'!$B$4:'EEPROM-Contents'!$B$141,0)),2)</f>
        <v>00</v>
      </c>
      <c r="S24" s="84" t="e">
        <f>RIGHT(INDEX($D$9:$D$47,MATCH('EEPROM-Contents'!U18,$B$9:$B$47,0)),2)</f>
        <v>#NUM!</v>
      </c>
      <c r="T24" s="84" t="str">
        <f>RIGHT(INDEX($D$9:$D$47,MATCH('EEPROM-Contents'!V18,$B$9:$B$47,0)),2)</f>
        <v>00</v>
      </c>
      <c r="U24" s="84" t="str">
        <f>RIGHT(INDEX($D$9:$D$47,MATCH('EEPROM-Contents'!W18,$B$9:$B$47,0)),2)</f>
        <v>00</v>
      </c>
      <c r="V24" s="84" t="e">
        <f ca="1">RIGHT(INDEX($D$9:$D$47,MATCH('EEPROM-Contents'!X18,$B$9:$B$47,0)),2)</f>
        <v>#NUM!</v>
      </c>
      <c r="W24" s="79" t="str">
        <f>RIGHT(INDEX('EEPROM-Contents'!$D$4:'EEPROM-Contents'!$D$141,MATCH('EEPROM-Contents'!Y18,'EEPROM-Contents'!$B$4:'EEPROM-Contents'!$B$141,0)),2)</f>
        <v>06</v>
      </c>
      <c r="X24" s="84" t="str">
        <f>RIGHT(INDEX($D$9:$D$47,MATCH('EEPROM-Contents'!Z18,$B$9:$B$47,0)),2)</f>
        <v>09</v>
      </c>
      <c r="Y24" s="84" t="str">
        <f ca="1">RIGHT(INDEX($D$9:$D$47,MATCH('EEPROM-Contents'!AA18,$B$9:$B$47,0)),2)</f>
        <v>07</v>
      </c>
      <c r="Z24" s="84" t="str">
        <f ca="1">RIGHT(INDEX($D$9:$D$47,MATCH('EEPROM-Contents'!AB18,$B$9:$B$47,0)),2)</f>
        <v>01</v>
      </c>
      <c r="AA24" s="84" t="str">
        <f ca="1">RIGHT(INDEX($D$9:$D$47,MATCH('EEPROM-Contents'!AC18,$B$9:$B$47,0)),2)</f>
        <v>03</v>
      </c>
      <c r="AB24" s="84" t="str">
        <f>RIGHT(INDEX($D$9:$D$47,MATCH('EEPROM-Contents'!AD18,$B$9:$B$47,0)),2)</f>
        <v>17</v>
      </c>
      <c r="AC24" s="84" t="str">
        <f>RIGHT(INDEX($D$9:$D$47,MATCH('EEPROM-Contents'!AE18,$B$9:$B$47,0)),2)</f>
        <v>73</v>
      </c>
      <c r="AD24" s="84" t="str">
        <f>RIGHT(INDEX($D$9:$D$47,MATCH('EEPROM-Contents'!AF18,$B$9:$B$47,0)),2)</f>
        <v>00</v>
      </c>
      <c r="AF24" s="81" t="e">
        <f t="shared" ca="1" si="2"/>
        <v>#NUM!</v>
      </c>
    </row>
    <row r="25" spans="2:38" x14ac:dyDescent="0.3">
      <c r="B25" s="85">
        <f>'EEPROM-Contents'!B98</f>
        <v>94</v>
      </c>
      <c r="C25" s="77">
        <f t="shared" si="4"/>
        <v>0</v>
      </c>
      <c r="D25" s="77" t="str">
        <f>LEFT(RIGHT($E$5,2),2)</f>
        <v>00</v>
      </c>
      <c r="E25" s="69" t="str">
        <f>'EEPROM-Contents'!E98</f>
        <v>Info byte 4</v>
      </c>
      <c r="F25" s="70"/>
      <c r="G25" s="73"/>
      <c r="N25" s="78" t="s">
        <v>357</v>
      </c>
      <c r="O25" s="84" t="str">
        <f>RIGHT(INDEX($D$9:$D$47,MATCH('EEPROM-Contents'!Q19,$B$9:$B$47,0)),2)</f>
        <v>00</v>
      </c>
      <c r="P25" s="84" t="str">
        <f>RIGHT(INDEX($D$9:$D$47,MATCH('EEPROM-Contents'!R19,$B$9:$B$47,0)),2)</f>
        <v>00</v>
      </c>
      <c r="Q25" s="84" t="str">
        <f>RIGHT(INDEX($D$9:$D$47,MATCH('EEPROM-Contents'!S19,$B$9:$B$47,0)),2)</f>
        <v>00</v>
      </c>
      <c r="R25" s="79" t="str">
        <f>RIGHT(INDEX('EEPROM-Contents'!$D$4:'EEPROM-Contents'!$D$141,MATCH('EEPROM-Contents'!T19,'EEPROM-Contents'!$B$4:'EEPROM-Contents'!$B$141,0)),2)</f>
        <v>00</v>
      </c>
      <c r="S25" s="79" t="str">
        <f>RIGHT(INDEX('EEPROM-Contents'!$D$4:'EEPROM-Contents'!$D$141,MATCH('EEPROM-Contents'!U19,'EEPROM-Contents'!$B$4:'EEPROM-Contents'!$B$141,0)),2)</f>
        <v>00</v>
      </c>
      <c r="T25" s="79" t="str">
        <f>RIGHT(INDEX('EEPROM-Contents'!$D$4:'EEPROM-Contents'!$D$141,MATCH('EEPROM-Contents'!V19,'EEPROM-Contents'!$B$4:'EEPROM-Contents'!$B$141,0)),2)</f>
        <v>00</v>
      </c>
      <c r="U25" s="79" t="str">
        <f>RIGHT(INDEX('EEPROM-Contents'!$D$4:'EEPROM-Contents'!$D$141,MATCH('EEPROM-Contents'!W19,'EEPROM-Contents'!$B$4:'EEPROM-Contents'!$B$141,0)),2)</f>
        <v>00</v>
      </c>
      <c r="V25" s="79" t="str">
        <f>RIGHT(INDEX('EEPROM-Contents'!$D$4:'EEPROM-Contents'!$D$141,MATCH('EEPROM-Contents'!X19,'EEPROM-Contents'!$B$4:'EEPROM-Contents'!$B$141,0)),2)</f>
        <v>00</v>
      </c>
      <c r="W25" s="79" t="str">
        <f>RIGHT(INDEX('EEPROM-Contents'!$D$4:'EEPROM-Contents'!$D$141,MATCH('EEPROM-Contents'!Y19,'EEPROM-Contents'!$B$4:'EEPROM-Contents'!$B$141,0)),2)</f>
        <v>00</v>
      </c>
      <c r="X25" s="79" t="str">
        <f>RIGHT(INDEX('EEPROM-Contents'!$D$4:'EEPROM-Contents'!$D$141,MATCH('EEPROM-Contents'!Z19,'EEPROM-Contents'!$B$4:'EEPROM-Contents'!$B$141,0)),2)</f>
        <v>00</v>
      </c>
      <c r="Y25" s="79" t="str">
        <f>RIGHT(INDEX('EEPROM-Contents'!$D$4:'EEPROM-Contents'!$D$141,MATCH('EEPROM-Contents'!AA19,'EEPROM-Contents'!$B$4:'EEPROM-Contents'!$B$141,0)),2)</f>
        <v>00</v>
      </c>
      <c r="Z25" s="84" t="e">
        <f>RIGHT(INDEX($D$9:$D$47,MATCH('EEPROM-Contents'!AB19,$B$9:$B$47,0)),2)</f>
        <v>#NUM!</v>
      </c>
      <c r="AA25" s="84" t="str">
        <f>RIGHT(INDEX($D$9:$D$47,MATCH('EEPROM-Contents'!AC19,$B$9:$B$47,0)),2)</f>
        <v>00</v>
      </c>
      <c r="AB25" s="84" t="str">
        <f>RIGHT(INDEX($D$9:$D$47,MATCH('EEPROM-Contents'!AD19,$B$9:$B$47,0)),2)</f>
        <v>00</v>
      </c>
      <c r="AC25" s="84" t="e">
        <f ca="1">RIGHT(INDEX($D$9:$D$47,MATCH('EEPROM-Contents'!AE19,$B$9:$B$47,0)),2)</f>
        <v>#NUM!</v>
      </c>
      <c r="AD25" s="79" t="str">
        <f>RIGHT(INDEX('EEPROM-Contents'!$D$4:'EEPROM-Contents'!$D$141,MATCH('EEPROM-Contents'!AF19,'EEPROM-Contents'!$B$4:'EEPROM-Contents'!$B$141,0)),2)</f>
        <v>07</v>
      </c>
      <c r="AF25" s="81" t="e">
        <f t="shared" ca="1" si="2"/>
        <v>#NUM!</v>
      </c>
    </row>
    <row r="26" spans="2:38" x14ac:dyDescent="0.3">
      <c r="B26" s="85">
        <f>'EEPROM-Contents'!B99</f>
        <v>95</v>
      </c>
      <c r="C26" s="75">
        <f t="shared" si="4"/>
        <v>9</v>
      </c>
      <c r="D26" s="75" t="str">
        <f>L5</f>
        <v>09</v>
      </c>
      <c r="E26" s="66" t="str">
        <f>'EEPROM-Contents'!E99</f>
        <v>ASIC Identifier</v>
      </c>
      <c r="F26" s="67"/>
      <c r="G26" s="68"/>
      <c r="N26" s="78" t="s">
        <v>358</v>
      </c>
      <c r="O26" s="84" t="str">
        <f>RIGHT(INDEX($D$9:$D$47,MATCH('EEPROM-Contents'!Q20,$B$9:$B$47,0)),2)</f>
        <v>09</v>
      </c>
      <c r="P26" s="84" t="str">
        <f ca="1">RIGHT(INDEX($D$9:$D$47,MATCH('EEPROM-Contents'!R20,$B$9:$B$47,0)),2)</f>
        <v>07</v>
      </c>
      <c r="Q26" s="84" t="str">
        <f ca="1">RIGHT(INDEX($D$9:$D$47,MATCH('EEPROM-Contents'!S20,$B$9:$B$47,0)),2)</f>
        <v>01</v>
      </c>
      <c r="R26" s="84" t="str">
        <f ca="1">RIGHT(INDEX($D$9:$D$47,MATCH('EEPROM-Contents'!T20,$B$9:$B$47,0)),2)</f>
        <v>03</v>
      </c>
      <c r="S26" s="84" t="str">
        <f>RIGHT(INDEX($D$9:$D$47,MATCH('EEPROM-Contents'!U20,$B$9:$B$47,0)),2)</f>
        <v>17</v>
      </c>
      <c r="T26" s="84" t="str">
        <f>RIGHT(INDEX($D$9:$D$47,MATCH('EEPROM-Contents'!V20,$B$9:$B$47,0)),2)</f>
        <v>73</v>
      </c>
      <c r="U26" s="84" t="str">
        <f>RIGHT(INDEX($D$9:$D$47,MATCH('EEPROM-Contents'!W20,$B$9:$B$47,0)),2)</f>
        <v>00</v>
      </c>
      <c r="V26" s="84" t="str">
        <f>RIGHT(INDEX($D$9:$D$47,MATCH('EEPROM-Contents'!X20,$B$9:$B$47,0)),2)</f>
        <v>00</v>
      </c>
      <c r="W26" s="84" t="str">
        <f>RIGHT(INDEX($D$9:$D$47,MATCH('EEPROM-Contents'!Y20,$B$9:$B$47,0)),2)</f>
        <v>00</v>
      </c>
      <c r="X26" s="84" t="str">
        <f>RIGHT(INDEX($D$9:$D$47,MATCH('EEPROM-Contents'!Z20,$B$9:$B$47,0)),2)</f>
        <v>00</v>
      </c>
      <c r="Y26" s="79" t="str">
        <f>RIGHT(INDEX('EEPROM-Contents'!$D$4:'EEPROM-Contents'!$D$141,MATCH('EEPROM-Contents'!AA20,'EEPROM-Contents'!$B$4:'EEPROM-Contents'!$B$141,0)),2)</f>
        <v>00</v>
      </c>
      <c r="Z26" s="79" t="str">
        <f>RIGHT(INDEX('EEPROM-Contents'!$D$4:'EEPROM-Contents'!$D$141,MATCH('EEPROM-Contents'!AB20,'EEPROM-Contents'!$B$4:'EEPROM-Contents'!$B$141,0)),2)</f>
        <v>00</v>
      </c>
      <c r="AA26" s="79" t="str">
        <f>RIGHT(INDEX('EEPROM-Contents'!$D$4:'EEPROM-Contents'!$D$141,MATCH('EEPROM-Contents'!AC20,'EEPROM-Contents'!$B$4:'EEPROM-Contents'!$B$141,0)),2)</f>
        <v>00</v>
      </c>
      <c r="AB26" s="79" t="str">
        <f>RIGHT(INDEX('EEPROM-Contents'!$D$4:'EEPROM-Contents'!$D$141,MATCH('EEPROM-Contents'!AD20,'EEPROM-Contents'!$B$4:'EEPROM-Contents'!$B$141,0)),2)</f>
        <v>00</v>
      </c>
      <c r="AC26" s="79" t="str">
        <f>RIGHT(INDEX('EEPROM-Contents'!$D$4:'EEPROM-Contents'!$D$141,MATCH('EEPROM-Contents'!AE20,'EEPROM-Contents'!$B$4:'EEPROM-Contents'!$B$141,0)),2)</f>
        <v>00</v>
      </c>
      <c r="AD26" s="79" t="str">
        <f>RIGHT(INDEX('EEPROM-Contents'!$D$4:'EEPROM-Contents'!$D$141,MATCH('EEPROM-Contents'!AF20,'EEPROM-Contents'!$B$4:'EEPROM-Contents'!$B$141,0)),2)</f>
        <v>00</v>
      </c>
      <c r="AF26" s="81" t="str">
        <f t="shared" ca="1" si="2"/>
        <v>000000000000000000000907010317730000000000000000000000</v>
      </c>
    </row>
    <row r="27" spans="2:38" x14ac:dyDescent="0.3">
      <c r="B27" s="85">
        <f>'EEPROM-Contents'!B100</f>
        <v>96</v>
      </c>
      <c r="C27" s="75">
        <f t="shared" ca="1" si="4"/>
        <v>7</v>
      </c>
      <c r="D27" s="75" t="str">
        <f ca="1">F5</f>
        <v>07</v>
      </c>
      <c r="E27" s="66" t="str">
        <f>'EEPROM-Contents'!E100</f>
        <v>Year</v>
      </c>
      <c r="F27" s="67"/>
      <c r="G27" s="68"/>
      <c r="N27" s="78" t="s">
        <v>359</v>
      </c>
      <c r="O27" s="79" t="str">
        <f>RIGHT(INDEX('EEPROM-Contents'!$D$4:'EEPROM-Contents'!$D$141,MATCH('EEPROM-Contents'!Q21,'EEPROM-Contents'!$B$4:'EEPROM-Contents'!$B$141,0)),2)</f>
        <v>00</v>
      </c>
      <c r="P27" s="79" t="str">
        <f>RIGHT(INDEX('EEPROM-Contents'!$D$4:'EEPROM-Contents'!$D$141,MATCH('EEPROM-Contents'!R21,'EEPROM-Contents'!$B$4:'EEPROM-Contents'!$B$141,0)),2)</f>
        <v>00</v>
      </c>
      <c r="Q27" s="84" t="e">
        <f>RIGHT(INDEX($D$9:$D$47,MATCH('EEPROM-Contents'!S21,$B$9:$B$47,0)),2)</f>
        <v>#NUM!</v>
      </c>
      <c r="R27" s="84" t="str">
        <f>RIGHT(INDEX($D$9:$D$47,MATCH('EEPROM-Contents'!T21,$B$9:$B$47,0)),2)</f>
        <v>00</v>
      </c>
      <c r="S27" s="84" t="str">
        <f>RIGHT(INDEX($D$9:$D$47,MATCH('EEPROM-Contents'!U21,$B$9:$B$47,0)),2)</f>
        <v>00</v>
      </c>
      <c r="T27" s="84" t="e">
        <f ca="1">RIGHT(INDEX($D$9:$D$47,MATCH('EEPROM-Contents'!V21,$B$9:$B$47,0)),2)</f>
        <v>#NUM!</v>
      </c>
      <c r="U27" s="79" t="str">
        <f>RIGHT(INDEX('EEPROM-Contents'!$D$4:'EEPROM-Contents'!$D$141,MATCH('EEPROM-Contents'!W21,'EEPROM-Contents'!$B$4:'EEPROM-Contents'!$B$141,0)),2)</f>
        <v>08</v>
      </c>
      <c r="V27" s="84" t="str">
        <f>RIGHT(INDEX($D$9:$D$47,MATCH('EEPROM-Contents'!X21,$B$9:$B$47,0)),2)</f>
        <v>09</v>
      </c>
      <c r="W27" s="84" t="str">
        <f ca="1">RIGHT(INDEX($D$9:$D$47,MATCH('EEPROM-Contents'!Y21,$B$9:$B$47,0)),2)</f>
        <v>07</v>
      </c>
      <c r="X27" s="84" t="str">
        <f ca="1">RIGHT(INDEX($D$9:$D$47,MATCH('EEPROM-Contents'!Z21,$B$9:$B$47,0)),2)</f>
        <v>01</v>
      </c>
      <c r="Y27" s="84" t="str">
        <f ca="1">RIGHT(INDEX($D$9:$D$47,MATCH('EEPROM-Contents'!AA21,$B$9:$B$47,0)),2)</f>
        <v>03</v>
      </c>
      <c r="Z27" s="84" t="str">
        <f>RIGHT(INDEX($D$9:$D$47,MATCH('EEPROM-Contents'!AB21,$B$9:$B$47,0)),2)</f>
        <v>17</v>
      </c>
      <c r="AA27" s="84" t="str">
        <f>RIGHT(INDEX($D$9:$D$47,MATCH('EEPROM-Contents'!AC21,$B$9:$B$47,0)),2)</f>
        <v>73</v>
      </c>
      <c r="AB27" s="84" t="str">
        <f>RIGHT(INDEX($D$9:$D$47,MATCH('EEPROM-Contents'!AD21,$B$9:$B$47,0)),2)</f>
        <v>00</v>
      </c>
      <c r="AC27" s="84" t="str">
        <f>RIGHT(INDEX($D$9:$D$47,MATCH('EEPROM-Contents'!AE21,$B$9:$B$47,0)),2)</f>
        <v>00</v>
      </c>
      <c r="AD27" s="84" t="str">
        <f>RIGHT(INDEX($D$9:$D$47,MATCH('EEPROM-Contents'!AF21,$B$9:$B$47,0)),2)</f>
        <v>00</v>
      </c>
      <c r="AF27" s="81" t="e">
        <f t="shared" ca="1" si="2"/>
        <v>#NUM!</v>
      </c>
    </row>
    <row r="28" spans="2:38" x14ac:dyDescent="0.3">
      <c r="B28" s="85">
        <f>'EEPROM-Contents'!B101</f>
        <v>97</v>
      </c>
      <c r="C28" s="75">
        <f t="shared" ca="1" si="4"/>
        <v>1</v>
      </c>
      <c r="D28" s="75" t="str">
        <f ca="1">G5</f>
        <v>01</v>
      </c>
      <c r="E28" s="66" t="str">
        <f>'EEPROM-Contents'!E101</f>
        <v>Month</v>
      </c>
      <c r="F28" s="67"/>
      <c r="G28" s="68"/>
      <c r="N28" s="78" t="s">
        <v>360</v>
      </c>
      <c r="O28" s="84" t="str">
        <f>RIGHT(INDEX($D$9:$D$47,MATCH('EEPROM-Contents'!Q22,$B$9:$B$47,0)),2)</f>
        <v>00</v>
      </c>
      <c r="P28" s="79" t="str">
        <f>RIGHT(INDEX('EEPROM-Contents'!$D$4:'EEPROM-Contents'!$D$141,MATCH('EEPROM-Contents'!R22,'EEPROM-Contents'!$B$4:'EEPROM-Contents'!$B$141,0)),2)</f>
        <v>00</v>
      </c>
      <c r="Q28" s="79" t="str">
        <f>RIGHT(INDEX('EEPROM-Contents'!$D$4:'EEPROM-Contents'!$D$141,MATCH('EEPROM-Contents'!S22,'EEPROM-Contents'!$B$4:'EEPROM-Contents'!$B$141,0)),2)</f>
        <v>00</v>
      </c>
      <c r="R28" s="79" t="str">
        <f>RIGHT(INDEX('EEPROM-Contents'!$D$4:'EEPROM-Contents'!$D$141,MATCH('EEPROM-Contents'!T22,'EEPROM-Contents'!$B$4:'EEPROM-Contents'!$B$141,0)),2)</f>
        <v>00</v>
      </c>
      <c r="S28" s="79" t="str">
        <f>RIGHT(INDEX('EEPROM-Contents'!$D$4:'EEPROM-Contents'!$D$141,MATCH('EEPROM-Contents'!U22,'EEPROM-Contents'!$B$4:'EEPROM-Contents'!$B$141,0)),2)</f>
        <v>00</v>
      </c>
      <c r="T28" s="79" t="str">
        <f>RIGHT(INDEX('EEPROM-Contents'!$D$4:'EEPROM-Contents'!$D$141,MATCH('EEPROM-Contents'!V22,'EEPROM-Contents'!$B$4:'EEPROM-Contents'!$B$141,0)),2)</f>
        <v>00</v>
      </c>
      <c r="U28" s="79" t="str">
        <f>RIGHT(INDEX('EEPROM-Contents'!$D$4:'EEPROM-Contents'!$D$141,MATCH('EEPROM-Contents'!W22,'EEPROM-Contents'!$B$4:'EEPROM-Contents'!$B$141,0)),2)</f>
        <v>00</v>
      </c>
      <c r="V28" s="79" t="str">
        <f>RIGHT(INDEX('EEPROM-Contents'!$D$4:'EEPROM-Contents'!$D$141,MATCH('EEPROM-Contents'!X22,'EEPROM-Contents'!$B$4:'EEPROM-Contents'!$B$141,0)),2)</f>
        <v>00</v>
      </c>
      <c r="W28" s="79" t="str">
        <f>RIGHT(INDEX('EEPROM-Contents'!$D$4:'EEPROM-Contents'!$D$141,MATCH('EEPROM-Contents'!Y22,'EEPROM-Contents'!$B$4:'EEPROM-Contents'!$B$141,0)),2)</f>
        <v>00</v>
      </c>
      <c r="X28" s="84" t="e">
        <f>RIGHT(INDEX($D$9:$D$47,MATCH('EEPROM-Contents'!Z22,$B$9:$B$47,0)),2)</f>
        <v>#NUM!</v>
      </c>
      <c r="Y28" s="84" t="str">
        <f>RIGHT(INDEX($D$9:$D$47,MATCH('EEPROM-Contents'!AA22,$B$9:$B$47,0)),2)</f>
        <v>00</v>
      </c>
      <c r="Z28" s="84" t="str">
        <f>RIGHT(INDEX($D$9:$D$47,MATCH('EEPROM-Contents'!AB22,$B$9:$B$47,0)),2)</f>
        <v>00</v>
      </c>
      <c r="AA28" s="84" t="e">
        <f ca="1">RIGHT(INDEX($D$9:$D$47,MATCH('EEPROM-Contents'!AC22,$B$9:$B$47,0)),2)</f>
        <v>#NUM!</v>
      </c>
      <c r="AB28" s="79" t="str">
        <f>RIGHT(INDEX('EEPROM-Contents'!$D$4:'EEPROM-Contents'!$D$141,MATCH('EEPROM-Contents'!AD22,'EEPROM-Contents'!$B$4:'EEPROM-Contents'!$B$141,0)),2)</f>
        <v>09</v>
      </c>
      <c r="AC28" s="84" t="str">
        <f>RIGHT(INDEX($D$9:$D$47,MATCH('EEPROM-Contents'!AE22,$B$9:$B$47,0)),2)</f>
        <v>09</v>
      </c>
      <c r="AD28" s="84" t="str">
        <f ca="1">RIGHT(INDEX($D$9:$D$47,MATCH('EEPROM-Contents'!AF22,$B$9:$B$47,0)),2)</f>
        <v>07</v>
      </c>
      <c r="AF28" s="81" t="e">
        <f t="shared" ca="1" si="2"/>
        <v>#NUM!</v>
      </c>
    </row>
    <row r="29" spans="2:38" x14ac:dyDescent="0.3">
      <c r="B29" s="85">
        <f>'EEPROM-Contents'!B102</f>
        <v>98</v>
      </c>
      <c r="C29" s="75">
        <f t="shared" ca="1" si="4"/>
        <v>3</v>
      </c>
      <c r="D29" s="75" t="str">
        <f ca="1">H5</f>
        <v>03</v>
      </c>
      <c r="E29" s="66" t="str">
        <f>'EEPROM-Contents'!E102</f>
        <v>Day</v>
      </c>
      <c r="F29" s="67"/>
      <c r="G29" s="68"/>
      <c r="N29" s="78" t="s">
        <v>361</v>
      </c>
      <c r="O29" s="84" t="str">
        <f ca="1">RIGHT(INDEX($D$9:$D$47,MATCH('EEPROM-Contents'!Q23,$B$9:$B$47,0)),2)</f>
        <v>01</v>
      </c>
      <c r="P29" s="84" t="str">
        <f ca="1">RIGHT(INDEX($D$9:$D$47,MATCH('EEPROM-Contents'!R23,$B$9:$B$47,0)),2)</f>
        <v>03</v>
      </c>
      <c r="Q29" s="84" t="str">
        <f>RIGHT(INDEX($D$9:$D$47,MATCH('EEPROM-Contents'!S23,$B$9:$B$47,0)),2)</f>
        <v>17</v>
      </c>
      <c r="R29" s="84" t="str">
        <f>RIGHT(INDEX($D$9:$D$47,MATCH('EEPROM-Contents'!T23,$B$9:$B$47,0)),2)</f>
        <v>73</v>
      </c>
      <c r="S29" s="84" t="str">
        <f>RIGHT(INDEX($D$9:$D$47,MATCH('EEPROM-Contents'!U23,$B$9:$B$47,0)),2)</f>
        <v>00</v>
      </c>
      <c r="T29" s="84" t="str">
        <f>RIGHT(INDEX($D$9:$D$47,MATCH('EEPROM-Contents'!V23,$B$9:$B$47,0)),2)</f>
        <v>00</v>
      </c>
      <c r="U29" s="84" t="str">
        <f>RIGHT(INDEX($D$9:$D$47,MATCH('EEPROM-Contents'!W23,$B$9:$B$47,0)),2)</f>
        <v>00</v>
      </c>
      <c r="V29" s="84" t="str">
        <f>RIGHT(INDEX($D$9:$D$47,MATCH('EEPROM-Contents'!X23,$B$9:$B$47,0)),2)</f>
        <v>00</v>
      </c>
      <c r="W29" s="79" t="str">
        <f>RIGHT(INDEX('EEPROM-Contents'!$D$4:'EEPROM-Contents'!$D$141,MATCH('EEPROM-Contents'!Y23,'EEPROM-Contents'!$B$4:'EEPROM-Contents'!$B$141,0)),2)</f>
        <v>00</v>
      </c>
      <c r="X29" s="79" t="str">
        <f>RIGHT(INDEX('EEPROM-Contents'!$D$4:'EEPROM-Contents'!$D$141,MATCH('EEPROM-Contents'!Z23,'EEPROM-Contents'!$B$4:'EEPROM-Contents'!$B$141,0)),2)</f>
        <v>00</v>
      </c>
      <c r="Y29" s="79" t="str">
        <f>RIGHT(INDEX('EEPROM-Contents'!$D$4:'EEPROM-Contents'!$D$141,MATCH('EEPROM-Contents'!AA23,'EEPROM-Contents'!$B$4:'EEPROM-Contents'!$B$141,0)),2)</f>
        <v>00</v>
      </c>
      <c r="Z29" s="79" t="str">
        <f>RIGHT(INDEX('EEPROM-Contents'!$D$4:'EEPROM-Contents'!$D$141,MATCH('EEPROM-Contents'!AB23,'EEPROM-Contents'!$B$4:'EEPROM-Contents'!$B$141,0)),2)</f>
        <v>00</v>
      </c>
      <c r="AA29" s="79" t="str">
        <f>RIGHT(INDEX('EEPROM-Contents'!$D$4:'EEPROM-Contents'!$D$141,MATCH('EEPROM-Contents'!AC23,'EEPROM-Contents'!$B$4:'EEPROM-Contents'!$B$141,0)),2)</f>
        <v>00</v>
      </c>
      <c r="AB29" s="79" t="str">
        <f>RIGHT(INDEX('EEPROM-Contents'!$D$4:'EEPROM-Contents'!$D$141,MATCH('EEPROM-Contents'!AD23,'EEPROM-Contents'!$B$4:'EEPROM-Contents'!$B$141,0)),2)</f>
        <v>00</v>
      </c>
      <c r="AC29" s="79" t="str">
        <f>RIGHT(INDEX('EEPROM-Contents'!$D$4:'EEPROM-Contents'!$D$141,MATCH('EEPROM-Contents'!AE23,'EEPROM-Contents'!$B$4:'EEPROM-Contents'!$B$141,0)),2)</f>
        <v>00</v>
      </c>
      <c r="AD29" s="79" t="str">
        <f>RIGHT(INDEX('EEPROM-Contents'!$D$4:'EEPROM-Contents'!$D$141,MATCH('EEPROM-Contents'!AF23,'EEPROM-Contents'!$B$4:'EEPROM-Contents'!$B$141,0)),2)</f>
        <v>00</v>
      </c>
      <c r="AF29" s="81" t="str">
        <f t="shared" ca="1" si="2"/>
        <v>000000000000000000000103177300000000000000000000000000</v>
      </c>
    </row>
    <row r="30" spans="2:38" x14ac:dyDescent="0.3">
      <c r="B30" s="85">
        <f>'EEPROM-Contents'!B103</f>
        <v>99</v>
      </c>
      <c r="C30" s="75">
        <f t="shared" si="4"/>
        <v>23</v>
      </c>
      <c r="D30" s="75" t="str">
        <f>LEFT(RIGHT($B$5,4),2)</f>
        <v>17</v>
      </c>
      <c r="E30" s="66" t="str">
        <f>'EEPROM-Contents'!E103</f>
        <v>Device Type</v>
      </c>
      <c r="F30" s="67"/>
      <c r="G30" s="68"/>
      <c r="N30" s="78" t="s">
        <v>362</v>
      </c>
      <c r="O30" s="84" t="e">
        <f>RIGHT(INDEX($D$9:$D$47,MATCH('EEPROM-Contents'!Q24,$B$9:$B$47,0)),2)</f>
        <v>#NUM!</v>
      </c>
      <c r="P30" s="84" t="str">
        <f>RIGHT(INDEX($D$9:$D$47,MATCH('EEPROM-Contents'!R24,$B$9:$B$47,0)),2)</f>
        <v>00</v>
      </c>
      <c r="Q30" s="84" t="str">
        <f>RIGHT(INDEX($D$9:$D$47,MATCH('EEPROM-Contents'!S24,$B$9:$B$47,0)),2)</f>
        <v>00</v>
      </c>
      <c r="R30" s="84" t="e">
        <f ca="1">RIGHT(INDEX($D$9:$D$47,MATCH('EEPROM-Contents'!T24,$B$9:$B$47,0)),2)</f>
        <v>#NUM!</v>
      </c>
      <c r="S30" s="79" t="str">
        <f>RIGHT(INDEX('EEPROM-Contents'!$D$4:'EEPROM-Contents'!$D$141,MATCH('EEPROM-Contents'!U24,'EEPROM-Contents'!$B$4:'EEPROM-Contents'!$B$141,0)),2)</f>
        <v>0A</v>
      </c>
      <c r="T30" s="84" t="str">
        <f>RIGHT(INDEX($D$9:$D$47,MATCH('EEPROM-Contents'!V24,$B$9:$B$47,0)),2)</f>
        <v>09</v>
      </c>
      <c r="U30" s="84" t="str">
        <f ca="1">RIGHT(INDEX($D$9:$D$47,MATCH('EEPROM-Contents'!W24,$B$9:$B$47,0)),2)</f>
        <v>07</v>
      </c>
      <c r="V30" s="84" t="str">
        <f ca="1">RIGHT(INDEX($D$9:$D$47,MATCH('EEPROM-Contents'!X24,$B$9:$B$47,0)),2)</f>
        <v>01</v>
      </c>
      <c r="W30" s="84" t="str">
        <f ca="1">RIGHT(INDEX($D$9:$D$47,MATCH('EEPROM-Contents'!Y24,$B$9:$B$47,0)),2)</f>
        <v>03</v>
      </c>
      <c r="X30" s="84" t="str">
        <f>RIGHT(INDEX($D$9:$D$47,MATCH('EEPROM-Contents'!Z24,$B$9:$B$47,0)),2)</f>
        <v>17</v>
      </c>
      <c r="Y30" s="84" t="str">
        <f>RIGHT(INDEX($D$9:$D$47,MATCH('EEPROM-Contents'!AA24,$B$9:$B$47,0)),2)</f>
        <v>73</v>
      </c>
      <c r="Z30" s="84" t="str">
        <f>RIGHT(INDEX($D$9:$D$47,MATCH('EEPROM-Contents'!AB24,$B$9:$B$47,0)),2)</f>
        <v>00</v>
      </c>
      <c r="AA30" s="84" t="str">
        <f>RIGHT(INDEX($D$9:$D$47,MATCH('EEPROM-Contents'!AC24,$B$9:$B$47,0)),2)</f>
        <v>00</v>
      </c>
      <c r="AB30" s="84" t="str">
        <f>RIGHT(INDEX($D$9:$D$47,MATCH('EEPROM-Contents'!AD24,$B$9:$B$47,0)),2)</f>
        <v>00</v>
      </c>
      <c r="AC30" s="84" t="str">
        <f>RIGHT(INDEX($D$9:$D$47,MATCH('EEPROM-Contents'!AE24,$B$9:$B$47,0)),2)</f>
        <v>00</v>
      </c>
      <c r="AD30" s="79" t="str">
        <f>RIGHT(INDEX('EEPROM-Contents'!$D$4:'EEPROM-Contents'!$D$141,MATCH('EEPROM-Contents'!AF24,'EEPROM-Contents'!$B$4:'EEPROM-Contents'!$B$141,0)),2)</f>
        <v>00</v>
      </c>
      <c r="AF30" s="81" t="e">
        <f t="shared" ca="1" si="2"/>
        <v>#NUM!</v>
      </c>
    </row>
    <row r="31" spans="2:38" x14ac:dyDescent="0.3">
      <c r="B31" s="85">
        <f>'EEPROM-Contents'!B104</f>
        <v>100</v>
      </c>
      <c r="C31" s="75">
        <f t="shared" si="4"/>
        <v>115</v>
      </c>
      <c r="D31" s="75" t="str">
        <f>LEFT(RIGHT($B$5,2),2)</f>
        <v>73</v>
      </c>
      <c r="E31" s="66" t="str">
        <f>'EEPROM-Contents'!E104</f>
        <v>Device Type</v>
      </c>
      <c r="F31" s="67"/>
      <c r="G31" s="68"/>
      <c r="N31" s="78" t="s">
        <v>363</v>
      </c>
      <c r="O31" s="79" t="str">
        <f>RIGHT(INDEX('EEPROM-Contents'!$D$4:'EEPROM-Contents'!$D$141,MATCH('EEPROM-Contents'!Q25,'EEPROM-Contents'!$B$4:'EEPROM-Contents'!$B$141,0)),2)</f>
        <v>00</v>
      </c>
      <c r="P31" s="79" t="str">
        <f>RIGHT(INDEX('EEPROM-Contents'!$D$4:'EEPROM-Contents'!$D$141,MATCH('EEPROM-Contents'!R25,'EEPROM-Contents'!$B$4:'EEPROM-Contents'!$B$141,0)),2)</f>
        <v>00</v>
      </c>
      <c r="Q31" s="79" t="str">
        <f>RIGHT(INDEX('EEPROM-Contents'!$D$4:'EEPROM-Contents'!$D$141,MATCH('EEPROM-Contents'!S25,'EEPROM-Contents'!$B$4:'EEPROM-Contents'!$B$141,0)),2)</f>
        <v>00</v>
      </c>
      <c r="R31" s="79" t="str">
        <f>RIGHT(INDEX('EEPROM-Contents'!$D$4:'EEPROM-Contents'!$D$141,MATCH('EEPROM-Contents'!T25,'EEPROM-Contents'!$B$4:'EEPROM-Contents'!$B$141,0)),2)</f>
        <v>00</v>
      </c>
      <c r="S31" s="79" t="str">
        <f>RIGHT(INDEX('EEPROM-Contents'!$D$4:'EEPROM-Contents'!$D$141,MATCH('EEPROM-Contents'!U25,'EEPROM-Contents'!$B$4:'EEPROM-Contents'!$B$141,0)),2)</f>
        <v>00</v>
      </c>
      <c r="T31" s="79" t="str">
        <f>RIGHT(INDEX('EEPROM-Contents'!$D$4:'EEPROM-Contents'!$D$141,MATCH('EEPROM-Contents'!V25,'EEPROM-Contents'!$B$4:'EEPROM-Contents'!$B$141,0)),2)</f>
        <v>00</v>
      </c>
      <c r="U31" s="79" t="str">
        <f>RIGHT(INDEX('EEPROM-Contents'!$D$4:'EEPROM-Contents'!$D$141,MATCH('EEPROM-Contents'!W25,'EEPROM-Contents'!$B$4:'EEPROM-Contents'!$B$141,0)),2)</f>
        <v>00</v>
      </c>
      <c r="V31" s="84" t="e">
        <f>RIGHT(INDEX($D$9:$D$47,MATCH('EEPROM-Contents'!X25,$B$9:$B$47,0)),2)</f>
        <v>#NUM!</v>
      </c>
      <c r="W31" s="84" t="str">
        <f>RIGHT(INDEX($D$9:$D$47,MATCH('EEPROM-Contents'!Y25,$B$9:$B$47,0)),2)</f>
        <v>00</v>
      </c>
      <c r="X31" s="84" t="str">
        <f>RIGHT(INDEX($D$9:$D$47,MATCH('EEPROM-Contents'!Z25,$B$9:$B$47,0)),2)</f>
        <v>00</v>
      </c>
      <c r="Y31" s="84" t="e">
        <f ca="1">RIGHT(INDEX($D$9:$D$47,MATCH('EEPROM-Contents'!AA25,$B$9:$B$47,0)),2)</f>
        <v>#NUM!</v>
      </c>
      <c r="Z31" s="79" t="str">
        <f>RIGHT(INDEX('EEPROM-Contents'!$D$4:'EEPROM-Contents'!$D$141,MATCH('EEPROM-Contents'!AB25,'EEPROM-Contents'!$B$4:'EEPROM-Contents'!$B$141,0)),2)</f>
        <v>0B</v>
      </c>
      <c r="AA31" s="84" t="str">
        <f>RIGHT(INDEX($D$9:$D$47,MATCH('EEPROM-Contents'!AC25,$B$9:$B$47,0)),2)</f>
        <v>09</v>
      </c>
      <c r="AB31" s="84" t="str">
        <f ca="1">RIGHT(INDEX($D$9:$D$47,MATCH('EEPROM-Contents'!AD25,$B$9:$B$47,0)),2)</f>
        <v>07</v>
      </c>
      <c r="AC31" s="84" t="str">
        <f ca="1">RIGHT(INDEX($D$9:$D$47,MATCH('EEPROM-Contents'!AE25,$B$9:$B$47,0)),2)</f>
        <v>01</v>
      </c>
      <c r="AD31" s="84" t="str">
        <f ca="1">RIGHT(INDEX($D$9:$D$47,MATCH('EEPROM-Contents'!AF25,$B$9:$B$47,0)),2)</f>
        <v>03</v>
      </c>
      <c r="AF31" s="81" t="e">
        <f t="shared" ca="1" si="2"/>
        <v>#NUM!</v>
      </c>
    </row>
    <row r="32" spans="2:38" x14ac:dyDescent="0.3">
      <c r="B32" s="85">
        <f>'EEPROM-Contents'!B105</f>
        <v>101</v>
      </c>
      <c r="C32" s="75">
        <f t="shared" si="4"/>
        <v>0</v>
      </c>
      <c r="D32" s="75" t="str">
        <f>LEFT(RIGHT($D$5,8),2)</f>
        <v>00</v>
      </c>
      <c r="E32" s="66" t="str">
        <f>'EEPROM-Contents'!E105</f>
        <v>Manufacturer / Lot ID</v>
      </c>
      <c r="F32" s="67"/>
      <c r="G32" s="68"/>
      <c r="N32" s="78" t="s">
        <v>364</v>
      </c>
      <c r="O32" s="84" t="str">
        <f>RIGHT(INDEX($D$9:$D$47,MATCH('EEPROM-Contents'!Q26,$B$9:$B$47,0)),2)</f>
        <v>17</v>
      </c>
      <c r="P32" s="84" t="str">
        <f>RIGHT(INDEX($D$9:$D$47,MATCH('EEPROM-Contents'!R26,$B$9:$B$47,0)),2)</f>
        <v>73</v>
      </c>
      <c r="Q32" s="84" t="str">
        <f>RIGHT(INDEX($D$9:$D$47,MATCH('EEPROM-Contents'!S26,$B$9:$B$47,0)),2)</f>
        <v>00</v>
      </c>
      <c r="R32" s="84" t="str">
        <f>RIGHT(INDEX($D$9:$D$47,MATCH('EEPROM-Contents'!T26,$B$9:$B$47,0)),2)</f>
        <v>00</v>
      </c>
      <c r="S32" s="84" t="str">
        <f>RIGHT(INDEX($D$9:$D$47,MATCH('EEPROM-Contents'!U26,$B$9:$B$47,0)),2)</f>
        <v>00</v>
      </c>
      <c r="T32" s="84" t="str">
        <f>RIGHT(INDEX($D$9:$D$47,MATCH('EEPROM-Contents'!V26,$B$9:$B$47,0)),2)</f>
        <v>00</v>
      </c>
      <c r="U32" s="79" t="str">
        <f>RIGHT(INDEX('EEPROM-Contents'!$D$4:'EEPROM-Contents'!$D$141,MATCH('EEPROM-Contents'!W26,'EEPROM-Contents'!$B$4:'EEPROM-Contents'!$B$141,0)),2)</f>
        <v>00</v>
      </c>
      <c r="V32" s="79" t="str">
        <f>RIGHT(INDEX('EEPROM-Contents'!$D$4:'EEPROM-Contents'!$D$141,MATCH('EEPROM-Contents'!X26,'EEPROM-Contents'!$B$4:'EEPROM-Contents'!$B$141,0)),2)</f>
        <v>00</v>
      </c>
      <c r="W32" s="79" t="str">
        <f>RIGHT(INDEX('EEPROM-Contents'!$D$4:'EEPROM-Contents'!$D$141,MATCH('EEPROM-Contents'!Y26,'EEPROM-Contents'!$B$4:'EEPROM-Contents'!$B$141,0)),2)</f>
        <v>00</v>
      </c>
      <c r="X32" s="79" t="str">
        <f>RIGHT(INDEX('EEPROM-Contents'!$D$4:'EEPROM-Contents'!$D$141,MATCH('EEPROM-Contents'!Z26,'EEPROM-Contents'!$B$4:'EEPROM-Contents'!$B$141,0)),2)</f>
        <v>00</v>
      </c>
      <c r="Y32" s="79" t="str">
        <f>RIGHT(INDEX('EEPROM-Contents'!$D$4:'EEPROM-Contents'!$D$141,MATCH('EEPROM-Contents'!AA26,'EEPROM-Contents'!$B$4:'EEPROM-Contents'!$B$141,0)),2)</f>
        <v>00</v>
      </c>
      <c r="Z32" s="79" t="str">
        <f>RIGHT(INDEX('EEPROM-Contents'!$D$4:'EEPROM-Contents'!$D$141,MATCH('EEPROM-Contents'!AB26,'EEPROM-Contents'!$B$4:'EEPROM-Contents'!$B$141,0)),2)</f>
        <v>00</v>
      </c>
      <c r="AA32" s="79" t="str">
        <f>RIGHT(INDEX('EEPROM-Contents'!$D$4:'EEPROM-Contents'!$D$141,MATCH('EEPROM-Contents'!AC26,'EEPROM-Contents'!$B$4:'EEPROM-Contents'!$B$141,0)),2)</f>
        <v>00</v>
      </c>
      <c r="AB32" s="79" t="str">
        <f>RIGHT(INDEX('EEPROM-Contents'!$D$4:'EEPROM-Contents'!$D$141,MATCH('EEPROM-Contents'!AD26,'EEPROM-Contents'!$B$4:'EEPROM-Contents'!$B$141,0)),2)</f>
        <v>00</v>
      </c>
      <c r="AC32" s="84" t="e">
        <f>RIGHT(INDEX($D$9:$D$47,MATCH('EEPROM-Contents'!AE26,$B$9:$B$47,0)),2)</f>
        <v>#NUM!</v>
      </c>
      <c r="AD32" s="84" t="str">
        <f>RIGHT(INDEX($D$9:$D$47,MATCH('EEPROM-Contents'!AF26,$B$9:$B$47,0)),2)</f>
        <v>00</v>
      </c>
      <c r="AF32" s="81" t="e">
        <f t="shared" si="2"/>
        <v>#NUM!</v>
      </c>
    </row>
    <row r="33" spans="2:32" x14ac:dyDescent="0.3">
      <c r="B33" s="85">
        <f>'EEPROM-Contents'!B106</f>
        <v>102</v>
      </c>
      <c r="C33" s="75">
        <f t="shared" si="4"/>
        <v>0</v>
      </c>
      <c r="D33" s="75" t="str">
        <f>LEFT(RIGHT($D$5,6),2)</f>
        <v>00</v>
      </c>
      <c r="E33" s="66" t="str">
        <f>'EEPROM-Contents'!E106</f>
        <v>Manufacturer / Lot ID</v>
      </c>
      <c r="F33" s="67"/>
      <c r="G33" s="68"/>
      <c r="N33" s="78" t="s">
        <v>365</v>
      </c>
      <c r="O33" s="84" t="str">
        <f>RIGHT(INDEX($D$9:$D$47,MATCH('EEPROM-Contents'!Q27,$B$9:$B$47,0)),2)</f>
        <v>00</v>
      </c>
      <c r="P33" s="84" t="e">
        <f ca="1">RIGHT(INDEX($D$9:$D$47,MATCH('EEPROM-Contents'!R27,$B$9:$B$47,0)),2)</f>
        <v>#NUM!</v>
      </c>
      <c r="Q33" s="79" t="str">
        <f>RIGHT(INDEX('EEPROM-Contents'!$D$4:'EEPROM-Contents'!$D$141,MATCH('EEPROM-Contents'!S27,'EEPROM-Contents'!$B$4:'EEPROM-Contents'!$B$141,0)),2)</f>
        <v>0C</v>
      </c>
      <c r="R33" s="84" t="str">
        <f>RIGHT(INDEX($D$9:$D$47,MATCH('EEPROM-Contents'!T27,$B$9:$B$47,0)),2)</f>
        <v>09</v>
      </c>
      <c r="S33" s="84" t="str">
        <f ca="1">RIGHT(INDEX($D$9:$D$47,MATCH('EEPROM-Contents'!U27,$B$9:$B$47,0)),2)</f>
        <v>07</v>
      </c>
      <c r="T33" s="84" t="str">
        <f ca="1">RIGHT(INDEX($D$9:$D$47,MATCH('EEPROM-Contents'!V27,$B$9:$B$47,0)),2)</f>
        <v>01</v>
      </c>
      <c r="U33" s="84" t="str">
        <f ca="1">RIGHT(INDEX($D$9:$D$47,MATCH('EEPROM-Contents'!W27,$B$9:$B$47,0)),2)</f>
        <v>03</v>
      </c>
      <c r="V33" s="84" t="str">
        <f>RIGHT(INDEX($D$9:$D$47,MATCH('EEPROM-Contents'!X27,$B$9:$B$47,0)),2)</f>
        <v>17</v>
      </c>
      <c r="W33" s="84" t="str">
        <f>RIGHT(INDEX($D$9:$D$47,MATCH('EEPROM-Contents'!Y27,$B$9:$B$47,0)),2)</f>
        <v>73</v>
      </c>
      <c r="X33" s="84" t="str">
        <f>RIGHT(INDEX($D$9:$D$47,MATCH('EEPROM-Contents'!Z27,$B$9:$B$47,0)),2)</f>
        <v>00</v>
      </c>
      <c r="Y33" s="84" t="str">
        <f>RIGHT(INDEX($D$9:$D$47,MATCH('EEPROM-Contents'!AA27,$B$9:$B$47,0)),2)</f>
        <v>00</v>
      </c>
      <c r="Z33" s="84" t="str">
        <f>RIGHT(INDEX($D$9:$D$47,MATCH('EEPROM-Contents'!AB27,$B$9:$B$47,0)),2)</f>
        <v>00</v>
      </c>
      <c r="AA33" s="84" t="str">
        <f>RIGHT(INDEX($D$9:$D$47,MATCH('EEPROM-Contents'!AC27,$B$9:$B$47,0)),2)</f>
        <v>00</v>
      </c>
      <c r="AB33" s="79" t="str">
        <f>RIGHT(INDEX('EEPROM-Contents'!$D$4:'EEPROM-Contents'!$D$141,MATCH('EEPROM-Contents'!AD27,'EEPROM-Contents'!$B$4:'EEPROM-Contents'!$B$141,0)),2)</f>
        <v>00</v>
      </c>
      <c r="AC33" s="79" t="str">
        <f>RIGHT(INDEX('EEPROM-Contents'!$D$4:'EEPROM-Contents'!$D$141,MATCH('EEPROM-Contents'!AE27,'EEPROM-Contents'!$B$4:'EEPROM-Contents'!$B$141,0)),2)</f>
        <v>00</v>
      </c>
      <c r="AD33" s="79" t="str">
        <f>RIGHT(INDEX('EEPROM-Contents'!$D$4:'EEPROM-Contents'!$D$141,MATCH('EEPROM-Contents'!AF27,'EEPROM-Contents'!$B$4:'EEPROM-Contents'!$B$141,0)),2)</f>
        <v>00</v>
      </c>
      <c r="AF33" s="81" t="e">
        <f t="shared" ca="1" si="2"/>
        <v>#NUM!</v>
      </c>
    </row>
    <row r="34" spans="2:32" x14ac:dyDescent="0.3">
      <c r="B34" s="85">
        <f>'EEPROM-Contents'!B107</f>
        <v>103</v>
      </c>
      <c r="C34" s="75">
        <f t="shared" si="4"/>
        <v>0</v>
      </c>
      <c r="D34" s="75" t="str">
        <f>LEFT(RIGHT($D$5,4),2)</f>
        <v>00</v>
      </c>
      <c r="E34" s="66" t="str">
        <f>'EEPROM-Contents'!E107</f>
        <v>Manufacturer / Lot ID</v>
      </c>
      <c r="F34" s="67"/>
      <c r="G34" s="68"/>
      <c r="N34" s="78" t="s">
        <v>366</v>
      </c>
      <c r="O34" s="79" t="str">
        <f>RIGHT(INDEX('EEPROM-Contents'!$D$4:'EEPROM-Contents'!$D$141,MATCH('EEPROM-Contents'!Q28,'EEPROM-Contents'!$B$4:'EEPROM-Contents'!$B$141,0)),2)</f>
        <v>00</v>
      </c>
      <c r="P34" s="79" t="str">
        <f>RIGHT(INDEX('EEPROM-Contents'!$D$4:'EEPROM-Contents'!$D$141,MATCH('EEPROM-Contents'!R28,'EEPROM-Contents'!$B$4:'EEPROM-Contents'!$B$141,0)),2)</f>
        <v>00</v>
      </c>
      <c r="Q34" s="79" t="str">
        <f>RIGHT(INDEX('EEPROM-Contents'!$D$4:'EEPROM-Contents'!$D$141,MATCH('EEPROM-Contents'!S28,'EEPROM-Contents'!$B$4:'EEPROM-Contents'!$B$141,0)),2)</f>
        <v>00</v>
      </c>
      <c r="R34" s="79" t="str">
        <f>RIGHT(INDEX('EEPROM-Contents'!$D$4:'EEPROM-Contents'!$D$141,MATCH('EEPROM-Contents'!T28,'EEPROM-Contents'!$B$4:'EEPROM-Contents'!$B$141,0)),2)</f>
        <v>00</v>
      </c>
      <c r="S34" s="79" t="str">
        <f>RIGHT(INDEX('EEPROM-Contents'!$D$4:'EEPROM-Contents'!$D$141,MATCH('EEPROM-Contents'!U28,'EEPROM-Contents'!$B$4:'EEPROM-Contents'!$B$141,0)),2)</f>
        <v>00</v>
      </c>
      <c r="T34" s="84" t="e">
        <f>RIGHT(INDEX($D$9:$D$47,MATCH('EEPROM-Contents'!V28,$B$9:$B$47,0)),2)</f>
        <v>#NUM!</v>
      </c>
      <c r="U34" s="84" t="str">
        <f>RIGHT(INDEX($D$9:$D$47,MATCH('EEPROM-Contents'!W28,$B$9:$B$47,0)),2)</f>
        <v>00</v>
      </c>
      <c r="V34" s="84" t="str">
        <f>RIGHT(INDEX($D$9:$D$47,MATCH('EEPROM-Contents'!X28,$B$9:$B$47,0)),2)</f>
        <v>00</v>
      </c>
      <c r="W34" s="84" t="e">
        <f ca="1">RIGHT(INDEX($D$9:$D$47,MATCH('EEPROM-Contents'!Y28,$B$9:$B$47,0)),2)</f>
        <v>#NUM!</v>
      </c>
      <c r="X34" s="79" t="str">
        <f>RIGHT(INDEX('EEPROM-Contents'!$D$4:'EEPROM-Contents'!$D$141,MATCH('EEPROM-Contents'!Z28,'EEPROM-Contents'!$B$4:'EEPROM-Contents'!$B$141,0)),2)</f>
        <v>0D</v>
      </c>
      <c r="Y34" s="84" t="str">
        <f>RIGHT(INDEX($D$9:$D$47,MATCH('EEPROM-Contents'!AA28,$B$9:$B$47,0)),2)</f>
        <v>09</v>
      </c>
      <c r="Z34" s="84" t="str">
        <f ca="1">RIGHT(INDEX($D$9:$D$47,MATCH('EEPROM-Contents'!AB28,$B$9:$B$47,0)),2)</f>
        <v>07</v>
      </c>
      <c r="AA34" s="84" t="str">
        <f ca="1">RIGHT(INDEX($D$9:$D$47,MATCH('EEPROM-Contents'!AC28,$B$9:$B$47,0)),2)</f>
        <v>01</v>
      </c>
      <c r="AB34" s="84" t="str">
        <f ca="1">RIGHT(INDEX($D$9:$D$47,MATCH('EEPROM-Contents'!AD28,$B$9:$B$47,0)),2)</f>
        <v>03</v>
      </c>
      <c r="AC34" s="84" t="str">
        <f>RIGHT(INDEX($D$9:$D$47,MATCH('EEPROM-Contents'!AE28,$B$9:$B$47,0)),2)</f>
        <v>17</v>
      </c>
      <c r="AD34" s="84" t="str">
        <f>RIGHT(INDEX($D$9:$D$47,MATCH('EEPROM-Contents'!AF28,$B$9:$B$47,0)),2)</f>
        <v>73</v>
      </c>
      <c r="AF34" s="81" t="e">
        <f t="shared" ca="1" si="2"/>
        <v>#NUM!</v>
      </c>
    </row>
    <row r="35" spans="2:32" x14ac:dyDescent="0.3">
      <c r="B35" s="85">
        <f>'EEPROM-Contents'!B108</f>
        <v>104</v>
      </c>
      <c r="C35" s="75">
        <f t="shared" si="4"/>
        <v>0</v>
      </c>
      <c r="D35" s="75" t="str">
        <f>LEFT(RIGHT($D$5,2),2)</f>
        <v>00</v>
      </c>
      <c r="E35" s="66" t="str">
        <f>'EEPROM-Contents'!E108</f>
        <v>Manufacturer / Lot ID</v>
      </c>
      <c r="F35" s="67"/>
      <c r="G35" s="68"/>
      <c r="N35" s="78" t="s">
        <v>367</v>
      </c>
      <c r="O35" s="84" t="str">
        <f>RIGHT(INDEX($D$9:$D$47,MATCH('EEPROM-Contents'!Q29,$B$9:$B$47,0)),2)</f>
        <v>00</v>
      </c>
      <c r="P35" s="84" t="str">
        <f>RIGHT(INDEX($D$9:$D$47,MATCH('EEPROM-Contents'!R29,$B$9:$B$47,0)),2)</f>
        <v>00</v>
      </c>
      <c r="Q35" s="84" t="str">
        <f>RIGHT(INDEX($D$9:$D$47,MATCH('EEPROM-Contents'!S29,$B$9:$B$47,0)),2)</f>
        <v>00</v>
      </c>
      <c r="R35" s="84" t="str">
        <f>RIGHT(INDEX($D$9:$D$47,MATCH('EEPROM-Contents'!T29,$B$9:$B$47,0)),2)</f>
        <v>00</v>
      </c>
      <c r="S35" s="79" t="str">
        <f>RIGHT(INDEX('EEPROM-Contents'!$D$4:'EEPROM-Contents'!$D$141,MATCH('EEPROM-Contents'!U29,'EEPROM-Contents'!$B$4:'EEPROM-Contents'!$B$141,0)),2)</f>
        <v>00</v>
      </c>
      <c r="T35" s="79" t="str">
        <f>RIGHT(INDEX('EEPROM-Contents'!$D$4:'EEPROM-Contents'!$D$141,MATCH('EEPROM-Contents'!V29,'EEPROM-Contents'!$B$4:'EEPROM-Contents'!$B$141,0)),2)</f>
        <v>00</v>
      </c>
      <c r="U35" s="79" t="str">
        <f>RIGHT(INDEX('EEPROM-Contents'!$D$4:'EEPROM-Contents'!$D$141,MATCH('EEPROM-Contents'!W29,'EEPROM-Contents'!$B$4:'EEPROM-Contents'!$B$141,0)),2)</f>
        <v>00</v>
      </c>
      <c r="V35" s="79" t="str">
        <f>RIGHT(INDEX('EEPROM-Contents'!$D$4:'EEPROM-Contents'!$D$141,MATCH('EEPROM-Contents'!X29,'EEPROM-Contents'!$B$4:'EEPROM-Contents'!$B$141,0)),2)</f>
        <v>00</v>
      </c>
      <c r="W35" s="79" t="str">
        <f>RIGHT(INDEX('EEPROM-Contents'!$D$4:'EEPROM-Contents'!$D$141,MATCH('EEPROM-Contents'!Y29,'EEPROM-Contents'!$B$4:'EEPROM-Contents'!$B$141,0)),2)</f>
        <v>00</v>
      </c>
      <c r="X35" s="79" t="str">
        <f>RIGHT(INDEX('EEPROM-Contents'!$D$4:'EEPROM-Contents'!$D$141,MATCH('EEPROM-Contents'!Z29,'EEPROM-Contents'!$B$4:'EEPROM-Contents'!$B$141,0)),2)</f>
        <v>00</v>
      </c>
      <c r="Y35" s="79" t="str">
        <f>RIGHT(INDEX('EEPROM-Contents'!$D$4:'EEPROM-Contents'!$D$141,MATCH('EEPROM-Contents'!AA29,'EEPROM-Contents'!$B$4:'EEPROM-Contents'!$B$141,0)),2)</f>
        <v>00</v>
      </c>
      <c r="Z35" s="79" t="str">
        <f>RIGHT(INDEX('EEPROM-Contents'!$D$4:'EEPROM-Contents'!$D$141,MATCH('EEPROM-Contents'!AB29,'EEPROM-Contents'!$B$4:'EEPROM-Contents'!$B$141,0)),2)</f>
        <v>00</v>
      </c>
      <c r="AA35" s="84" t="e">
        <f>RIGHT(INDEX($D$9:$D$47,MATCH('EEPROM-Contents'!AC29,$B$9:$B$47,0)),2)</f>
        <v>#NUM!</v>
      </c>
      <c r="AB35" s="84" t="str">
        <f>RIGHT(INDEX($D$9:$D$47,MATCH('EEPROM-Contents'!AD29,$B$9:$B$47,0)),2)</f>
        <v>00</v>
      </c>
      <c r="AC35" s="84" t="str">
        <f>RIGHT(INDEX($D$9:$D$47,MATCH('EEPROM-Contents'!AE29,$B$9:$B$47,0)),2)</f>
        <v>00</v>
      </c>
      <c r="AD35" s="84" t="e">
        <f ca="1">RIGHT(INDEX($D$9:$D$47,MATCH('EEPROM-Contents'!AF29,$B$9:$B$47,0)),2)</f>
        <v>#NUM!</v>
      </c>
      <c r="AF35" s="81" t="e">
        <f t="shared" ca="1" si="2"/>
        <v>#NUM!</v>
      </c>
    </row>
    <row r="36" spans="2:32" x14ac:dyDescent="0.3">
      <c r="B36" s="85">
        <f>'EEPROM-Contents'!B109</f>
        <v>105</v>
      </c>
      <c r="C36" s="75">
        <f t="shared" si="4"/>
        <v>0</v>
      </c>
      <c r="D36" s="76" t="str">
        <f>$I$5</f>
        <v>00</v>
      </c>
      <c r="E36" s="66" t="str">
        <f>'EEPROM-Contents'!E109</f>
        <v>Voltage Cal</v>
      </c>
      <c r="F36" s="67"/>
      <c r="G36" s="68"/>
      <c r="N36" s="78" t="s">
        <v>368</v>
      </c>
      <c r="O36" s="79" t="str">
        <f>RIGHT(INDEX('EEPROM-Contents'!$D$4:'EEPROM-Contents'!$D$141,MATCH('EEPROM-Contents'!Q30,'EEPROM-Contents'!$B$4:'EEPROM-Contents'!$B$141,0)),2)</f>
        <v>0E</v>
      </c>
      <c r="P36" s="84" t="str">
        <f>RIGHT(INDEX($D$9:$D$47,MATCH('EEPROM-Contents'!R30,$B$9:$B$47,0)),2)</f>
        <v>09</v>
      </c>
      <c r="Q36" s="84" t="str">
        <f ca="1">RIGHT(INDEX($D$9:$D$47,MATCH('EEPROM-Contents'!S30,$B$9:$B$47,0)),2)</f>
        <v>07</v>
      </c>
      <c r="R36" s="84" t="str">
        <f ca="1">RIGHT(INDEX($D$9:$D$47,MATCH('EEPROM-Contents'!T30,$B$9:$B$47,0)),2)</f>
        <v>01</v>
      </c>
      <c r="S36" s="84" t="str">
        <f ca="1">RIGHT(INDEX($D$9:$D$47,MATCH('EEPROM-Contents'!U30,$B$9:$B$47,0)),2)</f>
        <v>03</v>
      </c>
      <c r="T36" s="84" t="str">
        <f>RIGHT(INDEX($D$9:$D$47,MATCH('EEPROM-Contents'!V30,$B$9:$B$47,0)),2)</f>
        <v>17</v>
      </c>
      <c r="U36" s="84" t="str">
        <f>RIGHT(INDEX($D$9:$D$47,MATCH('EEPROM-Contents'!W30,$B$9:$B$47,0)),2)</f>
        <v>73</v>
      </c>
      <c r="V36" s="84" t="str">
        <f>RIGHT(INDEX($D$9:$D$47,MATCH('EEPROM-Contents'!X30,$B$9:$B$47,0)),2)</f>
        <v>00</v>
      </c>
      <c r="W36" s="84" t="str">
        <f>RIGHT(INDEX($D$9:$D$47,MATCH('EEPROM-Contents'!Y30,$B$9:$B$47,0)),2)</f>
        <v>00</v>
      </c>
      <c r="X36" s="84" t="str">
        <f>RIGHT(INDEX($D$9:$D$47,MATCH('EEPROM-Contents'!Z30,$B$9:$B$47,0)),2)</f>
        <v>00</v>
      </c>
      <c r="Y36" s="84" t="str">
        <f>RIGHT(INDEX($D$9:$D$47,MATCH('EEPROM-Contents'!AA30,$B$9:$B$47,0)),2)</f>
        <v>00</v>
      </c>
      <c r="Z36" s="79" t="str">
        <f>RIGHT(INDEX('EEPROM-Contents'!$D$4:'EEPROM-Contents'!$D$141,MATCH('EEPROM-Contents'!AB30,'EEPROM-Contents'!$B$4:'EEPROM-Contents'!$B$141,0)),2)</f>
        <v>00</v>
      </c>
      <c r="AA36" s="79" t="str">
        <f>RIGHT(INDEX('EEPROM-Contents'!$D$4:'EEPROM-Contents'!$D$141,MATCH('EEPROM-Contents'!AC30,'EEPROM-Contents'!$B$4:'EEPROM-Contents'!$B$141,0)),2)</f>
        <v>00</v>
      </c>
      <c r="AB36" s="79" t="str">
        <f>RIGHT(INDEX('EEPROM-Contents'!$D$4:'EEPROM-Contents'!$D$141,MATCH('EEPROM-Contents'!AD30,'EEPROM-Contents'!$B$4:'EEPROM-Contents'!$B$141,0)),2)</f>
        <v>00</v>
      </c>
      <c r="AC36" s="79" t="str">
        <f>RIGHT(INDEX('EEPROM-Contents'!$D$4:'EEPROM-Contents'!$D$141,MATCH('EEPROM-Contents'!AE30,'EEPROM-Contents'!$B$4:'EEPROM-Contents'!$B$141,0)),2)</f>
        <v>00</v>
      </c>
      <c r="AD36" s="79" t="str">
        <f>RIGHT(INDEX('EEPROM-Contents'!$D$4:'EEPROM-Contents'!$D$141,MATCH('EEPROM-Contents'!AF30,'EEPROM-Contents'!$B$4:'EEPROM-Contents'!$B$141,0)),2)</f>
        <v>00</v>
      </c>
      <c r="AF36" s="81" t="str">
        <f t="shared" ca="1" si="2"/>
        <v>000000000000000000000E09070103177300000000000000000000</v>
      </c>
    </row>
    <row r="37" spans="2:32" x14ac:dyDescent="0.3">
      <c r="B37" s="85">
        <f>'EEPROM-Contents'!B110</f>
        <v>106</v>
      </c>
      <c r="C37" s="75">
        <f t="shared" si="4"/>
        <v>0</v>
      </c>
      <c r="D37" s="76" t="str">
        <f t="shared" ref="D37:D43" si="5">$I$5</f>
        <v>00</v>
      </c>
      <c r="E37" s="66" t="str">
        <f>'EEPROM-Contents'!E110</f>
        <v>Voltage Cal</v>
      </c>
      <c r="F37" s="67"/>
      <c r="G37" s="68"/>
      <c r="N37" s="78" t="s">
        <v>369</v>
      </c>
      <c r="O37" s="79" t="str">
        <f>RIGHT(INDEX('EEPROM-Contents'!$D$4:'EEPROM-Contents'!$D$141,MATCH('EEPROM-Contents'!Q31,'EEPROM-Contents'!$B$4:'EEPROM-Contents'!$B$141,0)),2)</f>
        <v>00</v>
      </c>
      <c r="P37" s="79" t="str">
        <f>RIGHT(INDEX('EEPROM-Contents'!$D$4:'EEPROM-Contents'!$D$141,MATCH('EEPROM-Contents'!R31,'EEPROM-Contents'!$B$4:'EEPROM-Contents'!$B$141,0)),2)</f>
        <v>00</v>
      </c>
      <c r="Q37" s="79" t="str">
        <f>RIGHT(INDEX('EEPROM-Contents'!$D$4:'EEPROM-Contents'!$D$141,MATCH('EEPROM-Contents'!S31,'EEPROM-Contents'!$B$4:'EEPROM-Contents'!$B$141,0)),2)</f>
        <v>00</v>
      </c>
      <c r="R37" s="84" t="e">
        <f>RIGHT(INDEX($D$9:$D$47,MATCH('EEPROM-Contents'!T31,$B$9:$B$47,0)),2)</f>
        <v>#NUM!</v>
      </c>
      <c r="S37" s="84" t="str">
        <f>RIGHT(INDEX($D$9:$D$47,MATCH('EEPROM-Contents'!U31,$B$9:$B$47,0)),2)</f>
        <v>00</v>
      </c>
      <c r="T37" s="84" t="str">
        <f>RIGHT(INDEX($D$9:$D$47,MATCH('EEPROM-Contents'!V31,$B$9:$B$47,0)),2)</f>
        <v>00</v>
      </c>
      <c r="U37" s="84" t="e">
        <f ca="1">RIGHT(INDEX($D$9:$D$47,MATCH('EEPROM-Contents'!W31,$B$9:$B$47,0)),2)</f>
        <v>#NUM!</v>
      </c>
      <c r="V37" s="79" t="str">
        <f>RIGHT(INDEX('EEPROM-Contents'!$D$4:'EEPROM-Contents'!$D$141,MATCH('EEPROM-Contents'!X31,'EEPROM-Contents'!$B$4:'EEPROM-Contents'!$B$141,0)),2)</f>
        <v>0F</v>
      </c>
      <c r="W37" s="84" t="str">
        <f>RIGHT(INDEX($D$9:$D$47,MATCH('EEPROM-Contents'!Y31,$B$9:$B$47,0)),2)</f>
        <v>09</v>
      </c>
      <c r="X37" s="84" t="str">
        <f ca="1">RIGHT(INDEX($D$9:$D$47,MATCH('EEPROM-Contents'!Z31,$B$9:$B$47,0)),2)</f>
        <v>07</v>
      </c>
      <c r="Y37" s="84" t="str">
        <f ca="1">RIGHT(INDEX($D$9:$D$47,MATCH('EEPROM-Contents'!AA31,$B$9:$B$47,0)),2)</f>
        <v>01</v>
      </c>
      <c r="Z37" s="84" t="str">
        <f ca="1">RIGHT(INDEX($D$9:$D$47,MATCH('EEPROM-Contents'!AB31,$B$9:$B$47,0)),2)</f>
        <v>03</v>
      </c>
      <c r="AA37" s="84" t="str">
        <f>RIGHT(INDEX($D$9:$D$47,MATCH('EEPROM-Contents'!AC31,$B$9:$B$47,0)),2)</f>
        <v>17</v>
      </c>
      <c r="AB37" s="84" t="str">
        <f>RIGHT(INDEX($D$9:$D$47,MATCH('EEPROM-Contents'!AD31,$B$9:$B$47,0)),2)</f>
        <v>73</v>
      </c>
      <c r="AC37" s="84" t="str">
        <f>RIGHT(INDEX($D$9:$D$47,MATCH('EEPROM-Contents'!AE31,$B$9:$B$47,0)),2)</f>
        <v>00</v>
      </c>
      <c r="AD37" s="84" t="str">
        <f>RIGHT(INDEX($D$9:$D$47,MATCH('EEPROM-Contents'!AF31,$B$9:$B$47,0)),2)</f>
        <v>00</v>
      </c>
      <c r="AF37" s="81" t="e">
        <f t="shared" ca="1" si="2"/>
        <v>#NUM!</v>
      </c>
    </row>
    <row r="38" spans="2:32" x14ac:dyDescent="0.3">
      <c r="B38" s="85">
        <f>'EEPROM-Contents'!B111</f>
        <v>107</v>
      </c>
      <c r="C38" s="75">
        <f t="shared" si="4"/>
        <v>0</v>
      </c>
      <c r="D38" s="76" t="str">
        <f t="shared" si="5"/>
        <v>00</v>
      </c>
      <c r="E38" s="66" t="str">
        <f>'EEPROM-Contents'!E111</f>
        <v>Voltage Cal</v>
      </c>
      <c r="F38" s="67"/>
      <c r="G38" s="68"/>
      <c r="N38" s="78" t="s">
        <v>370</v>
      </c>
      <c r="O38" s="84" t="str">
        <f>RIGHT(INDEX($D$9:$D$47,MATCH('EEPROM-Contents'!Q32,$B$9:$B$47,0)),2)</f>
        <v>00</v>
      </c>
      <c r="P38" s="84" t="str">
        <f>RIGHT(INDEX($D$9:$D$47,MATCH('EEPROM-Contents'!R32,$B$9:$B$47,0)),2)</f>
        <v>00</v>
      </c>
      <c r="Q38" s="79" t="str">
        <f>RIGHT(INDEX('EEPROM-Contents'!$D$4:'EEPROM-Contents'!$D$141,MATCH('EEPROM-Contents'!S32,'EEPROM-Contents'!$B$4:'EEPROM-Contents'!$B$141,0)),2)</f>
        <v>00</v>
      </c>
      <c r="R38" s="79" t="str">
        <f>RIGHT(INDEX('EEPROM-Contents'!$D$4:'EEPROM-Contents'!$D$141,MATCH('EEPROM-Contents'!T32,'EEPROM-Contents'!$B$4:'EEPROM-Contents'!$B$141,0)),2)</f>
        <v>00</v>
      </c>
      <c r="S38" s="79" t="str">
        <f>RIGHT(INDEX('EEPROM-Contents'!$D$4:'EEPROM-Contents'!$D$141,MATCH('EEPROM-Contents'!U32,'EEPROM-Contents'!$B$4:'EEPROM-Contents'!$B$141,0)),2)</f>
        <v>00</v>
      </c>
      <c r="T38" s="79" t="str">
        <f>RIGHT(INDEX('EEPROM-Contents'!$D$4:'EEPROM-Contents'!$D$141,MATCH('EEPROM-Contents'!V32,'EEPROM-Contents'!$B$4:'EEPROM-Contents'!$B$141,0)),2)</f>
        <v>00</v>
      </c>
      <c r="U38" s="79" t="str">
        <f>RIGHT(INDEX('EEPROM-Contents'!$D$4:'EEPROM-Contents'!$D$141,MATCH('EEPROM-Contents'!W32,'EEPROM-Contents'!$B$4:'EEPROM-Contents'!$B$141,0)),2)</f>
        <v>00</v>
      </c>
      <c r="V38" s="79" t="str">
        <f>RIGHT(INDEX('EEPROM-Contents'!$D$4:'EEPROM-Contents'!$D$141,MATCH('EEPROM-Contents'!X32,'EEPROM-Contents'!$B$4:'EEPROM-Contents'!$B$141,0)),2)</f>
        <v>00</v>
      </c>
      <c r="W38" s="79" t="str">
        <f>RIGHT(INDEX('EEPROM-Contents'!$D$4:'EEPROM-Contents'!$D$141,MATCH('EEPROM-Contents'!Y32,'EEPROM-Contents'!$B$4:'EEPROM-Contents'!$B$141,0)),2)</f>
        <v>00</v>
      </c>
      <c r="X38" s="79" t="str">
        <f>RIGHT(INDEX('EEPROM-Contents'!$D$4:'EEPROM-Contents'!$D$141,MATCH('EEPROM-Contents'!Z32,'EEPROM-Contents'!$B$4:'EEPROM-Contents'!$B$141,0)),2)</f>
        <v>00</v>
      </c>
      <c r="Y38" s="84" t="e">
        <f>RIGHT(INDEX($D$9:$D$47,MATCH('EEPROM-Contents'!AA32,$B$9:$B$47,0)),2)</f>
        <v>#NUM!</v>
      </c>
      <c r="Z38" s="84" t="str">
        <f>RIGHT(INDEX($D$9:$D$47,MATCH('EEPROM-Contents'!AB32,$B$9:$B$47,0)),2)</f>
        <v>00</v>
      </c>
      <c r="AA38" s="84" t="str">
        <f>RIGHT(INDEX($D$9:$D$47,MATCH('EEPROM-Contents'!AC32,$B$9:$B$47,0)),2)</f>
        <v>00</v>
      </c>
      <c r="AB38" s="84" t="e">
        <f ca="1">RIGHT(INDEX($D$9:$D$47,MATCH('EEPROM-Contents'!AD32,$B$9:$B$47,0)),2)</f>
        <v>#NUM!</v>
      </c>
      <c r="AC38" s="79" t="str">
        <f>RIGHT(INDEX('EEPROM-Contents'!$D$4:'EEPROM-Contents'!$D$141,MATCH('EEPROM-Contents'!AE32,'EEPROM-Contents'!$B$4:'EEPROM-Contents'!$B$141,0)),2)</f>
        <v>10</v>
      </c>
      <c r="AD38" s="84" t="str">
        <f>RIGHT(INDEX($D$9:$D$47,MATCH('EEPROM-Contents'!AF32,$B$9:$B$47,0)),2)</f>
        <v>09</v>
      </c>
      <c r="AF38" s="81" t="e">
        <f t="shared" ca="1" si="2"/>
        <v>#NUM!</v>
      </c>
    </row>
    <row r="39" spans="2:32" x14ac:dyDescent="0.3">
      <c r="B39" s="85">
        <f>'EEPROM-Contents'!B112</f>
        <v>108</v>
      </c>
      <c r="C39" s="75">
        <f t="shared" si="4"/>
        <v>0</v>
      </c>
      <c r="D39" s="76" t="str">
        <f t="shared" si="5"/>
        <v>00</v>
      </c>
      <c r="E39" s="66" t="str">
        <f>'EEPROM-Contents'!E112</f>
        <v>Voltage Cal</v>
      </c>
      <c r="F39" s="67"/>
      <c r="G39" s="68"/>
      <c r="N39" s="78" t="s">
        <v>371</v>
      </c>
      <c r="O39" s="84" t="str">
        <f ca="1">RIGHT(INDEX($D$9:$D$47,MATCH('EEPROM-Contents'!Q33,$B$9:$B$47,0)),2)</f>
        <v>07</v>
      </c>
      <c r="P39" s="84" t="str">
        <f ca="1">RIGHT(INDEX($D$9:$D$47,MATCH('EEPROM-Contents'!R33,$B$9:$B$47,0)),2)</f>
        <v>01</v>
      </c>
      <c r="Q39" s="84" t="str">
        <f ca="1">RIGHT(INDEX($D$9:$D$47,MATCH('EEPROM-Contents'!S33,$B$9:$B$47,0)),2)</f>
        <v>03</v>
      </c>
      <c r="R39" s="84" t="str">
        <f>RIGHT(INDEX($D$9:$D$47,MATCH('EEPROM-Contents'!T33,$B$9:$B$47,0)),2)</f>
        <v>17</v>
      </c>
      <c r="S39" s="84" t="str">
        <f>RIGHT(INDEX($D$9:$D$47,MATCH('EEPROM-Contents'!U33,$B$9:$B$47,0)),2)</f>
        <v>73</v>
      </c>
      <c r="T39" s="84" t="str">
        <f>RIGHT(INDEX($D$9:$D$47,MATCH('EEPROM-Contents'!V33,$B$9:$B$47,0)),2)</f>
        <v>00</v>
      </c>
      <c r="U39" s="84" t="str">
        <f>RIGHT(INDEX($D$9:$D$47,MATCH('EEPROM-Contents'!W33,$B$9:$B$47,0)),2)</f>
        <v>00</v>
      </c>
      <c r="V39" s="84" t="str">
        <f>RIGHT(INDEX($D$9:$D$47,MATCH('EEPROM-Contents'!X33,$B$9:$B$47,0)),2)</f>
        <v>00</v>
      </c>
      <c r="W39" s="84" t="str">
        <f>RIGHT(INDEX($D$9:$D$47,MATCH('EEPROM-Contents'!Y33,$B$9:$B$47,0)),2)</f>
        <v>00</v>
      </c>
      <c r="X39" s="79" t="str">
        <f>RIGHT(INDEX('EEPROM-Contents'!$D$4:'EEPROM-Contents'!$D$141,MATCH('EEPROM-Contents'!Z33,'EEPROM-Contents'!$B$4:'EEPROM-Contents'!$B$141,0)),2)</f>
        <v>00</v>
      </c>
      <c r="Y39" s="79" t="str">
        <f>RIGHT(INDEX('EEPROM-Contents'!$D$4:'EEPROM-Contents'!$D$141,MATCH('EEPROM-Contents'!AA33,'EEPROM-Contents'!$B$4:'EEPROM-Contents'!$B$141,0)),2)</f>
        <v>00</v>
      </c>
      <c r="Z39" s="79" t="str">
        <f>RIGHT(INDEX('EEPROM-Contents'!$D$4:'EEPROM-Contents'!$D$141,MATCH('EEPROM-Contents'!AB33,'EEPROM-Contents'!$B$4:'EEPROM-Contents'!$B$141,0)),2)</f>
        <v>00</v>
      </c>
      <c r="AA39" s="79" t="str">
        <f>RIGHT(INDEX('EEPROM-Contents'!$D$4:'EEPROM-Contents'!$D$141,MATCH('EEPROM-Contents'!AC33,'EEPROM-Contents'!$B$4:'EEPROM-Contents'!$B$141,0)),2)</f>
        <v>00</v>
      </c>
      <c r="AB39" s="79" t="str">
        <f>RIGHT(INDEX('EEPROM-Contents'!$D$4:'EEPROM-Contents'!$D$141,MATCH('EEPROM-Contents'!AD33,'EEPROM-Contents'!$B$4:'EEPROM-Contents'!$B$141,0)),2)</f>
        <v>00</v>
      </c>
      <c r="AC39" s="79" t="str">
        <f>RIGHT(INDEX('EEPROM-Contents'!$D$4:'EEPROM-Contents'!$D$141,MATCH('EEPROM-Contents'!AE33,'EEPROM-Contents'!$B$4:'EEPROM-Contents'!$B$141,0)),2)</f>
        <v>00</v>
      </c>
      <c r="AD39" s="79" t="str">
        <f>RIGHT(INDEX('EEPROM-Contents'!$D$4:'EEPROM-Contents'!$D$141,MATCH('EEPROM-Contents'!AF33,'EEPROM-Contents'!$B$4:'EEPROM-Contents'!$B$141,0)),2)</f>
        <v>00</v>
      </c>
      <c r="AF39" s="81" t="str">
        <f t="shared" ca="1" si="2"/>
        <v>000000000000000000000701031773000000000000000000000000</v>
      </c>
    </row>
    <row r="40" spans="2:32" x14ac:dyDescent="0.3">
      <c r="B40" s="85">
        <f>'EEPROM-Contents'!B113</f>
        <v>109</v>
      </c>
      <c r="C40" s="75">
        <f t="shared" si="4"/>
        <v>0</v>
      </c>
      <c r="D40" s="76" t="str">
        <f t="shared" si="5"/>
        <v>00</v>
      </c>
      <c r="E40" s="66" t="str">
        <f>'EEPROM-Contents'!E113</f>
        <v>Voltage Cal</v>
      </c>
      <c r="F40" s="67"/>
      <c r="G40" s="68"/>
      <c r="N40" s="78" t="s">
        <v>372</v>
      </c>
      <c r="O40" s="79" t="str">
        <f>RIGHT(INDEX('EEPROM-Contents'!$D$4:'EEPROM-Contents'!$D$141,MATCH('EEPROM-Contents'!Q34,'EEPROM-Contents'!$B$4:'EEPROM-Contents'!$B$141,0)),2)</f>
        <v>00</v>
      </c>
      <c r="P40" s="84" t="e">
        <f>RIGHT(INDEX($D$9:$D$47,MATCH('EEPROM-Contents'!R34,$B$9:$B$47,0)),2)</f>
        <v>#NUM!</v>
      </c>
      <c r="Q40" s="84" t="str">
        <f>RIGHT(INDEX($D$9:$D$47,MATCH('EEPROM-Contents'!S34,$B$9:$B$47,0)),2)</f>
        <v>00</v>
      </c>
      <c r="R40" s="84" t="str">
        <f>RIGHT(INDEX($D$9:$D$47,MATCH('EEPROM-Contents'!T34,$B$9:$B$47,0)),2)</f>
        <v>00</v>
      </c>
      <c r="S40" s="84" t="e">
        <f ca="1">RIGHT(INDEX($D$9:$D$47,MATCH('EEPROM-Contents'!U34,$B$9:$B$47,0)),2)</f>
        <v>#NUM!</v>
      </c>
      <c r="T40" s="79" t="str">
        <f>RIGHT(INDEX('EEPROM-Contents'!$D$4:'EEPROM-Contents'!$D$141,MATCH('EEPROM-Contents'!V34,'EEPROM-Contents'!$B$4:'EEPROM-Contents'!$B$141,0)),2)</f>
        <v>11</v>
      </c>
      <c r="U40" s="84" t="str">
        <f>RIGHT(INDEX($D$9:$D$47,MATCH('EEPROM-Contents'!W34,$B$9:$B$47,0)),2)</f>
        <v>09</v>
      </c>
      <c r="V40" s="84" t="str">
        <f ca="1">RIGHT(INDEX($D$9:$D$47,MATCH('EEPROM-Contents'!X34,$B$9:$B$47,0)),2)</f>
        <v>07</v>
      </c>
      <c r="W40" s="84" t="str">
        <f ca="1">RIGHT(INDEX($D$9:$D$47,MATCH('EEPROM-Contents'!Y34,$B$9:$B$47,0)),2)</f>
        <v>01</v>
      </c>
      <c r="X40" s="84" t="str">
        <f ca="1">RIGHT(INDEX($D$9:$D$47,MATCH('EEPROM-Contents'!Z34,$B$9:$B$47,0)),2)</f>
        <v>03</v>
      </c>
      <c r="Y40" s="84" t="str">
        <f>RIGHT(INDEX($D$9:$D$47,MATCH('EEPROM-Contents'!AA34,$B$9:$B$47,0)),2)</f>
        <v>17</v>
      </c>
      <c r="Z40" s="84" t="str">
        <f>RIGHT(INDEX($D$9:$D$47,MATCH('EEPROM-Contents'!AB34,$B$9:$B$47,0)),2)</f>
        <v>73</v>
      </c>
      <c r="AA40" s="84" t="str">
        <f>RIGHT(INDEX($D$9:$D$47,MATCH('EEPROM-Contents'!AC34,$B$9:$B$47,0)),2)</f>
        <v>00</v>
      </c>
      <c r="AB40" s="84" t="str">
        <f>RIGHT(INDEX($D$9:$D$47,MATCH('EEPROM-Contents'!AD34,$B$9:$B$47,0)),2)</f>
        <v>00</v>
      </c>
      <c r="AC40" s="84" t="str">
        <f>RIGHT(INDEX($D$9:$D$47,MATCH('EEPROM-Contents'!AE34,$B$9:$B$47,0)),2)</f>
        <v>00</v>
      </c>
      <c r="AD40" s="84" t="str">
        <f>RIGHT(INDEX($D$9:$D$47,MATCH('EEPROM-Contents'!AF34,$B$9:$B$47,0)),2)</f>
        <v>00</v>
      </c>
      <c r="AF40" s="81" t="e">
        <f t="shared" ca="1" si="2"/>
        <v>#NUM!</v>
      </c>
    </row>
    <row r="41" spans="2:32" ht="15" thickBot="1" x14ac:dyDescent="0.35">
      <c r="B41" s="85">
        <f>'EEPROM-Contents'!B114</f>
        <v>110</v>
      </c>
      <c r="C41" s="75">
        <f t="shared" si="4"/>
        <v>0</v>
      </c>
      <c r="D41" s="76" t="str">
        <f t="shared" si="5"/>
        <v>00</v>
      </c>
      <c r="E41" s="66" t="str">
        <f>'EEPROM-Contents'!E114</f>
        <v>Voltage Cal</v>
      </c>
      <c r="F41" s="67"/>
      <c r="G41" s="68"/>
      <c r="N41" s="78" t="s">
        <v>373</v>
      </c>
      <c r="O41" s="79" t="str">
        <f>RIGHT(INDEX('EEPROM-Contents'!$D$4:'EEPROM-Contents'!$D$141,MATCH('EEPROM-Contents'!Q35,'EEPROM-Contents'!$B$4:'EEPROM-Contents'!$B$141,0)),2)</f>
        <v>00</v>
      </c>
      <c r="P41" s="79" t="str">
        <f>RIGHT(INDEX('EEPROM-Contents'!$D$4:'EEPROM-Contents'!$D$141,MATCH('EEPROM-Contents'!R35,'EEPROM-Contents'!$B$4:'EEPROM-Contents'!$B$141,0)),2)</f>
        <v>00</v>
      </c>
      <c r="Q41" s="79" t="str">
        <f>RIGHT(INDEX('EEPROM-Contents'!$D$4:'EEPROM-Contents'!$D$141,MATCH('EEPROM-Contents'!S35,'EEPROM-Contents'!$B$4:'EEPROM-Contents'!$B$141,0)),2)</f>
        <v>00</v>
      </c>
      <c r="R41" s="79" t="str">
        <f>RIGHT(INDEX('EEPROM-Contents'!$D$4:'EEPROM-Contents'!$D$141,MATCH('EEPROM-Contents'!T35,'EEPROM-Contents'!$B$4:'EEPROM-Contents'!$B$141,0)),2)</f>
        <v>00</v>
      </c>
      <c r="S41" s="79" t="str">
        <f>RIGHT(INDEX('EEPROM-Contents'!$D$4:'EEPROM-Contents'!$D$141,MATCH('EEPROM-Contents'!U35,'EEPROM-Contents'!$B$4:'EEPROM-Contents'!$B$141,0)),2)</f>
        <v>00</v>
      </c>
      <c r="T41" s="79" t="str">
        <f>RIGHT(INDEX('EEPROM-Contents'!$D$4:'EEPROM-Contents'!$D$141,MATCH('EEPROM-Contents'!V35,'EEPROM-Contents'!$B$4:'EEPROM-Contents'!$B$141,0)),2)</f>
        <v>00</v>
      </c>
      <c r="U41" s="79" t="str">
        <f>RIGHT(INDEX('EEPROM-Contents'!$D$4:'EEPROM-Contents'!$D$141,MATCH('EEPROM-Contents'!W35,'EEPROM-Contents'!$B$4:'EEPROM-Contents'!$B$141,0)),2)</f>
        <v>00</v>
      </c>
      <c r="V41" s="79" t="str">
        <f>RIGHT(INDEX('EEPROM-Contents'!$D$4:'EEPROM-Contents'!$D$141,MATCH('EEPROM-Contents'!X35,'EEPROM-Contents'!$B$4:'EEPROM-Contents'!$B$141,0)),2)</f>
        <v>00</v>
      </c>
      <c r="W41" s="84" t="e">
        <f>RIGHT(INDEX($D$9:$D$47,MATCH('EEPROM-Contents'!Y35,$B$9:$B$47,0)),2)</f>
        <v>#NUM!</v>
      </c>
      <c r="X41" s="84" t="str">
        <f>RIGHT(INDEX($D$9:$D$47,MATCH('EEPROM-Contents'!Z35,$B$9:$B$47,0)),2)</f>
        <v>00</v>
      </c>
      <c r="Y41" s="84" t="str">
        <f>RIGHT(INDEX($D$9:$D$47,MATCH('EEPROM-Contents'!AA35,$B$9:$B$47,0)),2)</f>
        <v>00</v>
      </c>
      <c r="Z41" s="84" t="e">
        <f ca="1">RIGHT(INDEX($D$9:$D$47,MATCH('EEPROM-Contents'!AB35,$B$9:$B$47,0)),2)</f>
        <v>#NUM!</v>
      </c>
      <c r="AA41" s="79" t="str">
        <f>RIGHT(INDEX('EEPROM-Contents'!$D$4:'EEPROM-Contents'!$D$141,MATCH('EEPROM-Contents'!AC35,'EEPROM-Contents'!$B$4:'EEPROM-Contents'!$B$141,0)),2)</f>
        <v>12</v>
      </c>
      <c r="AB41" s="79" t="str">
        <f>RIGHT(INDEX('EEPROM-Contents'!$D$4:'EEPROM-Contents'!$D$141,MATCH('EEPROM-Contents'!AD35,'EEPROM-Contents'!$B$4:'EEPROM-Contents'!$B$141,0)),2)</f>
        <v>00</v>
      </c>
      <c r="AC41" s="79" t="str">
        <f>RIGHT(INDEX('EEPROM-Contents'!$D$4:'EEPROM-Contents'!$D$141,MATCH('EEPROM-Contents'!AE35,'EEPROM-Contents'!$B$4:'EEPROM-Contents'!$B$141,0)),2)</f>
        <v>00</v>
      </c>
      <c r="AD41" s="79" t="str">
        <f>RIGHT(INDEX('EEPROM-Contents'!$D$4:'EEPROM-Contents'!$D$141,MATCH('EEPROM-Contents'!AF35,'EEPROM-Contents'!$B$4:'EEPROM-Contents'!$B$141,0)),2)</f>
        <v>00</v>
      </c>
      <c r="AF41" s="82" t="e">
        <f t="shared" ca="1" si="2"/>
        <v>#NUM!</v>
      </c>
    </row>
    <row r="42" spans="2:32" x14ac:dyDescent="0.3">
      <c r="B42" s="85">
        <f>'EEPROM-Contents'!B115</f>
        <v>111</v>
      </c>
      <c r="C42" s="75">
        <f t="shared" si="4"/>
        <v>0</v>
      </c>
      <c r="D42" s="76" t="str">
        <f t="shared" si="5"/>
        <v>00</v>
      </c>
      <c r="E42" s="66" t="str">
        <f>'EEPROM-Contents'!E115</f>
        <v>Voltage Cal</v>
      </c>
      <c r="F42" s="67"/>
      <c r="G42" s="68"/>
    </row>
    <row r="43" spans="2:32" x14ac:dyDescent="0.3">
      <c r="B43" s="85">
        <f>'EEPROM-Contents'!B116</f>
        <v>112</v>
      </c>
      <c r="C43" s="75">
        <f t="shared" si="4"/>
        <v>0</v>
      </c>
      <c r="D43" s="76" t="str">
        <f t="shared" si="5"/>
        <v>00</v>
      </c>
      <c r="E43" s="66" t="str">
        <f>'EEPROM-Contents'!E116</f>
        <v>Voltage Cal</v>
      </c>
      <c r="F43" s="67"/>
      <c r="G43" s="68"/>
    </row>
    <row r="44" spans="2:32" x14ac:dyDescent="0.3">
      <c r="B44" s="85">
        <f>'EEPROM-Contents'!B117</f>
        <v>113</v>
      </c>
      <c r="C44" s="75" t="e">
        <f t="shared" si="4"/>
        <v>#NUM!</v>
      </c>
      <c r="D44" s="75" t="e">
        <f>F4</f>
        <v>#NUM!</v>
      </c>
      <c r="E44" s="66" t="str">
        <f>'EEPROM-Contents'!E117</f>
        <v>GAINC</v>
      </c>
      <c r="F44" s="67"/>
      <c r="G44" s="68"/>
    </row>
    <row r="45" spans="2:32" x14ac:dyDescent="0.3">
      <c r="B45" s="85">
        <f>'EEPROM-Contents'!B118</f>
        <v>114</v>
      </c>
      <c r="C45" s="75">
        <f>K10</f>
        <v>0</v>
      </c>
      <c r="D45" s="75" t="str">
        <f>DEC2HEX(C45,2)</f>
        <v>00</v>
      </c>
      <c r="E45" s="66" t="str">
        <f>'EEPROM-Contents'!E118</f>
        <v>Cal Factor for CondyleA</v>
      </c>
      <c r="F45" s="67"/>
      <c r="G45" s="68"/>
    </row>
    <row r="46" spans="2:32" x14ac:dyDescent="0.3">
      <c r="B46" s="85">
        <f>'EEPROM-Contents'!B119</f>
        <v>115</v>
      </c>
      <c r="C46" s="75">
        <f>L10</f>
        <v>0</v>
      </c>
      <c r="D46" s="75" t="str">
        <f>DEC2HEX(C46,2)</f>
        <v>00</v>
      </c>
      <c r="E46" s="66" t="str">
        <f>'EEPROM-Contents'!E119</f>
        <v>Cal Factor for CondyleB</v>
      </c>
      <c r="F46" s="67"/>
      <c r="G46" s="68"/>
    </row>
    <row r="47" spans="2:32" x14ac:dyDescent="0.3">
      <c r="B47" s="85">
        <f>'EEPROM-Contents'!B120</f>
        <v>116</v>
      </c>
      <c r="C47" s="75" t="e">
        <f ca="1">255-HEX2DEC(RIGHT(DEC2HEX(SUM(C22:C46)),2))</f>
        <v>#NUM!</v>
      </c>
      <c r="D47" s="75" t="e">
        <f ca="1">DEC2HEX($C$47,2)</f>
        <v>#NUM!</v>
      </c>
      <c r="E47" s="66" t="str">
        <f>'EEPROM-Contents'!E120</f>
        <v>Checksum</v>
      </c>
      <c r="F47" s="67"/>
      <c r="G47" s="68"/>
    </row>
    <row r="49" spans="2:12" x14ac:dyDescent="0.3">
      <c r="B49" s="442" t="s">
        <v>221</v>
      </c>
      <c r="C49" s="443"/>
      <c r="D49" s="443"/>
      <c r="E49" s="443"/>
      <c r="F49" s="443"/>
      <c r="G49" s="443"/>
      <c r="H49" s="443"/>
      <c r="I49" s="443"/>
      <c r="J49" s="444"/>
    </row>
    <row r="50" spans="2:12" x14ac:dyDescent="0.3">
      <c r="B50" s="35" t="s">
        <v>222</v>
      </c>
      <c r="C50" s="35" t="s">
        <v>223</v>
      </c>
      <c r="D50" s="35" t="s">
        <v>224</v>
      </c>
      <c r="E50" s="35" t="s">
        <v>225</v>
      </c>
      <c r="F50" s="35" t="s">
        <v>226</v>
      </c>
      <c r="G50" s="35" t="s">
        <v>227</v>
      </c>
      <c r="H50" s="35" t="s">
        <v>228</v>
      </c>
      <c r="I50" s="35" t="s">
        <v>229</v>
      </c>
      <c r="J50" s="35" t="s">
        <v>230</v>
      </c>
    </row>
    <row r="51" spans="2:12" x14ac:dyDescent="0.3">
      <c r="B51" s="23">
        <v>70</v>
      </c>
      <c r="C51" s="23"/>
      <c r="D51" s="23"/>
      <c r="E51" s="23"/>
      <c r="F51" s="23"/>
      <c r="G51" s="23"/>
      <c r="H51" s="23"/>
      <c r="I51" s="23"/>
      <c r="J51" s="23"/>
    </row>
    <row r="52" spans="2:12" x14ac:dyDescent="0.3">
      <c r="B52" s="23">
        <v>140</v>
      </c>
      <c r="C52" s="23"/>
      <c r="D52" s="23"/>
      <c r="E52" s="23"/>
      <c r="F52" s="23"/>
      <c r="G52" s="23"/>
      <c r="H52" s="23"/>
      <c r="I52" s="23"/>
      <c r="J52" s="23"/>
    </row>
    <row r="53" spans="2:12" x14ac:dyDescent="0.3">
      <c r="B53" s="23">
        <v>0</v>
      </c>
      <c r="C53" s="23"/>
      <c r="D53" s="23"/>
      <c r="E53" s="23"/>
      <c r="F53" s="23"/>
      <c r="G53" s="23"/>
      <c r="H53" s="23"/>
      <c r="I53" s="23"/>
      <c r="J53" s="23"/>
    </row>
    <row r="54" spans="2:12" x14ac:dyDescent="0.3">
      <c r="B54" s="23">
        <v>70</v>
      </c>
      <c r="C54" s="23"/>
      <c r="D54" s="23"/>
      <c r="E54" s="23"/>
      <c r="F54" s="23"/>
      <c r="G54" s="23"/>
      <c r="H54" s="23"/>
      <c r="I54" s="23"/>
      <c r="J54" s="23"/>
    </row>
    <row r="55" spans="2:12" x14ac:dyDescent="0.3">
      <c r="B55" s="23">
        <v>140</v>
      </c>
      <c r="C55" s="23"/>
      <c r="D55" s="23"/>
      <c r="E55" s="23"/>
      <c r="F55" s="23"/>
      <c r="G55" s="23"/>
      <c r="H55" s="23"/>
      <c r="I55" s="23"/>
      <c r="J55" s="23"/>
    </row>
    <row r="56" spans="2:12" x14ac:dyDescent="0.3">
      <c r="B56" s="23">
        <v>0</v>
      </c>
      <c r="C56" s="23"/>
      <c r="D56" s="23"/>
      <c r="E56" s="23"/>
      <c r="F56" s="23"/>
      <c r="G56" s="23"/>
      <c r="H56" s="23"/>
      <c r="I56" s="23"/>
      <c r="J56" s="23"/>
    </row>
    <row r="57" spans="2:12" x14ac:dyDescent="0.3">
      <c r="B57" s="23">
        <v>10</v>
      </c>
      <c r="C57" s="23"/>
      <c r="D57" s="23"/>
      <c r="E57" s="23"/>
      <c r="F57" s="23"/>
      <c r="G57" s="23"/>
      <c r="H57" s="23"/>
      <c r="I57" s="23"/>
      <c r="J57" s="23"/>
    </row>
    <row r="58" spans="2:12" x14ac:dyDescent="0.3">
      <c r="B58" s="23">
        <v>20</v>
      </c>
      <c r="C58" s="23"/>
      <c r="D58" s="23"/>
      <c r="E58" s="23"/>
      <c r="F58" s="23"/>
      <c r="G58" s="23"/>
      <c r="H58" s="23"/>
      <c r="I58" s="23"/>
      <c r="J58" s="23"/>
    </row>
    <row r="59" spans="2:12" x14ac:dyDescent="0.3">
      <c r="B59" s="23">
        <v>40</v>
      </c>
      <c r="C59" s="23"/>
      <c r="D59" s="23"/>
      <c r="E59" s="23"/>
      <c r="F59" s="23"/>
      <c r="G59" s="23"/>
      <c r="H59" s="23"/>
      <c r="I59" s="23"/>
      <c r="J59" s="23"/>
    </row>
    <row r="60" spans="2:12" x14ac:dyDescent="0.3">
      <c r="B60" s="23">
        <v>60</v>
      </c>
      <c r="C60" s="23"/>
      <c r="D60" s="23"/>
      <c r="E60" s="23"/>
      <c r="F60" s="23"/>
      <c r="G60" s="23"/>
      <c r="H60" s="23"/>
      <c r="I60" s="23"/>
      <c r="J60" s="23"/>
    </row>
    <row r="61" spans="2:12" x14ac:dyDescent="0.3">
      <c r="B61" s="23">
        <v>80</v>
      </c>
      <c r="C61" s="23"/>
      <c r="D61" s="23"/>
      <c r="E61" s="23"/>
      <c r="F61" s="23"/>
      <c r="G61" s="23"/>
      <c r="H61" s="23"/>
      <c r="I61" s="23"/>
      <c r="J61" s="23"/>
    </row>
    <row r="63" spans="2:12" x14ac:dyDescent="0.3">
      <c r="B63" s="439" t="s">
        <v>404</v>
      </c>
      <c r="C63" s="440"/>
      <c r="D63" s="440"/>
      <c r="E63" s="440"/>
      <c r="F63" s="440"/>
      <c r="G63" s="88" t="s">
        <v>409</v>
      </c>
      <c r="H63" s="88">
        <f>'FTS-Initialization'!$O$27</f>
        <v>18000</v>
      </c>
      <c r="I63" s="88" t="s">
        <v>410</v>
      </c>
      <c r="J63" s="88">
        <f>'FTS-Initialization'!$O$26</f>
        <v>24000</v>
      </c>
      <c r="L63" s="90" t="s">
        <v>413</v>
      </c>
    </row>
    <row r="64" spans="2:12" x14ac:dyDescent="0.3">
      <c r="B64" s="35" t="s">
        <v>439</v>
      </c>
      <c r="C64" s="35">
        <f>MAX(J51:J61)</f>
        <v>0</v>
      </c>
      <c r="D64" s="35" t="s">
        <v>440</v>
      </c>
      <c r="E64" s="35">
        <f>MIN(J51:J61)</f>
        <v>0</v>
      </c>
      <c r="I64" s="35" t="s">
        <v>406</v>
      </c>
      <c r="J64" s="35" t="b">
        <f>IF(AND(E64&gt;=H63,C64&lt;=J63),TRUE,FALSE)</f>
        <v>0</v>
      </c>
      <c r="L64" s="90">
        <f>IF(J64,0,IF(C64&gt;J63,'FTS-Initialization'!N89,IF(E64&lt;H63,'FTS-Initialization'!N90,0)))</f>
        <v>53</v>
      </c>
    </row>
    <row r="66" spans="2:14" x14ac:dyDescent="0.3">
      <c r="B66" s="439" t="s">
        <v>443</v>
      </c>
      <c r="C66" s="440"/>
      <c r="D66" s="440"/>
      <c r="E66" s="440"/>
      <c r="F66" s="440"/>
      <c r="G66" s="88" t="s">
        <v>409</v>
      </c>
      <c r="H66" s="88">
        <f>'FTS-Initialization'!O29</f>
        <v>40000</v>
      </c>
      <c r="I66" s="88" t="s">
        <v>410</v>
      </c>
      <c r="J66" s="88">
        <f>'FTS-Initialization'!$O$28</f>
        <v>65000</v>
      </c>
      <c r="L66" s="90" t="s">
        <v>413</v>
      </c>
    </row>
    <row r="67" spans="2:14" x14ac:dyDescent="0.3">
      <c r="B67" s="35" t="s">
        <v>444</v>
      </c>
      <c r="C67" s="35">
        <f>MAX($C$51:$I$61)</f>
        <v>0</v>
      </c>
      <c r="D67" s="35" t="s">
        <v>445</v>
      </c>
      <c r="E67" s="35">
        <f>MIN(C51:I61)</f>
        <v>0</v>
      </c>
      <c r="I67" s="35" t="s">
        <v>406</v>
      </c>
      <c r="J67" s="35" t="b">
        <f>IF(AND(E67&gt;=H66,C67&lt;=J66),TRUE,FALSE)</f>
        <v>0</v>
      </c>
      <c r="L67" s="90">
        <f>IF(J67,0,IF(E67&lt;H66,'FTS-Initialization'!N100,IF(C67&gt;J66,'FTS-Initialization'!N99,0)))</f>
        <v>63</v>
      </c>
    </row>
    <row r="70" spans="2:14" x14ac:dyDescent="0.3">
      <c r="M70" s="105">
        <f>SLOPE(M74:M79,$L$74:$L$79)</f>
        <v>0</v>
      </c>
      <c r="N70" s="105">
        <f>SLOPE(N74:N79,$L$74:$L$79)</f>
        <v>0</v>
      </c>
    </row>
    <row r="71" spans="2:14" x14ac:dyDescent="0.3">
      <c r="M71" s="101" t="str">
        <f t="shared" ref="M71:M79" si="6">K9</f>
        <v>ScaleA</v>
      </c>
      <c r="N71" s="101" t="str">
        <f t="shared" ref="N71:N79" si="7">L9</f>
        <v>ScaleB</v>
      </c>
    </row>
    <row r="72" spans="2:14" x14ac:dyDescent="0.3">
      <c r="B72" s="442" t="s">
        <v>436</v>
      </c>
      <c r="C72" s="443"/>
      <c r="D72" s="443"/>
      <c r="E72" s="443"/>
      <c r="F72" s="443"/>
      <c r="G72" s="443"/>
      <c r="H72" s="443"/>
      <c r="I72" s="443"/>
      <c r="J72" s="444"/>
      <c r="M72" s="101">
        <f t="shared" si="6"/>
        <v>0</v>
      </c>
      <c r="N72" s="101">
        <f t="shared" si="7"/>
        <v>0</v>
      </c>
    </row>
    <row r="73" spans="2:14" x14ac:dyDescent="0.3">
      <c r="B73" s="35" t="s">
        <v>222</v>
      </c>
      <c r="C73" s="35" t="s">
        <v>223</v>
      </c>
      <c r="D73" s="35" t="s">
        <v>224</v>
      </c>
      <c r="E73" s="35" t="s">
        <v>225</v>
      </c>
      <c r="F73" s="35" t="s">
        <v>226</v>
      </c>
      <c r="G73" s="35" t="s">
        <v>227</v>
      </c>
      <c r="H73" s="35" t="s">
        <v>228</v>
      </c>
      <c r="I73" s="35" t="s">
        <v>437</v>
      </c>
      <c r="J73" s="35" t="s">
        <v>438</v>
      </c>
      <c r="L73" s="101" t="str">
        <f t="shared" ref="L73:L79" si="8">I11</f>
        <v>F/Cond [lb]</v>
      </c>
      <c r="M73" s="101" t="str">
        <f t="shared" si="6"/>
        <v>CalA</v>
      </c>
      <c r="N73" s="101" t="str">
        <f t="shared" si="7"/>
        <v>CalB</v>
      </c>
    </row>
    <row r="74" spans="2:14" x14ac:dyDescent="0.3">
      <c r="B74" s="35">
        <f>B56</f>
        <v>0</v>
      </c>
      <c r="C74" s="107">
        <f>(C56-C$56)-($I56-$I$56)</f>
        <v>0</v>
      </c>
      <c r="D74" s="107">
        <f t="shared" ref="D74:H74" si="9">(D56-D$56)-($I56-$I$56)</f>
        <v>0</v>
      </c>
      <c r="E74" s="107">
        <f t="shared" si="9"/>
        <v>0</v>
      </c>
      <c r="F74" s="107">
        <f t="shared" si="9"/>
        <v>0</v>
      </c>
      <c r="G74" s="107">
        <f t="shared" si="9"/>
        <v>0</v>
      </c>
      <c r="H74" s="107">
        <f t="shared" si="9"/>
        <v>0</v>
      </c>
      <c r="I74" s="107">
        <f>SUM(C74:E74)</f>
        <v>0</v>
      </c>
      <c r="J74" s="107">
        <f>SUM(F74:H74)</f>
        <v>0</v>
      </c>
      <c r="L74" s="101">
        <f t="shared" si="8"/>
        <v>0</v>
      </c>
      <c r="M74" s="103">
        <f t="shared" si="6"/>
        <v>0</v>
      </c>
      <c r="N74" s="103">
        <f t="shared" si="7"/>
        <v>0</v>
      </c>
    </row>
    <row r="75" spans="2:14" x14ac:dyDescent="0.3">
      <c r="B75" s="35">
        <f t="shared" ref="B75:B79" si="10">B57</f>
        <v>10</v>
      </c>
      <c r="C75" s="107">
        <f t="shared" ref="C75:H75" si="11">(C57-C$56)-($I57-$I$56)</f>
        <v>0</v>
      </c>
      <c r="D75" s="107">
        <f t="shared" si="11"/>
        <v>0</v>
      </c>
      <c r="E75" s="107">
        <f t="shared" si="11"/>
        <v>0</v>
      </c>
      <c r="F75" s="107">
        <f t="shared" si="11"/>
        <v>0</v>
      </c>
      <c r="G75" s="107">
        <f t="shared" si="11"/>
        <v>0</v>
      </c>
      <c r="H75" s="107">
        <f t="shared" si="11"/>
        <v>0</v>
      </c>
      <c r="I75" s="107">
        <f t="shared" ref="I75:I79" si="12">SUM(C75:E75)</f>
        <v>0</v>
      </c>
      <c r="J75" s="107">
        <f t="shared" ref="J75:J79" si="13">SUM(F75:H75)</f>
        <v>0</v>
      </c>
      <c r="L75" s="101">
        <f t="shared" si="8"/>
        <v>5</v>
      </c>
      <c r="M75" s="103">
        <f t="shared" si="6"/>
        <v>0</v>
      </c>
      <c r="N75" s="103">
        <f t="shared" si="7"/>
        <v>0</v>
      </c>
    </row>
    <row r="76" spans="2:14" x14ac:dyDescent="0.3">
      <c r="B76" s="35">
        <f t="shared" si="10"/>
        <v>20</v>
      </c>
      <c r="C76" s="107">
        <f t="shared" ref="C76:H76" si="14">(C58-C$56)-($I58-$I$56)</f>
        <v>0</v>
      </c>
      <c r="D76" s="107">
        <f t="shared" si="14"/>
        <v>0</v>
      </c>
      <c r="E76" s="107">
        <f t="shared" si="14"/>
        <v>0</v>
      </c>
      <c r="F76" s="107">
        <f t="shared" si="14"/>
        <v>0</v>
      </c>
      <c r="G76" s="107">
        <f t="shared" si="14"/>
        <v>0</v>
      </c>
      <c r="H76" s="107">
        <f t="shared" si="14"/>
        <v>0</v>
      </c>
      <c r="I76" s="107">
        <f t="shared" si="12"/>
        <v>0</v>
      </c>
      <c r="J76" s="107">
        <f t="shared" si="13"/>
        <v>0</v>
      </c>
      <c r="L76" s="101">
        <f t="shared" si="8"/>
        <v>10</v>
      </c>
      <c r="M76" s="103">
        <f t="shared" si="6"/>
        <v>0</v>
      </c>
      <c r="N76" s="103">
        <f t="shared" si="7"/>
        <v>0</v>
      </c>
    </row>
    <row r="77" spans="2:14" x14ac:dyDescent="0.3">
      <c r="B77" s="35">
        <f t="shared" si="10"/>
        <v>40</v>
      </c>
      <c r="C77" s="107">
        <f t="shared" ref="C77:H77" si="15">(C59-C$56)-($I59-$I$56)</f>
        <v>0</v>
      </c>
      <c r="D77" s="107">
        <f t="shared" si="15"/>
        <v>0</v>
      </c>
      <c r="E77" s="107">
        <f t="shared" si="15"/>
        <v>0</v>
      </c>
      <c r="F77" s="107">
        <f t="shared" si="15"/>
        <v>0</v>
      </c>
      <c r="G77" s="107">
        <f t="shared" si="15"/>
        <v>0</v>
      </c>
      <c r="H77" s="107">
        <f t="shared" si="15"/>
        <v>0</v>
      </c>
      <c r="I77" s="107">
        <f t="shared" si="12"/>
        <v>0</v>
      </c>
      <c r="J77" s="107">
        <f t="shared" si="13"/>
        <v>0</v>
      </c>
      <c r="L77" s="101">
        <f t="shared" si="8"/>
        <v>20</v>
      </c>
      <c r="M77" s="103">
        <f t="shared" si="6"/>
        <v>0</v>
      </c>
      <c r="N77" s="103">
        <f t="shared" si="7"/>
        <v>0</v>
      </c>
    </row>
    <row r="78" spans="2:14" x14ac:dyDescent="0.3">
      <c r="B78" s="35">
        <f t="shared" si="10"/>
        <v>60</v>
      </c>
      <c r="C78" s="107">
        <f t="shared" ref="C78:H78" si="16">(C60-C$56)-($I60-$I$56)</f>
        <v>0</v>
      </c>
      <c r="D78" s="107">
        <f t="shared" si="16"/>
        <v>0</v>
      </c>
      <c r="E78" s="107">
        <f t="shared" si="16"/>
        <v>0</v>
      </c>
      <c r="F78" s="107">
        <f t="shared" si="16"/>
        <v>0</v>
      </c>
      <c r="G78" s="107">
        <f t="shared" si="16"/>
        <v>0</v>
      </c>
      <c r="H78" s="107">
        <f t="shared" si="16"/>
        <v>0</v>
      </c>
      <c r="I78" s="107">
        <f t="shared" si="12"/>
        <v>0</v>
      </c>
      <c r="J78" s="107">
        <f t="shared" si="13"/>
        <v>0</v>
      </c>
      <c r="L78" s="101">
        <f t="shared" si="8"/>
        <v>30</v>
      </c>
      <c r="M78" s="103">
        <f t="shared" si="6"/>
        <v>0</v>
      </c>
      <c r="N78" s="103">
        <f t="shared" si="7"/>
        <v>0</v>
      </c>
    </row>
    <row r="79" spans="2:14" x14ac:dyDescent="0.3">
      <c r="B79" s="35">
        <f t="shared" si="10"/>
        <v>80</v>
      </c>
      <c r="C79" s="107">
        <f t="shared" ref="C79:H79" si="17">(C61-C$56)-($I61-$I$56)</f>
        <v>0</v>
      </c>
      <c r="D79" s="107">
        <f t="shared" si="17"/>
        <v>0</v>
      </c>
      <c r="E79" s="107">
        <f t="shared" si="17"/>
        <v>0</v>
      </c>
      <c r="F79" s="107">
        <f t="shared" si="17"/>
        <v>0</v>
      </c>
      <c r="G79" s="107">
        <f t="shared" si="17"/>
        <v>0</v>
      </c>
      <c r="H79" s="107">
        <f t="shared" si="17"/>
        <v>0</v>
      </c>
      <c r="I79" s="107">
        <f t="shared" si="12"/>
        <v>0</v>
      </c>
      <c r="J79" s="107">
        <f t="shared" si="13"/>
        <v>0</v>
      </c>
      <c r="L79" s="101">
        <f t="shared" si="8"/>
        <v>40</v>
      </c>
      <c r="M79" s="103">
        <f t="shared" si="6"/>
        <v>0</v>
      </c>
      <c r="N79" s="103">
        <f t="shared" si="7"/>
        <v>0</v>
      </c>
    </row>
    <row r="80" spans="2:14" x14ac:dyDescent="0.3">
      <c r="L80" s="101">
        <v>80</v>
      </c>
      <c r="M80" s="103">
        <f>2*M79</f>
        <v>0</v>
      </c>
      <c r="N80" s="103">
        <f>2*N79</f>
        <v>0</v>
      </c>
    </row>
    <row r="81" spans="2:14" x14ac:dyDescent="0.3">
      <c r="B81" s="445" t="s">
        <v>449</v>
      </c>
      <c r="C81" s="445"/>
      <c r="D81" s="445"/>
      <c r="E81" s="445"/>
      <c r="F81" s="445"/>
      <c r="G81" s="445"/>
      <c r="H81" s="445"/>
      <c r="I81" s="102" t="s">
        <v>451</v>
      </c>
      <c r="J81" s="102">
        <f>'FTS-Initialization'!$O$21</f>
        <v>40</v>
      </c>
    </row>
    <row r="82" spans="2:14" x14ac:dyDescent="0.3">
      <c r="B82" s="102" t="s">
        <v>450</v>
      </c>
      <c r="C82" s="102" t="s">
        <v>437</v>
      </c>
      <c r="D82" s="102" t="s">
        <v>438</v>
      </c>
      <c r="E82" s="102" t="s">
        <v>199</v>
      </c>
      <c r="F82" s="102" t="s">
        <v>200</v>
      </c>
      <c r="J82" s="102" t="s">
        <v>406</v>
      </c>
      <c r="L82" s="90" t="s">
        <v>413</v>
      </c>
    </row>
    <row r="83" spans="2:14" x14ac:dyDescent="0.3">
      <c r="B83" s="102">
        <f>3*$J$17-3*$J$14</f>
        <v>162</v>
      </c>
      <c r="C83" s="108">
        <f>I79-I76</f>
        <v>0</v>
      </c>
      <c r="D83" s="108">
        <f>J79-J76</f>
        <v>0</v>
      </c>
      <c r="E83" s="102">
        <f>ROUND(C83/$B$83*100,0)</f>
        <v>0</v>
      </c>
      <c r="F83" s="102">
        <f>ROUND(D83/$B$83*100,0)</f>
        <v>0</v>
      </c>
      <c r="J83" s="102" t="b">
        <f>IF(AND(E83&gt;=J81,F83&gt;=J81),TRUE,FALSE)</f>
        <v>0</v>
      </c>
      <c r="L83" s="90">
        <f>IF(J83,0,'FTS-Initialization'!$N$94)</f>
        <v>57</v>
      </c>
    </row>
    <row r="85" spans="2:14" x14ac:dyDescent="0.3">
      <c r="B85" s="442" t="s">
        <v>453</v>
      </c>
      <c r="C85" s="443"/>
      <c r="D85" s="443"/>
      <c r="E85" s="443"/>
      <c r="F85" s="443"/>
      <c r="G85" s="443"/>
      <c r="H85" s="443"/>
      <c r="I85" s="443"/>
      <c r="J85" s="444"/>
    </row>
    <row r="86" spans="2:14" x14ac:dyDescent="0.3">
      <c r="B86" s="62" t="s">
        <v>454</v>
      </c>
      <c r="C86" s="62" t="s">
        <v>223</v>
      </c>
      <c r="D86" s="62" t="s">
        <v>224</v>
      </c>
      <c r="E86" s="62" t="s">
        <v>225</v>
      </c>
      <c r="F86" s="62" t="s">
        <v>226</v>
      </c>
      <c r="G86" s="62" t="s">
        <v>227</v>
      </c>
      <c r="H86" s="62" t="s">
        <v>228</v>
      </c>
      <c r="I86" s="62" t="s">
        <v>437</v>
      </c>
      <c r="J86" s="62" t="s">
        <v>438</v>
      </c>
      <c r="L86" s="101" t="str">
        <f>B86</f>
        <v>F/Cond [lb]</v>
      </c>
      <c r="M86" s="101" t="str">
        <f>I86</f>
        <v>Left</v>
      </c>
      <c r="N86" s="101" t="str">
        <f>J86</f>
        <v>Right</v>
      </c>
    </row>
    <row r="87" spans="2:14" x14ac:dyDescent="0.3">
      <c r="B87" s="62">
        <f>B56/2</f>
        <v>0</v>
      </c>
      <c r="C87" s="107">
        <f ca="1">IFERROR(FORECAST(C74,OFFSET($L$74:$L$80,MATCH(C74,$M$74:$M$80,1)-1,0,2),OFFSET($M$74,MATCH(C74,$M$74:$M$80,1)-1,0,2))/3,0)</f>
        <v>0</v>
      </c>
      <c r="D87" s="107">
        <f t="shared" ref="D87:H87" ca="1" si="18">IFERROR(FORECAST(D74,OFFSET($L$74:$L$80,MATCH(D74,$M$74:$M$80,1)-1,0,2),OFFSET($M$74,MATCH(D74,$M$74:$M$80,1)-1,0,2))/3,0)</f>
        <v>0</v>
      </c>
      <c r="E87" s="107">
        <f t="shared" ca="1" si="18"/>
        <v>0</v>
      </c>
      <c r="F87" s="107">
        <f t="shared" ca="1" si="18"/>
        <v>0</v>
      </c>
      <c r="G87" s="107">
        <f t="shared" ca="1" si="18"/>
        <v>0</v>
      </c>
      <c r="H87" s="107">
        <f t="shared" ca="1" si="18"/>
        <v>0</v>
      </c>
      <c r="I87" s="62">
        <f ca="1">SUM(C87:E87)</f>
        <v>0</v>
      </c>
      <c r="J87" s="62">
        <f ca="1">SUM(F87:H87)</f>
        <v>0</v>
      </c>
      <c r="L87" s="101">
        <f>B87</f>
        <v>0</v>
      </c>
      <c r="M87" s="103">
        <f ca="1">I87</f>
        <v>0</v>
      </c>
      <c r="N87" s="103">
        <f ca="1">J87</f>
        <v>0</v>
      </c>
    </row>
    <row r="88" spans="2:14" x14ac:dyDescent="0.3">
      <c r="B88" s="62">
        <f t="shared" ref="B88:B92" si="19">B57/2</f>
        <v>5</v>
      </c>
      <c r="C88" s="107">
        <f t="shared" ref="C88:H88" ca="1" si="20">IFERROR(FORECAST(C75,OFFSET($L$74:$L$80,MATCH(C75,$M$74:$M$80,1)-1,0,2),OFFSET($M$74,MATCH(C75,$M$74:$M$80,1)-1,0,2))/3,0)</f>
        <v>0</v>
      </c>
      <c r="D88" s="107">
        <f t="shared" ca="1" si="20"/>
        <v>0</v>
      </c>
      <c r="E88" s="107">
        <f t="shared" ca="1" si="20"/>
        <v>0</v>
      </c>
      <c r="F88" s="107">
        <f t="shared" ca="1" si="20"/>
        <v>0</v>
      </c>
      <c r="G88" s="107">
        <f t="shared" ca="1" si="20"/>
        <v>0</v>
      </c>
      <c r="H88" s="107">
        <f t="shared" ca="1" si="20"/>
        <v>0</v>
      </c>
      <c r="I88" s="107">
        <f t="shared" ref="I88:I92" ca="1" si="21">SUM(C88:E88)</f>
        <v>0</v>
      </c>
      <c r="J88" s="107">
        <f t="shared" ref="J88:J92" ca="1" si="22">SUM(F88:H88)</f>
        <v>0</v>
      </c>
      <c r="L88" s="101">
        <f t="shared" ref="L88:L92" si="23">B88</f>
        <v>5</v>
      </c>
      <c r="M88" s="103">
        <f t="shared" ref="M88:M92" ca="1" si="24">I88</f>
        <v>0</v>
      </c>
      <c r="N88" s="103">
        <f t="shared" ref="N88:N92" ca="1" si="25">J88</f>
        <v>0</v>
      </c>
    </row>
    <row r="89" spans="2:14" x14ac:dyDescent="0.3">
      <c r="B89" s="62">
        <f t="shared" si="19"/>
        <v>10</v>
      </c>
      <c r="C89" s="107">
        <f t="shared" ref="C89:H89" ca="1" si="26">IFERROR(FORECAST(C76,OFFSET($L$74:$L$80,MATCH(C76,$M$74:$M$80,1)-1,0,2),OFFSET($M$74,MATCH(C76,$M$74:$M$80,1)-1,0,2))/3,0)</f>
        <v>0</v>
      </c>
      <c r="D89" s="107">
        <f t="shared" ca="1" si="26"/>
        <v>0</v>
      </c>
      <c r="E89" s="107">
        <f t="shared" ca="1" si="26"/>
        <v>0</v>
      </c>
      <c r="F89" s="107">
        <f t="shared" ca="1" si="26"/>
        <v>0</v>
      </c>
      <c r="G89" s="107">
        <f t="shared" ca="1" si="26"/>
        <v>0</v>
      </c>
      <c r="H89" s="107">
        <f t="shared" ca="1" si="26"/>
        <v>0</v>
      </c>
      <c r="I89" s="107">
        <f t="shared" ca="1" si="21"/>
        <v>0</v>
      </c>
      <c r="J89" s="107">
        <f t="shared" ca="1" si="22"/>
        <v>0</v>
      </c>
      <c r="L89" s="101">
        <f t="shared" si="23"/>
        <v>10</v>
      </c>
      <c r="M89" s="103">
        <f t="shared" ca="1" si="24"/>
        <v>0</v>
      </c>
      <c r="N89" s="103">
        <f t="shared" ca="1" si="25"/>
        <v>0</v>
      </c>
    </row>
    <row r="90" spans="2:14" x14ac:dyDescent="0.3">
      <c r="B90" s="62">
        <f t="shared" si="19"/>
        <v>20</v>
      </c>
      <c r="C90" s="107">
        <f t="shared" ref="C90:H90" ca="1" si="27">IFERROR(FORECAST(C77,OFFSET($L$74:$L$80,MATCH(C77,$M$74:$M$80,1)-1,0,2),OFFSET($M$74,MATCH(C77,$M$74:$M$80,1)-1,0,2))/3,0)</f>
        <v>0</v>
      </c>
      <c r="D90" s="107">
        <f t="shared" ca="1" si="27"/>
        <v>0</v>
      </c>
      <c r="E90" s="107">
        <f t="shared" ca="1" si="27"/>
        <v>0</v>
      </c>
      <c r="F90" s="107">
        <f t="shared" ca="1" si="27"/>
        <v>0</v>
      </c>
      <c r="G90" s="107">
        <f t="shared" ca="1" si="27"/>
        <v>0</v>
      </c>
      <c r="H90" s="107">
        <f t="shared" ca="1" si="27"/>
        <v>0</v>
      </c>
      <c r="I90" s="107">
        <f t="shared" ca="1" si="21"/>
        <v>0</v>
      </c>
      <c r="J90" s="107">
        <f t="shared" ca="1" si="22"/>
        <v>0</v>
      </c>
      <c r="L90" s="101">
        <f t="shared" si="23"/>
        <v>20</v>
      </c>
      <c r="M90" s="103">
        <f t="shared" ca="1" si="24"/>
        <v>0</v>
      </c>
      <c r="N90" s="103">
        <f t="shared" ca="1" si="25"/>
        <v>0</v>
      </c>
    </row>
    <row r="91" spans="2:14" x14ac:dyDescent="0.3">
      <c r="B91" s="62">
        <f t="shared" si="19"/>
        <v>30</v>
      </c>
      <c r="C91" s="107">
        <f t="shared" ref="C91:H91" ca="1" si="28">IFERROR(FORECAST(C78,OFFSET($L$74:$L$80,MATCH(C78,$M$74:$M$80,1)-1,0,2),OFFSET($M$74,MATCH(C78,$M$74:$M$80,1)-1,0,2))/3,0)</f>
        <v>0</v>
      </c>
      <c r="D91" s="107">
        <f t="shared" ca="1" si="28"/>
        <v>0</v>
      </c>
      <c r="E91" s="107">
        <f t="shared" ca="1" si="28"/>
        <v>0</v>
      </c>
      <c r="F91" s="107">
        <f t="shared" ca="1" si="28"/>
        <v>0</v>
      </c>
      <c r="G91" s="107">
        <f t="shared" ca="1" si="28"/>
        <v>0</v>
      </c>
      <c r="H91" s="107">
        <f t="shared" ca="1" si="28"/>
        <v>0</v>
      </c>
      <c r="I91" s="107">
        <f t="shared" ca="1" si="21"/>
        <v>0</v>
      </c>
      <c r="J91" s="107">
        <f t="shared" ca="1" si="22"/>
        <v>0</v>
      </c>
      <c r="L91" s="101">
        <f t="shared" si="23"/>
        <v>30</v>
      </c>
      <c r="M91" s="103">
        <f t="shared" ca="1" si="24"/>
        <v>0</v>
      </c>
      <c r="N91" s="103">
        <f t="shared" ca="1" si="25"/>
        <v>0</v>
      </c>
    </row>
    <row r="92" spans="2:14" x14ac:dyDescent="0.3">
      <c r="B92" s="62">
        <f t="shared" si="19"/>
        <v>40</v>
      </c>
      <c r="C92" s="107">
        <f t="shared" ref="C92:H92" ca="1" si="29">IFERROR(FORECAST(C79,OFFSET($L$74:$L$80,MATCH(C79,$M$74:$M$80,1)-1,0,2),OFFSET($M$74,MATCH(C79,$M$74:$M$80,1)-1,0,2))/3,0)</f>
        <v>0</v>
      </c>
      <c r="D92" s="107">
        <f t="shared" ca="1" si="29"/>
        <v>0</v>
      </c>
      <c r="E92" s="107">
        <f t="shared" ca="1" si="29"/>
        <v>0</v>
      </c>
      <c r="F92" s="107">
        <f t="shared" ca="1" si="29"/>
        <v>0</v>
      </c>
      <c r="G92" s="107">
        <f t="shared" ca="1" si="29"/>
        <v>0</v>
      </c>
      <c r="H92" s="107">
        <f t="shared" ca="1" si="29"/>
        <v>0</v>
      </c>
      <c r="I92" s="107">
        <f t="shared" ca="1" si="21"/>
        <v>0</v>
      </c>
      <c r="J92" s="107">
        <f t="shared" ca="1" si="22"/>
        <v>0</v>
      </c>
      <c r="L92" s="101">
        <f t="shared" si="23"/>
        <v>40</v>
      </c>
      <c r="M92" s="103">
        <f t="shared" ca="1" si="24"/>
        <v>0</v>
      </c>
      <c r="N92" s="103">
        <f t="shared" ca="1" si="25"/>
        <v>0</v>
      </c>
    </row>
    <row r="94" spans="2:14" x14ac:dyDescent="0.3">
      <c r="B94" s="449" t="s">
        <v>455</v>
      </c>
      <c r="C94" s="449"/>
      <c r="D94" s="449"/>
      <c r="E94" s="449"/>
      <c r="F94" s="449"/>
      <c r="G94" s="449"/>
      <c r="H94" s="449"/>
      <c r="I94" s="109" t="s">
        <v>206</v>
      </c>
      <c r="J94" s="109">
        <f>'FTS-Initialization'!$O$20</f>
        <v>3.5</v>
      </c>
      <c r="L94" s="90" t="s">
        <v>413</v>
      </c>
    </row>
    <row r="95" spans="2:14" x14ac:dyDescent="0.3">
      <c r="B95" s="62" t="s">
        <v>454</v>
      </c>
      <c r="C95" s="62" t="s">
        <v>456</v>
      </c>
      <c r="D95" s="62" t="s">
        <v>457</v>
      </c>
      <c r="I95" s="62" t="s">
        <v>406</v>
      </c>
      <c r="J95" s="62" t="b">
        <f ca="1">IF(MAX(C96:D101)&lt;=J94,TRUE, FALSE)</f>
        <v>0</v>
      </c>
      <c r="L95" s="90">
        <f ca="1">IF(J95,0,'FTS-Initialization'!$N$91)</f>
        <v>54</v>
      </c>
    </row>
    <row r="96" spans="2:14" x14ac:dyDescent="0.3">
      <c r="B96" s="62">
        <f>B56/2</f>
        <v>0</v>
      </c>
      <c r="C96" s="107">
        <f ca="1">ABS(I87-$B96)</f>
        <v>0</v>
      </c>
      <c r="D96" s="107">
        <f ca="1">ABS(J87-$B96)</f>
        <v>0</v>
      </c>
    </row>
    <row r="97" spans="2:13" x14ac:dyDescent="0.3">
      <c r="B97" s="62">
        <f t="shared" ref="B97:B101" si="30">B57/2</f>
        <v>5</v>
      </c>
      <c r="C97" s="107">
        <f t="shared" ref="C97:D97" ca="1" si="31">ABS(I88-$B97)</f>
        <v>5</v>
      </c>
      <c r="D97" s="107">
        <f t="shared" ca="1" si="31"/>
        <v>5</v>
      </c>
    </row>
    <row r="98" spans="2:13" x14ac:dyDescent="0.3">
      <c r="B98" s="62">
        <f t="shared" si="30"/>
        <v>10</v>
      </c>
      <c r="C98" s="107">
        <f t="shared" ref="C98:D98" ca="1" si="32">ABS(I89-$B98)</f>
        <v>10</v>
      </c>
      <c r="D98" s="107">
        <f t="shared" ca="1" si="32"/>
        <v>10</v>
      </c>
    </row>
    <row r="99" spans="2:13" x14ac:dyDescent="0.3">
      <c r="B99" s="62">
        <f t="shared" si="30"/>
        <v>20</v>
      </c>
      <c r="C99" s="107">
        <f t="shared" ref="C99:D99" ca="1" si="33">ABS(I90-$B99)</f>
        <v>20</v>
      </c>
      <c r="D99" s="107">
        <f t="shared" ca="1" si="33"/>
        <v>20</v>
      </c>
    </row>
    <row r="100" spans="2:13" x14ac:dyDescent="0.3">
      <c r="B100" s="62">
        <f t="shared" si="30"/>
        <v>30</v>
      </c>
      <c r="C100" s="107">
        <f t="shared" ref="C100:D100" ca="1" si="34">ABS(I91-$B100)</f>
        <v>30</v>
      </c>
      <c r="D100" s="107">
        <f t="shared" ca="1" si="34"/>
        <v>30</v>
      </c>
    </row>
    <row r="101" spans="2:13" x14ac:dyDescent="0.3">
      <c r="B101" s="62">
        <f t="shared" si="30"/>
        <v>40</v>
      </c>
      <c r="C101" s="107">
        <f t="shared" ref="C101:D101" ca="1" si="35">ABS(I92-$B101)</f>
        <v>40</v>
      </c>
      <c r="D101" s="107">
        <f t="shared" ca="1" si="35"/>
        <v>40</v>
      </c>
    </row>
    <row r="102" spans="2:13" x14ac:dyDescent="0.3">
      <c r="M102" s="105"/>
    </row>
    <row r="103" spans="2:13" x14ac:dyDescent="0.3">
      <c r="M103" s="101"/>
    </row>
    <row r="104" spans="2:13" x14ac:dyDescent="0.3">
      <c r="B104" s="442"/>
      <c r="C104" s="443"/>
      <c r="D104" s="443"/>
      <c r="E104" s="443"/>
      <c r="F104" s="443"/>
      <c r="G104" s="443"/>
      <c r="H104" s="443"/>
      <c r="I104" s="443"/>
      <c r="J104" s="444"/>
      <c r="M104" s="101"/>
    </row>
    <row r="105" spans="2:13" x14ac:dyDescent="0.3">
      <c r="B105" s="62"/>
      <c r="C105" s="62"/>
      <c r="D105" s="62"/>
      <c r="E105" s="62"/>
      <c r="F105" s="62"/>
      <c r="L105" s="101"/>
      <c r="M105" s="101"/>
    </row>
    <row r="106" spans="2:13" x14ac:dyDescent="0.3">
      <c r="B106" s="62"/>
      <c r="C106" s="62"/>
      <c r="D106" s="62"/>
      <c r="E106" s="62"/>
      <c r="F106" s="62"/>
      <c r="L106" s="101"/>
      <c r="M106" s="101"/>
    </row>
    <row r="107" spans="2:13" x14ac:dyDescent="0.3">
      <c r="B107" s="62"/>
      <c r="C107" s="62"/>
      <c r="D107" s="62"/>
      <c r="E107" s="62"/>
      <c r="F107" s="62"/>
      <c r="L107" s="101"/>
      <c r="M107" s="101"/>
    </row>
    <row r="108" spans="2:13" x14ac:dyDescent="0.3">
      <c r="B108" s="62"/>
      <c r="C108" s="62"/>
      <c r="D108" s="62"/>
      <c r="E108" s="62"/>
      <c r="F108" s="62"/>
      <c r="L108" s="101"/>
      <c r="M108" s="101"/>
    </row>
    <row r="109" spans="2:13" x14ac:dyDescent="0.3">
      <c r="B109" s="62"/>
      <c r="C109" s="62"/>
      <c r="D109" s="62"/>
      <c r="E109" s="62"/>
      <c r="F109" s="62"/>
      <c r="L109" s="101"/>
      <c r="M109" s="101"/>
    </row>
    <row r="110" spans="2:13" x14ac:dyDescent="0.3">
      <c r="B110" s="62"/>
      <c r="C110" s="62"/>
      <c r="D110" s="62"/>
      <c r="E110" s="62"/>
      <c r="F110" s="62"/>
      <c r="L110" s="101"/>
      <c r="M110" s="101"/>
    </row>
    <row r="111" spans="2:13" x14ac:dyDescent="0.3">
      <c r="B111" s="62"/>
      <c r="C111" s="62"/>
      <c r="D111" s="62"/>
      <c r="E111" s="62"/>
      <c r="F111" s="62"/>
      <c r="L111" s="101"/>
      <c r="M111" s="101"/>
    </row>
    <row r="112" spans="2:13" x14ac:dyDescent="0.3">
      <c r="L112" s="101"/>
      <c r="M112" s="101"/>
    </row>
    <row r="113" spans="2:14" x14ac:dyDescent="0.3">
      <c r="B113" s="445"/>
      <c r="C113" s="445"/>
      <c r="D113" s="445"/>
      <c r="E113" s="445"/>
      <c r="F113" s="445"/>
      <c r="G113" s="445"/>
      <c r="H113" s="445"/>
      <c r="I113" s="102"/>
      <c r="J113" s="102"/>
    </row>
    <row r="114" spans="2:14" x14ac:dyDescent="0.3">
      <c r="B114" s="102"/>
      <c r="C114" s="102"/>
      <c r="E114" s="102"/>
      <c r="F114" s="102"/>
      <c r="J114" s="102"/>
      <c r="L114" s="90"/>
    </row>
    <row r="115" spans="2:14" x14ac:dyDescent="0.3">
      <c r="B115" s="102"/>
      <c r="C115" s="102"/>
      <c r="E115" s="102"/>
      <c r="F115" s="102"/>
      <c r="J115" s="102"/>
      <c r="L115" s="90"/>
    </row>
    <row r="117" spans="2:14" x14ac:dyDescent="0.3">
      <c r="B117" s="442"/>
      <c r="C117" s="443"/>
      <c r="D117" s="443"/>
      <c r="E117" s="443"/>
      <c r="F117" s="443"/>
      <c r="G117" s="443"/>
      <c r="H117" s="443"/>
      <c r="I117" s="443"/>
      <c r="J117" s="444"/>
    </row>
    <row r="118" spans="2:14" x14ac:dyDescent="0.3">
      <c r="B118" s="62"/>
      <c r="C118" s="62"/>
      <c r="D118" s="62"/>
      <c r="E118" s="62"/>
      <c r="I118" s="62"/>
      <c r="L118" s="101"/>
      <c r="M118" s="101"/>
      <c r="N118" s="101"/>
    </row>
    <row r="119" spans="2:14" x14ac:dyDescent="0.3">
      <c r="B119" s="62"/>
      <c r="C119" s="62"/>
      <c r="D119" s="62"/>
      <c r="E119" s="62"/>
      <c r="I119" s="62"/>
      <c r="L119" s="101"/>
      <c r="M119" s="103"/>
      <c r="N119" s="103"/>
    </row>
    <row r="120" spans="2:14" x14ac:dyDescent="0.3">
      <c r="B120" s="62"/>
      <c r="C120" s="62"/>
      <c r="D120" s="62"/>
      <c r="E120" s="62"/>
      <c r="I120" s="107"/>
      <c r="L120" s="101"/>
      <c r="M120" s="103"/>
      <c r="N120" s="103"/>
    </row>
    <row r="121" spans="2:14" x14ac:dyDescent="0.3">
      <c r="B121" s="62"/>
      <c r="C121" s="62"/>
      <c r="D121" s="62"/>
      <c r="E121" s="62"/>
      <c r="I121" s="107"/>
      <c r="L121" s="101"/>
      <c r="M121" s="103"/>
      <c r="N121" s="103"/>
    </row>
    <row r="122" spans="2:14" x14ac:dyDescent="0.3">
      <c r="B122" s="62"/>
      <c r="C122" s="62"/>
      <c r="D122" s="62"/>
      <c r="E122" s="62"/>
      <c r="I122" s="107"/>
      <c r="L122" s="101"/>
      <c r="M122" s="103"/>
      <c r="N122" s="103"/>
    </row>
    <row r="123" spans="2:14" x14ac:dyDescent="0.3">
      <c r="B123" s="62"/>
      <c r="C123" s="62"/>
      <c r="D123" s="62"/>
      <c r="E123" s="62"/>
      <c r="I123" s="107"/>
      <c r="L123" s="101"/>
      <c r="M123" s="103"/>
      <c r="N123" s="103"/>
    </row>
    <row r="124" spans="2:14" x14ac:dyDescent="0.3">
      <c r="B124" s="62"/>
      <c r="C124" s="62"/>
      <c r="D124" s="62"/>
      <c r="E124" s="62"/>
      <c r="I124" s="107"/>
      <c r="L124" s="101"/>
      <c r="M124" s="103"/>
      <c r="N124" s="103"/>
    </row>
    <row r="126" spans="2:14" x14ac:dyDescent="0.3">
      <c r="B126" s="449"/>
      <c r="C126" s="449"/>
      <c r="D126" s="449"/>
      <c r="E126" s="449"/>
      <c r="F126" s="449"/>
      <c r="G126" s="449"/>
      <c r="H126" s="449"/>
      <c r="I126" s="109"/>
      <c r="J126" s="109"/>
      <c r="L126" s="90"/>
    </row>
    <row r="127" spans="2:14" x14ac:dyDescent="0.3">
      <c r="B127" s="62"/>
      <c r="C127" s="62"/>
      <c r="D127" s="62"/>
      <c r="I127" s="62"/>
      <c r="J127" s="62"/>
      <c r="L127" s="90"/>
    </row>
    <row r="128" spans="2:14" x14ac:dyDescent="0.3">
      <c r="B128" s="62"/>
      <c r="C128" s="107"/>
      <c r="D128" s="107"/>
    </row>
    <row r="129" spans="2:12" x14ac:dyDescent="0.3">
      <c r="B129" s="62"/>
      <c r="C129" s="107"/>
      <c r="D129" s="107"/>
    </row>
    <row r="130" spans="2:12" x14ac:dyDescent="0.3">
      <c r="B130" s="62"/>
      <c r="C130" s="107"/>
      <c r="D130" s="107"/>
    </row>
    <row r="131" spans="2:12" x14ac:dyDescent="0.3">
      <c r="B131" s="62"/>
      <c r="C131" s="107"/>
      <c r="D131" s="107"/>
    </row>
    <row r="132" spans="2:12" x14ac:dyDescent="0.3">
      <c r="B132" s="62"/>
      <c r="C132" s="107"/>
      <c r="D132" s="107"/>
    </row>
    <row r="133" spans="2:12" x14ac:dyDescent="0.3">
      <c r="B133" s="62"/>
      <c r="C133" s="107"/>
      <c r="D133" s="107"/>
    </row>
    <row r="136" spans="2:12" x14ac:dyDescent="0.3">
      <c r="B136" s="446" t="s">
        <v>414</v>
      </c>
      <c r="C136" s="447"/>
      <c r="D136" s="447"/>
      <c r="E136" s="447"/>
      <c r="F136" s="447"/>
      <c r="G136" s="448"/>
    </row>
    <row r="137" spans="2:12" x14ac:dyDescent="0.3">
      <c r="B137" s="104" t="s">
        <v>415</v>
      </c>
      <c r="C137" s="46">
        <f>IF(L64,L64,IF(L67,L67,IF(L83,L83,IF(L95,L95,0))))</f>
        <v>53</v>
      </c>
      <c r="D137" s="104" t="s">
        <v>199</v>
      </c>
      <c r="E137" s="46">
        <f>E83</f>
        <v>0</v>
      </c>
      <c r="F137" s="104" t="s">
        <v>200</v>
      </c>
      <c r="G137" s="46">
        <f>F83</f>
        <v>0</v>
      </c>
    </row>
    <row r="139" spans="2:12" x14ac:dyDescent="0.3">
      <c r="B139" s="438" t="s">
        <v>453</v>
      </c>
      <c r="C139" s="438"/>
      <c r="D139" s="438"/>
      <c r="E139" s="438"/>
      <c r="F139" s="438"/>
      <c r="G139" s="438"/>
      <c r="H139" s="438"/>
      <c r="I139" s="438"/>
      <c r="J139" s="438"/>
      <c r="K139" s="438"/>
      <c r="L139" s="438"/>
    </row>
    <row r="140" spans="2:12" x14ac:dyDescent="0.3">
      <c r="B140" s="114" t="s">
        <v>454</v>
      </c>
      <c r="C140" s="114" t="s">
        <v>463</v>
      </c>
      <c r="D140" s="114" t="s">
        <v>464</v>
      </c>
      <c r="E140" s="114" t="s">
        <v>465</v>
      </c>
      <c r="F140" s="114" t="s">
        <v>466</v>
      </c>
      <c r="G140" s="114" t="s">
        <v>467</v>
      </c>
      <c r="H140" s="114" t="s">
        <v>468</v>
      </c>
      <c r="I140" s="134" t="s">
        <v>470</v>
      </c>
      <c r="J140" s="134" t="s">
        <v>515</v>
      </c>
      <c r="K140" s="134" t="s">
        <v>471</v>
      </c>
      <c r="L140" s="134" t="s">
        <v>472</v>
      </c>
    </row>
    <row r="141" spans="2:12" x14ac:dyDescent="0.3">
      <c r="B141" s="126">
        <f>B87</f>
        <v>0</v>
      </c>
      <c r="C141" s="126">
        <f t="shared" ref="C141:H141" ca="1" si="36">C87</f>
        <v>0</v>
      </c>
      <c r="D141" s="126">
        <f t="shared" ca="1" si="36"/>
        <v>0</v>
      </c>
      <c r="E141" s="126">
        <f t="shared" ca="1" si="36"/>
        <v>0</v>
      </c>
      <c r="F141" s="126">
        <f t="shared" ca="1" si="36"/>
        <v>0</v>
      </c>
      <c r="G141" s="126">
        <f t="shared" ca="1" si="36"/>
        <v>0</v>
      </c>
      <c r="H141" s="126">
        <f t="shared" ca="1" si="36"/>
        <v>0</v>
      </c>
      <c r="I141" s="117">
        <f ca="1">SUM(C141:E141)</f>
        <v>0</v>
      </c>
      <c r="J141" s="117">
        <f ca="1">SUM(F141:H141)</f>
        <v>0</v>
      </c>
      <c r="K141" s="117">
        <f ca="1">I141-$B141</f>
        <v>0</v>
      </c>
      <c r="L141" s="117">
        <f ca="1">J141-$B141</f>
        <v>0</v>
      </c>
    </row>
    <row r="142" spans="2:12" x14ac:dyDescent="0.3">
      <c r="B142" s="126">
        <f t="shared" ref="B142:H142" si="37">B88</f>
        <v>5</v>
      </c>
      <c r="C142" s="126">
        <f t="shared" ca="1" si="37"/>
        <v>0</v>
      </c>
      <c r="D142" s="126">
        <f t="shared" ca="1" si="37"/>
        <v>0</v>
      </c>
      <c r="E142" s="126">
        <f t="shared" ca="1" si="37"/>
        <v>0</v>
      </c>
      <c r="F142" s="126">
        <f t="shared" ca="1" si="37"/>
        <v>0</v>
      </c>
      <c r="G142" s="126">
        <f t="shared" ca="1" si="37"/>
        <v>0</v>
      </c>
      <c r="H142" s="126">
        <f t="shared" ca="1" si="37"/>
        <v>0</v>
      </c>
      <c r="I142" s="117">
        <f t="shared" ref="I142:I146" ca="1" si="38">SUM(C142:E142)</f>
        <v>0</v>
      </c>
      <c r="J142" s="117">
        <f t="shared" ref="J142:J146" ca="1" si="39">SUM(F142:H142)</f>
        <v>0</v>
      </c>
      <c r="K142" s="117">
        <f t="shared" ref="K142:L146" ca="1" si="40">I142-$B142</f>
        <v>-5</v>
      </c>
      <c r="L142" s="117">
        <f t="shared" ca="1" si="40"/>
        <v>-5</v>
      </c>
    </row>
    <row r="143" spans="2:12" x14ac:dyDescent="0.3">
      <c r="B143" s="126">
        <f t="shared" ref="B143:H143" si="41">B89</f>
        <v>10</v>
      </c>
      <c r="C143" s="126">
        <f t="shared" ca="1" si="41"/>
        <v>0</v>
      </c>
      <c r="D143" s="126">
        <f t="shared" ca="1" si="41"/>
        <v>0</v>
      </c>
      <c r="E143" s="126">
        <f t="shared" ca="1" si="41"/>
        <v>0</v>
      </c>
      <c r="F143" s="126">
        <f t="shared" ca="1" si="41"/>
        <v>0</v>
      </c>
      <c r="G143" s="126">
        <f t="shared" ca="1" si="41"/>
        <v>0</v>
      </c>
      <c r="H143" s="126">
        <f t="shared" ca="1" si="41"/>
        <v>0</v>
      </c>
      <c r="I143" s="117">
        <f t="shared" ca="1" si="38"/>
        <v>0</v>
      </c>
      <c r="J143" s="117">
        <f t="shared" ca="1" si="39"/>
        <v>0</v>
      </c>
      <c r="K143" s="117">
        <f t="shared" ca="1" si="40"/>
        <v>-10</v>
      </c>
      <c r="L143" s="117">
        <f t="shared" ca="1" si="40"/>
        <v>-10</v>
      </c>
    </row>
    <row r="144" spans="2:12" x14ac:dyDescent="0.3">
      <c r="B144" s="126">
        <f t="shared" ref="B144:H144" si="42">B90</f>
        <v>20</v>
      </c>
      <c r="C144" s="126">
        <f t="shared" ca="1" si="42"/>
        <v>0</v>
      </c>
      <c r="D144" s="126">
        <f t="shared" ca="1" si="42"/>
        <v>0</v>
      </c>
      <c r="E144" s="126">
        <f t="shared" ca="1" si="42"/>
        <v>0</v>
      </c>
      <c r="F144" s="126">
        <f t="shared" ca="1" si="42"/>
        <v>0</v>
      </c>
      <c r="G144" s="126">
        <f t="shared" ca="1" si="42"/>
        <v>0</v>
      </c>
      <c r="H144" s="126">
        <f t="shared" ca="1" si="42"/>
        <v>0</v>
      </c>
      <c r="I144" s="117">
        <f t="shared" ca="1" si="38"/>
        <v>0</v>
      </c>
      <c r="J144" s="117">
        <f t="shared" ca="1" si="39"/>
        <v>0</v>
      </c>
      <c r="K144" s="117">
        <f t="shared" ca="1" si="40"/>
        <v>-20</v>
      </c>
      <c r="L144" s="117">
        <f t="shared" ca="1" si="40"/>
        <v>-20</v>
      </c>
    </row>
    <row r="145" spans="2:12" x14ac:dyDescent="0.3">
      <c r="B145" s="126">
        <f t="shared" ref="B145:H145" si="43">B91</f>
        <v>30</v>
      </c>
      <c r="C145" s="126">
        <f t="shared" ca="1" si="43"/>
        <v>0</v>
      </c>
      <c r="D145" s="126">
        <f t="shared" ca="1" si="43"/>
        <v>0</v>
      </c>
      <c r="E145" s="126">
        <f t="shared" ca="1" si="43"/>
        <v>0</v>
      </c>
      <c r="F145" s="126">
        <f t="shared" ca="1" si="43"/>
        <v>0</v>
      </c>
      <c r="G145" s="126">
        <f t="shared" ca="1" si="43"/>
        <v>0</v>
      </c>
      <c r="H145" s="126">
        <f t="shared" ca="1" si="43"/>
        <v>0</v>
      </c>
      <c r="I145" s="117">
        <f t="shared" ca="1" si="38"/>
        <v>0</v>
      </c>
      <c r="J145" s="117">
        <f t="shared" ca="1" si="39"/>
        <v>0</v>
      </c>
      <c r="K145" s="117">
        <f t="shared" ca="1" si="40"/>
        <v>-30</v>
      </c>
      <c r="L145" s="117">
        <f t="shared" ca="1" si="40"/>
        <v>-30</v>
      </c>
    </row>
    <row r="146" spans="2:12" x14ac:dyDescent="0.3">
      <c r="B146" s="126">
        <f t="shared" ref="B146:H146" si="44">B92</f>
        <v>40</v>
      </c>
      <c r="C146" s="126">
        <f t="shared" ca="1" si="44"/>
        <v>0</v>
      </c>
      <c r="D146" s="126">
        <f t="shared" ca="1" si="44"/>
        <v>0</v>
      </c>
      <c r="E146" s="126">
        <f t="shared" ca="1" si="44"/>
        <v>0</v>
      </c>
      <c r="F146" s="126">
        <f t="shared" ca="1" si="44"/>
        <v>0</v>
      </c>
      <c r="G146" s="126">
        <f t="shared" ca="1" si="44"/>
        <v>0</v>
      </c>
      <c r="H146" s="126">
        <f t="shared" ca="1" si="44"/>
        <v>0</v>
      </c>
      <c r="I146" s="117">
        <f t="shared" ca="1" si="38"/>
        <v>0</v>
      </c>
      <c r="J146" s="117">
        <f t="shared" ca="1" si="39"/>
        <v>0</v>
      </c>
      <c r="K146" s="117">
        <f t="shared" ca="1" si="40"/>
        <v>-40</v>
      </c>
      <c r="L146" s="117">
        <f t="shared" ca="1" si="40"/>
        <v>-40</v>
      </c>
    </row>
  </sheetData>
  <mergeCells count="14">
    <mergeCell ref="B139:L139"/>
    <mergeCell ref="B81:H81"/>
    <mergeCell ref="B104:J104"/>
    <mergeCell ref="B113:H113"/>
    <mergeCell ref="B136:G136"/>
    <mergeCell ref="B85:J85"/>
    <mergeCell ref="B94:H94"/>
    <mergeCell ref="B117:J117"/>
    <mergeCell ref="B126:H126"/>
    <mergeCell ref="B63:F63"/>
    <mergeCell ref="B66:F66"/>
    <mergeCell ref="B2:L2"/>
    <mergeCell ref="B49:J49"/>
    <mergeCell ref="B72:J72"/>
  </mergeCells>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F47"/>
  <sheetViews>
    <sheetView workbookViewId="0">
      <selection activeCell="J12" sqref="J12"/>
    </sheetView>
  </sheetViews>
  <sheetFormatPr defaultColWidth="8.5546875" defaultRowHeight="14.4" x14ac:dyDescent="0.3"/>
  <cols>
    <col min="1" max="1" width="3" customWidth="1"/>
    <col min="5" max="5" width="12" customWidth="1"/>
    <col min="6" max="6" width="9.5546875" bestFit="1" customWidth="1"/>
    <col min="9" max="10" width="11" bestFit="1" customWidth="1"/>
    <col min="14" max="14" width="10" customWidth="1"/>
    <col min="15" max="30" width="5.44140625" customWidth="1"/>
    <col min="32" max="32" width="64.44140625" bestFit="1" customWidth="1"/>
  </cols>
  <sheetData>
    <row r="2" spans="2:32" x14ac:dyDescent="0.3">
      <c r="B2" s="437" t="s">
        <v>295</v>
      </c>
      <c r="C2" s="437"/>
      <c r="D2" s="437"/>
      <c r="E2" s="437"/>
      <c r="F2" s="437"/>
      <c r="G2" s="437"/>
      <c r="H2" s="437"/>
      <c r="I2" s="437"/>
      <c r="J2" s="437"/>
      <c r="K2" s="437"/>
      <c r="L2" s="437"/>
    </row>
    <row r="3" spans="2:32" x14ac:dyDescent="0.3">
      <c r="B3" s="182" t="s">
        <v>197</v>
      </c>
      <c r="C3" s="182" t="s">
        <v>296</v>
      </c>
      <c r="D3" s="182" t="s">
        <v>297</v>
      </c>
      <c r="E3" s="182" t="s">
        <v>298</v>
      </c>
      <c r="F3" s="182" t="s">
        <v>585</v>
      </c>
      <c r="G3" s="182" t="s">
        <v>299</v>
      </c>
      <c r="H3" s="182" t="s">
        <v>300</v>
      </c>
      <c r="I3" s="182" t="s">
        <v>301</v>
      </c>
      <c r="J3" s="182" t="s">
        <v>199</v>
      </c>
      <c r="K3" s="182" t="s">
        <v>200</v>
      </c>
      <c r="L3" s="176" t="s">
        <v>182</v>
      </c>
    </row>
    <row r="4" spans="2:32" x14ac:dyDescent="0.3">
      <c r="B4" s="192">
        <v>1013</v>
      </c>
      <c r="C4" s="192">
        <v>5</v>
      </c>
      <c r="D4" s="192">
        <v>9999</v>
      </c>
      <c r="E4" s="193">
        <v>13466634</v>
      </c>
      <c r="F4" s="193" t="s">
        <v>432</v>
      </c>
      <c r="G4" s="176">
        <f>INDEX('FTS-Initialization'!$W$20:$W$32,MATCH(FLOOR($B$4,1000),'FTS-Initialization'!$V$20:$V$32,0))</f>
        <v>84</v>
      </c>
      <c r="H4" s="176" t="str">
        <f>INDEX('FTS-Initialization'!$X$20:$X$32,MATCH(FLOOR($B$4,1000),'FTS-Initialization'!$V$20:$V$32,0))</f>
        <v>TKA</v>
      </c>
      <c r="I4" s="178">
        <f ca="1">TODAY()</f>
        <v>42738</v>
      </c>
      <c r="J4" s="176">
        <f>'FTS-Initialization'!$AA$29</f>
        <v>100</v>
      </c>
      <c r="K4" s="176">
        <f>'FTS-Initialization'!$AA$29</f>
        <v>100</v>
      </c>
      <c r="L4" s="176"/>
      <c r="N4" t="s">
        <v>462</v>
      </c>
    </row>
    <row r="5" spans="2:32" x14ac:dyDescent="0.3">
      <c r="B5" s="179" t="str">
        <f>DEC2HEX(B4,4)</f>
        <v>03F5</v>
      </c>
      <c r="C5" s="179" t="str">
        <f>DEC2HEX(C4*2,2)</f>
        <v>0A</v>
      </c>
      <c r="D5" s="179" t="str">
        <f>DEC2HEX(D4,8)</f>
        <v>0000270F</v>
      </c>
      <c r="E5" s="179" t="str">
        <f>DEC2HEX(E4,8)</f>
        <v>00CD7C0A</v>
      </c>
      <c r="F5" s="180" t="str">
        <f ca="1">DEC2HEX(YEAR($I$4)-2010,2)</f>
        <v>07</v>
      </c>
      <c r="G5" s="179" t="str">
        <f ca="1">DEC2HEX(MONTH($I$4),2)</f>
        <v>01</v>
      </c>
      <c r="H5" s="179" t="str">
        <f ca="1">DEC2HEX(DAY($I$4),2)</f>
        <v>03</v>
      </c>
      <c r="I5" s="179" t="str">
        <f>DEC2HEX('FTS-Initialization'!$AA$31,2)</f>
        <v>00</v>
      </c>
      <c r="J5" s="179" t="str">
        <f t="shared" ref="J5:K5" si="0">DEC2HEX(J4)</f>
        <v>64</v>
      </c>
      <c r="K5" s="179" t="str">
        <f t="shared" si="0"/>
        <v>64</v>
      </c>
      <c r="L5" s="181">
        <v>89</v>
      </c>
      <c r="N5" s="78">
        <v>13466634</v>
      </c>
      <c r="O5" s="79">
        <v>12</v>
      </c>
      <c r="P5" s="79" t="str">
        <f>MID(DEC2HEX($N$5,8),1,2)</f>
        <v>00</v>
      </c>
      <c r="Q5" s="79" t="str">
        <f>MID(DEC2HEX($N$5,8),3,2)</f>
        <v>CD</v>
      </c>
      <c r="R5" s="79" t="str">
        <f>MID(DEC2HEX($N$5,8),5,2)</f>
        <v>7C</v>
      </c>
      <c r="S5" s="79" t="str">
        <f>MID(DEC2HEX($N$5,8),7,2)</f>
        <v>0A</v>
      </c>
      <c r="T5" s="123" t="s">
        <v>458</v>
      </c>
      <c r="U5" s="123" t="s">
        <v>458</v>
      </c>
      <c r="V5" s="123" t="s">
        <v>458</v>
      </c>
      <c r="W5" s="123" t="s">
        <v>458</v>
      </c>
      <c r="X5" s="123" t="s">
        <v>458</v>
      </c>
    </row>
    <row r="6" spans="2:32" x14ac:dyDescent="0.3">
      <c r="B6" s="61" t="str">
        <f>B3</f>
        <v>DevType</v>
      </c>
      <c r="C6" s="61" t="str">
        <f t="shared" ref="C6:E6" si="1">C3</f>
        <v>Channel</v>
      </c>
      <c r="D6" s="61" t="str">
        <f t="shared" si="1"/>
        <v>Lot #</v>
      </c>
      <c r="E6" s="61" t="str">
        <f t="shared" si="1"/>
        <v>Serial #</v>
      </c>
      <c r="F6" s="61" t="s">
        <v>185</v>
      </c>
      <c r="G6" s="61" t="s">
        <v>183</v>
      </c>
      <c r="H6" s="61" t="s">
        <v>184</v>
      </c>
      <c r="I6" s="61" t="s">
        <v>323</v>
      </c>
      <c r="J6" s="61" t="s">
        <v>199</v>
      </c>
      <c r="K6" s="61" t="s">
        <v>200</v>
      </c>
      <c r="L6" s="25" t="s">
        <v>322</v>
      </c>
      <c r="N6" s="78" t="s">
        <v>18</v>
      </c>
      <c r="O6" s="79">
        <v>12</v>
      </c>
      <c r="P6" s="79" t="str">
        <f>D22</f>
        <v>00</v>
      </c>
      <c r="Q6" s="79" t="str">
        <f>D23</f>
        <v>CD</v>
      </c>
      <c r="R6" s="79" t="str">
        <f>D24</f>
        <v>7C</v>
      </c>
      <c r="S6" s="79" t="str">
        <f>D25</f>
        <v>0A</v>
      </c>
      <c r="T6" s="79" t="s">
        <v>458</v>
      </c>
      <c r="U6" s="79" t="s">
        <v>458</v>
      </c>
      <c r="V6" s="79" t="s">
        <v>458</v>
      </c>
      <c r="W6" s="79" t="s">
        <v>458</v>
      </c>
      <c r="X6" s="79" t="s">
        <v>458</v>
      </c>
    </row>
    <row r="8" spans="2:32" ht="15" thickBot="1" x14ac:dyDescent="0.35">
      <c r="B8" t="s">
        <v>416</v>
      </c>
      <c r="N8" t="s">
        <v>401</v>
      </c>
      <c r="AF8" t="s">
        <v>402</v>
      </c>
    </row>
    <row r="9" spans="2:32" x14ac:dyDescent="0.3">
      <c r="B9" s="85">
        <f>'EEPROM-Contents'!B33</f>
        <v>29</v>
      </c>
      <c r="C9" s="74">
        <f t="shared" ref="C9:C21" ca="1" si="2">HEX2DEC(D9)</f>
        <v>2</v>
      </c>
      <c r="D9" s="77" t="str">
        <f ca="1">DEC2HEX(OFFSET('FTS-Initialization'!AC37,0,MATCH(H4,'FTS-Initialization'!$AD$36:$AE$36,0)),2)</f>
        <v>02</v>
      </c>
      <c r="E9" s="69" t="str">
        <f>'EEPROM-Contents'!L33</f>
        <v>SEN(0) X</v>
      </c>
      <c r="F9" s="70"/>
      <c r="G9" s="73"/>
      <c r="N9" s="78" t="s">
        <v>325</v>
      </c>
      <c r="O9" s="78" t="s">
        <v>326</v>
      </c>
      <c r="P9" s="78" t="s">
        <v>327</v>
      </c>
      <c r="Q9" s="78" t="s">
        <v>328</v>
      </c>
      <c r="R9" s="78" t="s">
        <v>329</v>
      </c>
      <c r="S9" s="78" t="s">
        <v>330</v>
      </c>
      <c r="T9" s="78" t="s">
        <v>331</v>
      </c>
      <c r="U9" s="78" t="s">
        <v>332</v>
      </c>
      <c r="V9" s="78" t="s">
        <v>333</v>
      </c>
      <c r="W9" s="78" t="s">
        <v>334</v>
      </c>
      <c r="X9" s="78" t="s">
        <v>335</v>
      </c>
      <c r="Y9" s="78" t="s">
        <v>336</v>
      </c>
      <c r="Z9" s="78" t="s">
        <v>337</v>
      </c>
      <c r="AA9" s="78" t="s">
        <v>338</v>
      </c>
      <c r="AB9" s="78" t="s">
        <v>339</v>
      </c>
      <c r="AC9" s="78" t="s">
        <v>340</v>
      </c>
      <c r="AD9" s="78" t="s">
        <v>341</v>
      </c>
      <c r="AF9" s="80" t="str">
        <f>CONCATENATE($O$5,$P$5,$Q$5,$R$5,$S$5,"A5AAAAAAAAAAAAAAAAAAAAAAAAAAAAAAAAAAAAAAAAAA")</f>
        <v>1200CD7C0AA5AAAAAAAAAAAAAAAAAAAAAAAAAAAAAAAAAAAAAAAAAA</v>
      </c>
    </row>
    <row r="10" spans="2:32" x14ac:dyDescent="0.3">
      <c r="B10" s="85">
        <f>'EEPROM-Contents'!B34</f>
        <v>30</v>
      </c>
      <c r="C10" s="74">
        <f t="shared" ca="1" si="2"/>
        <v>2</v>
      </c>
      <c r="D10" s="77" t="str">
        <f ca="1">DEC2HEX(OFFSET('FTS-Initialization'!AC38,0,MATCH($H$4,'FTS-Initialization'!$AD$36:$AE$36,0)),2)</f>
        <v>02</v>
      </c>
      <c r="E10" s="69" t="str">
        <f>'EEPROM-Contents'!L34</f>
        <v>SEN(1) Y</v>
      </c>
      <c r="F10" s="70"/>
      <c r="G10" s="73"/>
      <c r="N10" s="78" t="s">
        <v>326</v>
      </c>
      <c r="O10" s="79" t="str">
        <f>RIGHT(INDEX('EEPROM-Contents'!$K$4:'EEPROM-Contents'!$K$141,MATCH('EEPROM-Contents'!Q4,'EEPROM-Contents'!$I$4:'EEPROM-Contents'!$I$141,0)),2)</f>
        <v>1B</v>
      </c>
      <c r="P10" s="79" t="str">
        <f>RIGHT(INDEX('EEPROM-Contents'!$K$4:'EEPROM-Contents'!$K$141,MATCH('EEPROM-Contents'!R4,'EEPROM-Contents'!$I$4:'EEPROM-Contents'!$I$141,0)),2)</f>
        <v>00</v>
      </c>
      <c r="Q10" s="79" t="str">
        <f>RIGHT(INDEX('EEPROM-Contents'!$K$4:'EEPROM-Contents'!$K$141,MATCH('EEPROM-Contents'!S4,'EEPROM-Contents'!$I$4:'EEPROM-Contents'!$I$141,0)),2)</f>
        <v>00</v>
      </c>
      <c r="R10" s="79" t="str">
        <f>RIGHT(INDEX('EEPROM-Contents'!$K$4:'EEPROM-Contents'!$K$141,MATCH('EEPROM-Contents'!T4,'EEPROM-Contents'!$I$4:'EEPROM-Contents'!$I$141,0)),2)</f>
        <v>00</v>
      </c>
      <c r="S10" s="79" t="str">
        <f>RIGHT(INDEX('EEPROM-Contents'!$K$4:'EEPROM-Contents'!$K$141,MATCH('EEPROM-Contents'!U4,'EEPROM-Contents'!$I$4:'EEPROM-Contents'!$I$141,0)),2)</f>
        <v>00</v>
      </c>
      <c r="T10" s="79" t="str">
        <f>RIGHT(INDEX('EEPROM-Contents'!$K$4:'EEPROM-Contents'!$K$141,MATCH('EEPROM-Contents'!V4,'EEPROM-Contents'!$I$4:'EEPROM-Contents'!$I$141,0)),2)</f>
        <v>00</v>
      </c>
      <c r="U10" s="79" t="str">
        <f>RIGHT(INDEX('EEPROM-Contents'!$K$4:'EEPROM-Contents'!$K$141,MATCH('EEPROM-Contents'!W4,'EEPROM-Contents'!$I$4:'EEPROM-Contents'!$I$141,0)),2)</f>
        <v>00</v>
      </c>
      <c r="V10" s="79" t="str">
        <f>RIGHT(INDEX('EEPROM-Contents'!$K$4:'EEPROM-Contents'!$K$141,MATCH('EEPROM-Contents'!X4,'EEPROM-Contents'!$I$4:'EEPROM-Contents'!$I$141,0)),2)</f>
        <v>00</v>
      </c>
      <c r="W10" s="79" t="str">
        <f>RIGHT(INDEX('EEPROM-Contents'!$K$4:'EEPROM-Contents'!$K$141,MATCH('EEPROM-Contents'!Y4,'EEPROM-Contents'!$I$4:'EEPROM-Contents'!$I$141,0)),2)</f>
        <v>00</v>
      </c>
      <c r="X10" s="79" t="str">
        <f>RIGHT(INDEX('EEPROM-Contents'!$K$4:'EEPROM-Contents'!$K$141,MATCH('EEPROM-Contents'!Z4,'EEPROM-Contents'!$I$4:'EEPROM-Contents'!$I$141,0)),2)</f>
        <v>00</v>
      </c>
      <c r="Y10" s="79" t="str">
        <f>RIGHT(INDEX('EEPROM-Contents'!$K$4:'EEPROM-Contents'!$K$141,MATCH('EEPROM-Contents'!AA4,'EEPROM-Contents'!$I$4:'EEPROM-Contents'!$I$141,0)),2)</f>
        <v>01</v>
      </c>
      <c r="Z10" s="79" t="str">
        <f>RIGHT(INDEX('EEPROM-Contents'!$K$4:'EEPROM-Contents'!$K$141,MATCH('EEPROM-Contents'!AB4,'EEPROM-Contents'!$I$4:'EEPROM-Contents'!$I$141,0)),2)</f>
        <v>38</v>
      </c>
      <c r="AA10" s="79" t="str">
        <f>RIGHT(INDEX('EEPROM-Contents'!$K$4:'EEPROM-Contents'!$K$141,MATCH('EEPROM-Contents'!AC4,'EEPROM-Contents'!$I$4:'EEPROM-Contents'!$I$141,0)),2)</f>
        <v>21</v>
      </c>
      <c r="AB10" s="79" t="str">
        <f>RIGHT(INDEX('EEPROM-Contents'!$K$4:'EEPROM-Contents'!$K$141,MATCH('EEPROM-Contents'!AD4,'EEPROM-Contents'!$I$4:'EEPROM-Contents'!$I$141,0)),2)</f>
        <v>50</v>
      </c>
      <c r="AC10" s="79" t="str">
        <f>RIGHT(INDEX('EEPROM-Contents'!$K$4:'EEPROM-Contents'!$K$141,MATCH('EEPROM-Contents'!AE4,'EEPROM-Contents'!$I$4:'EEPROM-Contents'!$I$141,0)),2)</f>
        <v>FF</v>
      </c>
      <c r="AD10" s="79" t="str">
        <f>RIGHT(INDEX('EEPROM-Contents'!$K$4:'EEPROM-Contents'!$K$141,MATCH('EEPROM-Contents'!AF4,'EEPROM-Contents'!$I$4:'EEPROM-Contents'!$I$141,0)),2)</f>
        <v>EF</v>
      </c>
      <c r="AF10" s="81" t="str">
        <f>CONCATENATE($O$5,$P$5,$Q$5,$R$5,$S$5,$T$5,$U$5,$V$5,$W$5,$X$5,O10,P10,Q10,R10,S10,T10,U10,V10,W10,X10,Y10,Z10,AA10,AB10,AC10,AD10,"00")</f>
        <v>1200CD7C0A00000000001B00000000000000000001382150FFEF00</v>
      </c>
    </row>
    <row r="11" spans="2:32" x14ac:dyDescent="0.3">
      <c r="B11" s="85">
        <f>'EEPROM-Contents'!B35</f>
        <v>31</v>
      </c>
      <c r="C11" s="74">
        <f t="shared" ca="1" si="2"/>
        <v>4</v>
      </c>
      <c r="D11" s="77" t="str">
        <f ca="1">DEC2HEX(OFFSET('FTS-Initialization'!AC39,0,MATCH($H$4,'FTS-Initialization'!$AD$36:$AE$36,0)),2)</f>
        <v>04</v>
      </c>
      <c r="E11" s="69" t="str">
        <f>'EEPROM-Contents'!L35</f>
        <v>SEN(2) Z</v>
      </c>
      <c r="F11" s="70"/>
      <c r="G11" s="73"/>
      <c r="N11" s="78" t="s">
        <v>342</v>
      </c>
      <c r="O11" s="79" t="str">
        <f>RIGHT(INDEX('EEPROM-Contents'!$K$4:'EEPROM-Contents'!$K$141,MATCH('EEPROM-Contents'!Q5,'EEPROM-Contents'!$I$4:'EEPROM-Contents'!$I$141,0)),2)</f>
        <v>F0</v>
      </c>
      <c r="P11" s="79" t="str">
        <f>RIGHT(INDEX('EEPROM-Contents'!$K$4:'EEPROM-Contents'!$K$141,MATCH('EEPROM-Contents'!R5,'EEPROM-Contents'!$I$4:'EEPROM-Contents'!$I$141,0)),2)</f>
        <v>5D</v>
      </c>
      <c r="Q11" s="79" t="str">
        <f>RIGHT(INDEX('EEPROM-Contents'!$K$4:'EEPROM-Contents'!$K$141,MATCH('EEPROM-Contents'!S5,'EEPROM-Contents'!$I$4:'EEPROM-Contents'!$I$141,0)),2)</f>
        <v>01</v>
      </c>
      <c r="R11" s="79" t="str">
        <f>RIGHT(INDEX('EEPROM-Contents'!$K$4:'EEPROM-Contents'!$K$141,MATCH('EEPROM-Contents'!T5,'EEPROM-Contents'!$I$4:'EEPROM-Contents'!$I$141,0)),2)</f>
        <v>00</v>
      </c>
      <c r="S11" s="79" t="str">
        <f>RIGHT(INDEX('EEPROM-Contents'!$K$4:'EEPROM-Contents'!$K$141,MATCH('EEPROM-Contents'!U5,'EEPROM-Contents'!$I$4:'EEPROM-Contents'!$I$141,0)),2)</f>
        <v>00</v>
      </c>
      <c r="T11" s="79" t="str">
        <f>RIGHT(INDEX('EEPROM-Contents'!$K$4:'EEPROM-Contents'!$K$141,MATCH('EEPROM-Contents'!V5,'EEPROM-Contents'!$I$4:'EEPROM-Contents'!$I$141,0)),2)</f>
        <v>00</v>
      </c>
      <c r="U11" s="79" t="str">
        <f>RIGHT(INDEX('EEPROM-Contents'!$K$4:'EEPROM-Contents'!$K$141,MATCH('EEPROM-Contents'!W5,'EEPROM-Contents'!$I$4:'EEPROM-Contents'!$I$141,0)),2)</f>
        <v>06</v>
      </c>
      <c r="V11" s="79" t="str">
        <f>RIGHT(INDEX('EEPROM-Contents'!$K$4:'EEPROM-Contents'!$K$141,MATCH('EEPROM-Contents'!X5,'EEPROM-Contents'!$I$4:'EEPROM-Contents'!$I$141,0)),2)</f>
        <v>01</v>
      </c>
      <c r="W11" s="79" t="str">
        <f>RIGHT(INDEX('EEPROM-Contents'!$K$4:'EEPROM-Contents'!$K$141,MATCH('EEPROM-Contents'!Y5,'EEPROM-Contents'!$I$4:'EEPROM-Contents'!$I$141,0)),2)</f>
        <v>01</v>
      </c>
      <c r="X11" s="79" t="str">
        <f>RIGHT(INDEX('EEPROM-Contents'!$K$4:'EEPROM-Contents'!$K$141,MATCH('EEPROM-Contents'!Z5,'EEPROM-Contents'!$I$4:'EEPROM-Contents'!$I$141,0)),2)</f>
        <v>A5</v>
      </c>
      <c r="Y11" s="79" t="str">
        <f>RIGHT(INDEX('EEPROM-Contents'!$K$4:'EEPROM-Contents'!$K$141,MATCH('EEPROM-Contents'!AA5,'EEPROM-Contents'!$I$4:'EEPROM-Contents'!$I$141,0)),2)</f>
        <v>10</v>
      </c>
      <c r="Z11" s="79" t="str">
        <f>RIGHT(INDEX('EEPROM-Contents'!$K$4:'EEPROM-Contents'!$K$141,MATCH('EEPROM-Contents'!AB5,'EEPROM-Contents'!$I$4:'EEPROM-Contents'!$I$141,0)),2)</f>
        <v>00</v>
      </c>
      <c r="AA11" s="79" t="str">
        <f>RIGHT(INDEX('EEPROM-Contents'!$K$4:'EEPROM-Contents'!$K$141,MATCH('EEPROM-Contents'!AC5,'EEPROM-Contents'!$I$4:'EEPROM-Contents'!$I$141,0)),2)</f>
        <v>00</v>
      </c>
      <c r="AB11" s="84" t="str">
        <f ca="1">RIGHT(INDEX($D$9:$D$47,MATCH('EEPROM-Contents'!AD5,$B$9:$B$47,0)),2)</f>
        <v>02</v>
      </c>
      <c r="AC11" s="84" t="str">
        <f ca="1">RIGHT(INDEX($D$9:$D$47,MATCH('EEPROM-Contents'!AE5,$B$9:$B$47,0)),2)</f>
        <v>02</v>
      </c>
      <c r="AD11" s="84" t="str">
        <f ca="1">RIGHT(INDEX($D$9:$D$47,MATCH('EEPROM-Contents'!AF5,$B$9:$B$47,0)),2)</f>
        <v>04</v>
      </c>
      <c r="AF11" s="81" t="str">
        <f t="shared" ref="AF11:AF41" ca="1" si="3">CONCATENATE($O$5,$P$5,$Q$5,$R$5,$S$5,$T$5,$U$5,$V$5,$W$5,$X$5,O11,P11,Q11,R11,S11,T11,U11,V11,W11,X11,Y11,Z11,AA11,AB11,AC11,AD11,"00")</f>
        <v>1200CD7C0A0000000000F05D01000000060101A510000002020400</v>
      </c>
    </row>
    <row r="12" spans="2:32" x14ac:dyDescent="0.3">
      <c r="B12" s="85">
        <f>'EEPROM-Contents'!B36</f>
        <v>32</v>
      </c>
      <c r="C12" s="74">
        <f t="shared" ca="1" si="2"/>
        <v>4</v>
      </c>
      <c r="D12" s="77" t="str">
        <f ca="1">DEC2HEX(OFFSET('FTS-Initialization'!AC40,0,MATCH($H$4,'FTS-Initialization'!$AD$36:$AE$36,0)),2)</f>
        <v>04</v>
      </c>
      <c r="E12" s="69" t="str">
        <f>'EEPROM-Contents'!L36</f>
        <v>SEN(3) SP6B</v>
      </c>
      <c r="F12" s="70"/>
      <c r="G12" s="73"/>
      <c r="N12" s="78" t="s">
        <v>343</v>
      </c>
      <c r="O12" s="84" t="str">
        <f ca="1">RIGHT(INDEX($D$9:$D$47,MATCH('EEPROM-Contents'!Q6,$B$9:$B$47,0)),2)</f>
        <v>04</v>
      </c>
      <c r="P12" s="84" t="str">
        <f ca="1">RIGHT(INDEX($D$9:$D$47,MATCH('EEPROM-Contents'!R6,$B$9:$B$47,0)),2)</f>
        <v>04</v>
      </c>
      <c r="Q12" s="84" t="str">
        <f ca="1">RIGHT(INDEX($D$9:$D$47,MATCH('EEPROM-Contents'!S6,$B$9:$B$47,0)),2)</f>
        <v>04</v>
      </c>
      <c r="R12" s="84" t="str">
        <f ca="1">RIGHT(INDEX($D$9:$D$47,MATCH('EEPROM-Contents'!T6,$B$9:$B$47,0)),2)</f>
        <v>04</v>
      </c>
      <c r="S12" s="84" t="str">
        <f ca="1">RIGHT(INDEX($D$9:$D$47,MATCH('EEPROM-Contents'!U6,$B$9:$B$47,0)),2)</f>
        <v>04</v>
      </c>
      <c r="T12" s="84" t="str">
        <f ca="1">RIGHT(INDEX($D$9:$D$47,MATCH('EEPROM-Contents'!V6,$B$9:$B$47,0)),2)</f>
        <v>04</v>
      </c>
      <c r="U12" s="84" t="str">
        <f ca="1">RIGHT(INDEX($D$9:$D$47,MATCH('EEPROM-Contents'!W6,$B$9:$B$47,0)),2)</f>
        <v>04</v>
      </c>
      <c r="V12" s="79" t="str">
        <f>RIGHT(INDEX('EEPROM-Contents'!$K$4:'EEPROM-Contents'!$K$141,MATCH('EEPROM-Contents'!X6,'EEPROM-Contents'!$I$4:'EEPROM-Contents'!$I$141,0)),2)</f>
        <v>00</v>
      </c>
      <c r="W12" s="79" t="str">
        <f>RIGHT(INDEX('EEPROM-Contents'!$K$4:'EEPROM-Contents'!$K$141,MATCH('EEPROM-Contents'!Y6,'EEPROM-Contents'!$I$4:'EEPROM-Contents'!$I$141,0)),2)</f>
        <v>21</v>
      </c>
      <c r="X12" s="79" t="str">
        <f>RIGHT(INDEX('EEPROM-Contents'!$K$4:'EEPROM-Contents'!$K$141,MATCH('EEPROM-Contents'!Z6,'EEPROM-Contents'!$I$4:'EEPROM-Contents'!$I$141,0)),2)</f>
        <v>BF</v>
      </c>
      <c r="Y12" s="79" t="str">
        <f>RIGHT(INDEX('EEPROM-Contents'!$K$4:'EEPROM-Contents'!$K$141,MATCH('EEPROM-Contents'!AA6,'EEPROM-Contents'!$I$4:'EEPROM-Contents'!$I$141,0)),2)</f>
        <v>88</v>
      </c>
      <c r="Z12" s="79" t="str">
        <f>RIGHT(INDEX('EEPROM-Contents'!$K$4:'EEPROM-Contents'!$K$141,MATCH('EEPROM-Contents'!AB6,'EEPROM-Contents'!$I$4:'EEPROM-Contents'!$I$141,0)),2)</f>
        <v>02</v>
      </c>
      <c r="AA12" s="79" t="str">
        <f>RIGHT(INDEX('EEPROM-Contents'!$K$4:'EEPROM-Contents'!$K$141,MATCH('EEPROM-Contents'!AC6,'EEPROM-Contents'!$I$4:'EEPROM-Contents'!$I$141,0)),2)</f>
        <v>20</v>
      </c>
      <c r="AB12" s="79" t="str">
        <f>RIGHT(INDEX('EEPROM-Contents'!$K$4:'EEPROM-Contents'!$K$141,MATCH('EEPROM-Contents'!AD6,'EEPROM-Contents'!$I$4:'EEPROM-Contents'!$I$141,0)),2)</f>
        <v>20</v>
      </c>
      <c r="AC12" s="79" t="str">
        <f>RIGHT(INDEX('EEPROM-Contents'!$K$4:'EEPROM-Contents'!$K$141,MATCH('EEPROM-Contents'!AE6,'EEPROM-Contents'!$I$4:'EEPROM-Contents'!$I$141,0)),2)</f>
        <v>A0</v>
      </c>
      <c r="AD12" s="84" t="str">
        <f>RIGHT(INDEX($D$9:$D$47,MATCH('EEPROM-Contents'!AF6,$B$9:$B$47,0)),2)</f>
        <v>84</v>
      </c>
      <c r="AF12" s="81" t="str">
        <f t="shared" ca="1" si="3"/>
        <v>1200CD7C0A0000000000040404040404040021BF88022020A08400</v>
      </c>
    </row>
    <row r="13" spans="2:32" x14ac:dyDescent="0.3">
      <c r="B13" s="85">
        <f>'EEPROM-Contents'!B37</f>
        <v>33</v>
      </c>
      <c r="C13" s="74">
        <f t="shared" ca="1" si="2"/>
        <v>4</v>
      </c>
      <c r="D13" s="77" t="str">
        <f ca="1">DEC2HEX(OFFSET('FTS-Initialization'!AC41,0,MATCH($H$4,'FTS-Initialization'!$AD$36:$AE$36,0)),2)</f>
        <v>04</v>
      </c>
      <c r="E13" s="69" t="str">
        <f>'EEPROM-Contents'!L37</f>
        <v>SEN(4) SP5B</v>
      </c>
      <c r="F13" s="70"/>
      <c r="G13" s="73"/>
      <c r="N13" s="78" t="s">
        <v>344</v>
      </c>
      <c r="O13" s="79" t="str">
        <f>RIGHT(INDEX('EEPROM-Contents'!$K$4:'EEPROM-Contents'!$K$141,MATCH('EEPROM-Contents'!Q7,'EEPROM-Contents'!$I$4:'EEPROM-Contents'!$I$141,0)),2)</f>
        <v>00</v>
      </c>
      <c r="P13" s="79" t="str">
        <f>RIGHT(INDEX('EEPROM-Contents'!$K$4:'EEPROM-Contents'!$K$141,MATCH('EEPROM-Contents'!R7,'EEPROM-Contents'!$I$4:'EEPROM-Contents'!$I$141,0)),2)</f>
        <v>06</v>
      </c>
      <c r="Q13" s="79" t="str">
        <f>RIGHT(INDEX('EEPROM-Contents'!$K$4:'EEPROM-Contents'!$K$141,MATCH('EEPROM-Contents'!S7,'EEPROM-Contents'!$I$4:'EEPROM-Contents'!$I$141,0)),2)</f>
        <v>2E</v>
      </c>
      <c r="R13" s="79" t="str">
        <f>RIGHT(INDEX('EEPROM-Contents'!$K$4:'EEPROM-Contents'!$K$141,MATCH('EEPROM-Contents'!T7,'EEPROM-Contents'!$I$4:'EEPROM-Contents'!$I$141,0)),2)</f>
        <v>2F</v>
      </c>
      <c r="S13" s="79" t="str">
        <f>RIGHT(INDEX('EEPROM-Contents'!$K$4:'EEPROM-Contents'!$K$141,MATCH('EEPROM-Contents'!U7,'EEPROM-Contents'!$I$4:'EEPROM-Contents'!$I$141,0)),2)</f>
        <v>07</v>
      </c>
      <c r="T13" s="79" t="str">
        <f>RIGHT(INDEX('EEPROM-Contents'!$K$4:'EEPROM-Contents'!$K$141,MATCH('EEPROM-Contents'!V7,'EEPROM-Contents'!$I$4:'EEPROM-Contents'!$I$141,0)),2)</f>
        <v>D3</v>
      </c>
      <c r="U13" s="79" t="str">
        <f>RIGHT(INDEX('EEPROM-Contents'!$K$4:'EEPROM-Contents'!$K$141,MATCH('EEPROM-Contents'!W7,'EEPROM-Contents'!$I$4:'EEPROM-Contents'!$I$141,0)),2)</f>
        <v>91</v>
      </c>
      <c r="V13" s="79" t="str">
        <f>RIGHT(INDEX('EEPROM-Contents'!$K$4:'EEPROM-Contents'!$K$141,MATCH('EEPROM-Contents'!X7,'EEPROM-Contents'!$I$4:'EEPROM-Contents'!$I$141,0)),2)</f>
        <v>1B</v>
      </c>
      <c r="W13" s="79" t="str">
        <f>RIGHT(INDEX('EEPROM-Contents'!$K$4:'EEPROM-Contents'!$K$141,MATCH('EEPROM-Contents'!Y7,'EEPROM-Contents'!$I$4:'EEPROM-Contents'!$I$141,0)),2)</f>
        <v>28</v>
      </c>
      <c r="X13" s="79" t="str">
        <f>RIGHT(INDEX('EEPROM-Contents'!$K$4:'EEPROM-Contents'!$K$141,MATCH('EEPROM-Contents'!Z7,'EEPROM-Contents'!$I$4:'EEPROM-Contents'!$I$141,0)),2)</f>
        <v>44</v>
      </c>
      <c r="Y13" s="79" t="str">
        <f>RIGHT(INDEX('EEPROM-Contents'!$K$4:'EEPROM-Contents'!$K$141,MATCH('EEPROM-Contents'!AA7,'EEPROM-Contents'!$I$4:'EEPROM-Contents'!$I$141,0)),2)</f>
        <v>00</v>
      </c>
      <c r="Z13" s="84" t="str">
        <f>RIGHT(INDEX($D$9:$D$47,MATCH('EEPROM-Contents'!AB7,$B$9:$B$47,0)),2)</f>
        <v>0A</v>
      </c>
      <c r="AA13" s="79" t="str">
        <f>RIGHT(INDEX('EEPROM-Contents'!$K$4:'EEPROM-Contents'!$K$141,MATCH('EEPROM-Contents'!AC7,'EEPROM-Contents'!$I$4:'EEPROM-Contents'!$I$141,0)),2)</f>
        <v>0F</v>
      </c>
      <c r="AB13" s="79" t="str">
        <f>RIGHT(INDEX('EEPROM-Contents'!$K$4:'EEPROM-Contents'!$K$141,MATCH('EEPROM-Contents'!AD7,'EEPROM-Contents'!$I$4:'EEPROM-Contents'!$I$141,0)),2)</f>
        <v>00</v>
      </c>
      <c r="AC13" s="79" t="str">
        <f>RIGHT(INDEX('EEPROM-Contents'!$K$4:'EEPROM-Contents'!$K$141,MATCH('EEPROM-Contents'!AE7,'EEPROM-Contents'!$I$4:'EEPROM-Contents'!$I$141,0)),2)</f>
        <v>0F</v>
      </c>
      <c r="AD13" s="79" t="str">
        <f>RIGHT(INDEX('EEPROM-Contents'!$K$4:'EEPROM-Contents'!$K$141,MATCH('EEPROM-Contents'!AF7,'EEPROM-Contents'!$I$4:'EEPROM-Contents'!$I$141,0)),2)</f>
        <v>6C</v>
      </c>
      <c r="AF13" s="81" t="str">
        <f t="shared" si="3"/>
        <v>1200CD7C0A000000000000062E2F07D3911B2844000A0F000F6C00</v>
      </c>
    </row>
    <row r="14" spans="2:32" x14ac:dyDescent="0.3">
      <c r="B14" s="85">
        <f>'EEPROM-Contents'!B38</f>
        <v>34</v>
      </c>
      <c r="C14" s="74">
        <f t="shared" ca="1" si="2"/>
        <v>4</v>
      </c>
      <c r="D14" s="77" t="str">
        <f ca="1">DEC2HEX(OFFSET('FTS-Initialization'!AC42,0,MATCH($H$4,'FTS-Initialization'!$AD$36:$AE$36,0)),2)</f>
        <v>04</v>
      </c>
      <c r="E14" s="69" t="str">
        <f>'EEPROM-Contents'!L38</f>
        <v>SEN(5) SP4B</v>
      </c>
      <c r="F14" s="70"/>
      <c r="G14" s="73"/>
      <c r="N14" s="78" t="s">
        <v>346</v>
      </c>
      <c r="O14" s="79" t="str">
        <f>RIGHT(INDEX('EEPROM-Contents'!$K$4:'EEPROM-Contents'!$K$141,MATCH('EEPROM-Contents'!Q8,'EEPROM-Contents'!$I$4:'EEPROM-Contents'!$I$141,0)),2)</f>
        <v>CC</v>
      </c>
      <c r="P14" s="79" t="str">
        <f>RIGHT(INDEX('EEPROM-Contents'!$K$4:'EEPROM-Contents'!$K$141,MATCH('EEPROM-Contents'!R8,'EEPROM-Contents'!$I$4:'EEPROM-Contents'!$I$141,0)),2)</f>
        <v>5B</v>
      </c>
      <c r="Q14" s="79" t="str">
        <f>RIGHT(INDEX('EEPROM-Contents'!$K$4:'EEPROM-Contents'!$K$141,MATCH('EEPROM-Contents'!S8,'EEPROM-Contents'!$I$4:'EEPROM-Contents'!$I$141,0)),2)</f>
        <v>F8</v>
      </c>
      <c r="R14" s="79" t="str">
        <f>RIGHT(INDEX('EEPROM-Contents'!$K$4:'EEPROM-Contents'!$K$141,MATCH('EEPROM-Contents'!T8,'EEPROM-Contents'!$I$4:'EEPROM-Contents'!$I$141,0)),2)</f>
        <v>17</v>
      </c>
      <c r="S14" s="79" t="str">
        <f>RIGHT(INDEX('EEPROM-Contents'!$K$4:'EEPROM-Contents'!$K$141,MATCH('EEPROM-Contents'!U8,'EEPROM-Contents'!$I$4:'EEPROM-Contents'!$I$141,0)),2)</f>
        <v>23</v>
      </c>
      <c r="T14" s="79" t="str">
        <f>RIGHT(INDEX('EEPROM-Contents'!$K$4:'EEPROM-Contents'!$K$141,MATCH('EEPROM-Contents'!V8,'EEPROM-Contents'!$I$4:'EEPROM-Contents'!$I$141,0)),2)</f>
        <v>9A</v>
      </c>
      <c r="U14" s="79" t="str">
        <f>RIGHT(INDEX('EEPROM-Contents'!$K$4:'EEPROM-Contents'!$K$141,MATCH('EEPROM-Contents'!W8,'EEPROM-Contents'!$I$4:'EEPROM-Contents'!$I$141,0)),2)</f>
        <v>47</v>
      </c>
      <c r="V14" s="79" t="str">
        <f>RIGHT(INDEX('EEPROM-Contents'!$K$4:'EEPROM-Contents'!$K$141,MATCH('EEPROM-Contents'!X8,'EEPROM-Contents'!$I$4:'EEPROM-Contents'!$I$141,0)),2)</f>
        <v>00</v>
      </c>
      <c r="W14" s="79" t="str">
        <f>RIGHT(INDEX('EEPROM-Contents'!$K$4:'EEPROM-Contents'!$K$141,MATCH('EEPROM-Contents'!Y8,'EEPROM-Contents'!$I$4:'EEPROM-Contents'!$I$141,0)),2)</f>
        <v>30</v>
      </c>
      <c r="X14" s="79" t="str">
        <f>RIGHT(INDEX('EEPROM-Contents'!$K$4:'EEPROM-Contents'!$K$141,MATCH('EEPROM-Contents'!Z8,'EEPROM-Contents'!$I$4:'EEPROM-Contents'!$I$141,0)),2)</f>
        <v>18</v>
      </c>
      <c r="Y14" s="79" t="str">
        <f>RIGHT(INDEX('EEPROM-Contents'!$K$4:'EEPROM-Contents'!$K$141,MATCH('EEPROM-Contents'!AA8,'EEPROM-Contents'!$I$4:'EEPROM-Contents'!$I$141,0)),2)</f>
        <v>16</v>
      </c>
      <c r="Z14" s="79" t="str">
        <f>RIGHT(INDEX('EEPROM-Contents'!$K$4:'EEPROM-Contents'!$K$141,MATCH('EEPROM-Contents'!AB8,'EEPROM-Contents'!$I$4:'EEPROM-Contents'!$I$141,0)),2)</f>
        <v>6C</v>
      </c>
      <c r="AA14" s="79" t="str">
        <f>RIGHT(INDEX('EEPROM-Contents'!$K$4:'EEPROM-Contents'!$K$141,MATCH('EEPROM-Contents'!AC8,'EEPROM-Contents'!$I$4:'EEPROM-Contents'!$I$141,0)),2)</f>
        <v>03</v>
      </c>
      <c r="AB14" s="79" t="str">
        <f>RIGHT(INDEX('EEPROM-Contents'!$K$4:'EEPROM-Contents'!$K$141,MATCH('EEPROM-Contents'!AD8,'EEPROM-Contents'!$I$4:'EEPROM-Contents'!$I$141,0)),2)</f>
        <v>60</v>
      </c>
      <c r="AC14" s="79" t="str">
        <f>RIGHT(INDEX('EEPROM-Contents'!$K$4:'EEPROM-Contents'!$K$141,MATCH('EEPROM-Contents'!AE8,'EEPROM-Contents'!$I$4:'EEPROM-Contents'!$I$141,0)),2)</f>
        <v>91</v>
      </c>
      <c r="AD14" s="79" t="str">
        <f>RIGHT(INDEX('EEPROM-Contents'!$K$4:'EEPROM-Contents'!$K$141,MATCH('EEPROM-Contents'!AF8,'EEPROM-Contents'!$I$4:'EEPROM-Contents'!$I$141,0)),2)</f>
        <v>02</v>
      </c>
      <c r="AF14" s="81" t="str">
        <f t="shared" si="3"/>
        <v>1200CD7C0A0000000000CC5BF817239A47003018166C0360910200</v>
      </c>
    </row>
    <row r="15" spans="2:32" x14ac:dyDescent="0.3">
      <c r="B15" s="85">
        <f>'EEPROM-Contents'!B39</f>
        <v>35</v>
      </c>
      <c r="C15" s="74">
        <f t="shared" ca="1" si="2"/>
        <v>4</v>
      </c>
      <c r="D15" s="77" t="str">
        <f ca="1">DEC2HEX(OFFSET('FTS-Initialization'!AC43,0,MATCH($H$4,'FTS-Initialization'!$AD$36:$AE$36,0)),2)</f>
        <v>04</v>
      </c>
      <c r="E15" s="69" t="str">
        <f>'EEPROM-Contents'!L39</f>
        <v>SEN(6) SP3B</v>
      </c>
      <c r="F15" s="70"/>
      <c r="G15" s="73"/>
      <c r="N15" s="78" t="s">
        <v>347</v>
      </c>
      <c r="O15" s="79" t="str">
        <f>RIGHT(INDEX('EEPROM-Contents'!$K$4:'EEPROM-Contents'!$K$141,MATCH('EEPROM-Contents'!Q9,'EEPROM-Contents'!$I$4:'EEPROM-Contents'!$I$141,0)),2)</f>
        <v>0E</v>
      </c>
      <c r="P15" s="79" t="str">
        <f>RIGHT(INDEX('EEPROM-Contents'!$K$4:'EEPROM-Contents'!$K$141,MATCH('EEPROM-Contents'!R9,'EEPROM-Contents'!$I$4:'EEPROM-Contents'!$I$141,0)),2)</f>
        <v>78</v>
      </c>
      <c r="Q15" s="79" t="str">
        <f>RIGHT(INDEX('EEPROM-Contents'!$K$4:'EEPROM-Contents'!$K$141,MATCH('EEPROM-Contents'!S9,'EEPROM-Contents'!$I$4:'EEPROM-Contents'!$I$141,0)),2)</f>
        <v>56</v>
      </c>
      <c r="R15" s="79" t="str">
        <f>RIGHT(INDEX('EEPROM-Contents'!$K$4:'EEPROM-Contents'!$K$141,MATCH('EEPROM-Contents'!T9,'EEPROM-Contents'!$I$4:'EEPROM-Contents'!$I$141,0)),2)</f>
        <v>10</v>
      </c>
      <c r="S15" s="79" t="str">
        <f>RIGHT(INDEX('EEPROM-Contents'!$K$4:'EEPROM-Contents'!$K$141,MATCH('EEPROM-Contents'!U9,'EEPROM-Contents'!$I$4:'EEPROM-Contents'!$I$141,0)),2)</f>
        <v>EA</v>
      </c>
      <c r="T15" s="79" t="str">
        <f>RIGHT(INDEX('EEPROM-Contents'!$K$4:'EEPROM-Contents'!$K$141,MATCH('EEPROM-Contents'!V9,'EEPROM-Contents'!$I$4:'EEPROM-Contents'!$I$141,0)),2)</f>
        <v>2A</v>
      </c>
      <c r="U15" s="79" t="str">
        <f>RIGHT(INDEX('EEPROM-Contents'!$K$4:'EEPROM-Contents'!$K$141,MATCH('EEPROM-Contents'!W9,'EEPROM-Contents'!$I$4:'EEPROM-Contents'!$I$141,0)),2)</f>
        <v>00</v>
      </c>
      <c r="V15" s="79" t="str">
        <f>RIGHT(INDEX('EEPROM-Contents'!$K$4:'EEPROM-Contents'!$K$141,MATCH('EEPROM-Contents'!X9,'EEPROM-Contents'!$I$4:'EEPROM-Contents'!$I$141,0)),2)</f>
        <v>1F</v>
      </c>
      <c r="W15" s="79" t="str">
        <f>RIGHT(INDEX('EEPROM-Contents'!$K$4:'EEPROM-Contents'!$K$141,MATCH('EEPROM-Contents'!Y9,'EEPROM-Contents'!$I$4:'EEPROM-Contents'!$I$141,0)),2)</f>
        <v>41</v>
      </c>
      <c r="X15" s="79" t="str">
        <f>RIGHT(INDEX('EEPROM-Contents'!$K$4:'EEPROM-Contents'!$K$141,MATCH('EEPROM-Contents'!Z9,'EEPROM-Contents'!$I$4:'EEPROM-Contents'!$I$141,0)),2)</f>
        <v>00</v>
      </c>
      <c r="Y15" s="79" t="str">
        <f>RIGHT(INDEX('EEPROM-Contents'!$K$4:'EEPROM-Contents'!$K$141,MATCH('EEPROM-Contents'!AA9,'EEPROM-Contents'!$I$4:'EEPROM-Contents'!$I$141,0)),2)</f>
        <v>00</v>
      </c>
      <c r="Z15" s="84" t="str">
        <f>RIGHT(INDEX($D$9:$D$47,MATCH('EEPROM-Contents'!AB9,$B$9:$B$47,0)),2)</f>
        <v>00</v>
      </c>
      <c r="AA15" s="84" t="str">
        <f>RIGHT(INDEX($D$9:$D$47,MATCH('EEPROM-Contents'!AC9,$B$9:$B$47,0)),2)</f>
        <v>CD</v>
      </c>
      <c r="AB15" s="84" t="str">
        <f>RIGHT(INDEX($D$9:$D$47,MATCH('EEPROM-Contents'!AD9,$B$9:$B$47,0)),2)</f>
        <v>7C</v>
      </c>
      <c r="AC15" s="84" t="str">
        <f>RIGHT(INDEX($D$9:$D$47,MATCH('EEPROM-Contents'!AE9,$B$9:$B$47,0)),2)</f>
        <v>0A</v>
      </c>
      <c r="AD15" s="84" t="str">
        <f>RIGHT(INDEX($D$9:$D$47,MATCH('EEPROM-Contents'!AF9,$B$9:$B$47,0)),2)</f>
        <v>89</v>
      </c>
      <c r="AF15" s="81" t="str">
        <f t="shared" si="3"/>
        <v>1200CD7C0A00000000000E785610EA2A001F41000000CD7C0A8900</v>
      </c>
    </row>
    <row r="16" spans="2:32" x14ac:dyDescent="0.3">
      <c r="B16" s="85">
        <f>'EEPROM-Contents'!B40</f>
        <v>36</v>
      </c>
      <c r="C16" s="74">
        <f t="shared" ca="1" si="2"/>
        <v>4</v>
      </c>
      <c r="D16" s="77" t="str">
        <f ca="1">DEC2HEX(OFFSET('FTS-Initialization'!AC44,0,MATCH($H$4,'FTS-Initialization'!$AD$36:$AE$36,0)),2)</f>
        <v>04</v>
      </c>
      <c r="E16" s="69" t="str">
        <f>'EEPROM-Contents'!L40</f>
        <v>SEN(7) SP2B</v>
      </c>
      <c r="F16" s="70"/>
      <c r="G16" s="73"/>
      <c r="N16" s="78" t="s">
        <v>348</v>
      </c>
      <c r="O16" s="84" t="str">
        <f ca="1">RIGHT(INDEX($D$9:$D$47,MATCH('EEPROM-Contents'!Q10,$B$9:$B$47,0)),2)</f>
        <v>07</v>
      </c>
      <c r="P16" s="84" t="str">
        <f ca="1">RIGHT(INDEX($D$9:$D$47,MATCH('EEPROM-Contents'!R10,$B$9:$B$47,0)),2)</f>
        <v>01</v>
      </c>
      <c r="Q16" s="84" t="str">
        <f ca="1">RIGHT(INDEX($D$9:$D$47,MATCH('EEPROM-Contents'!S10,$B$9:$B$47,0)),2)</f>
        <v>03</v>
      </c>
      <c r="R16" s="84" t="str">
        <f>RIGHT(INDEX($D$9:$D$47,MATCH('EEPROM-Contents'!T10,$B$9:$B$47,0)),2)</f>
        <v>03</v>
      </c>
      <c r="S16" s="84" t="str">
        <f>RIGHT(INDEX($D$9:$D$47,MATCH('EEPROM-Contents'!U10,$B$9:$B$47,0)),2)</f>
        <v>F5</v>
      </c>
      <c r="T16" s="84" t="str">
        <f>RIGHT(INDEX($D$9:$D$47,MATCH('EEPROM-Contents'!V10,$B$9:$B$47,0)),2)</f>
        <v>00</v>
      </c>
      <c r="U16" s="84" t="str">
        <f>RIGHT(INDEX($D$9:$D$47,MATCH('EEPROM-Contents'!W10,$B$9:$B$47,0)),2)</f>
        <v>00</v>
      </c>
      <c r="V16" s="84" t="str">
        <f>RIGHT(INDEX($D$9:$D$47,MATCH('EEPROM-Contents'!X10,$B$9:$B$47,0)),2)</f>
        <v>27</v>
      </c>
      <c r="W16" s="84" t="str">
        <f>RIGHT(INDEX($D$9:$D$47,MATCH('EEPROM-Contents'!Y10,$B$9:$B$47,0)),2)</f>
        <v>0F</v>
      </c>
      <c r="X16" s="84" t="str">
        <f>RIGHT(INDEX($D$9:$D$47,MATCH('EEPROM-Contents'!Z10,$B$9:$B$47,0)),2)</f>
        <v>80</v>
      </c>
      <c r="Y16" s="84" t="str">
        <f>RIGHT(INDEX($D$9:$D$47,MATCH('EEPROM-Contents'!AA10,$B$9:$B$47,0)),2)</f>
        <v>00</v>
      </c>
      <c r="Z16" s="84" t="str">
        <f>RIGHT(INDEX($D$9:$D$47,MATCH('EEPROM-Contents'!AB10,$B$9:$B$47,0)),2)</f>
        <v>80</v>
      </c>
      <c r="AA16" s="84" t="str">
        <f>RIGHT(INDEX($D$9:$D$47,MATCH('EEPROM-Contents'!AC10,$B$9:$B$47,0)),2)</f>
        <v>00</v>
      </c>
      <c r="AB16" s="84" t="str">
        <f>RIGHT(INDEX($D$9:$D$47,MATCH('EEPROM-Contents'!AD10,$B$9:$B$47,0)),2)</f>
        <v>00</v>
      </c>
      <c r="AC16" s="84" t="str">
        <f>RIGHT(INDEX($D$9:$D$47,MATCH('EEPROM-Contents'!AE10,$B$9:$B$47,0)),2)</f>
        <v>00</v>
      </c>
      <c r="AD16" s="84" t="str">
        <f>RIGHT(INDEX($D$9:$D$47,MATCH('EEPROM-Contents'!AF10,$B$9:$B$47,0)),2)</f>
        <v>00</v>
      </c>
      <c r="AF16" s="81" t="str">
        <f t="shared" ca="1" si="3"/>
        <v>1200CD7C0A000000000007010303F50000270F8000800000000000</v>
      </c>
    </row>
    <row r="17" spans="2:32" x14ac:dyDescent="0.3">
      <c r="B17" s="85">
        <f>'EEPROM-Contents'!B41</f>
        <v>37</v>
      </c>
      <c r="C17" s="74">
        <f t="shared" ca="1" si="2"/>
        <v>4</v>
      </c>
      <c r="D17" s="77" t="str">
        <f ca="1">DEC2HEX(OFFSET('FTS-Initialization'!AC45,0,MATCH($H$4,'FTS-Initialization'!$AD$36:$AE$36,0)),2)</f>
        <v>04</v>
      </c>
      <c r="E17" s="69" t="str">
        <f>'EEPROM-Contents'!L41</f>
        <v>SEN(8) SP1B</v>
      </c>
      <c r="F17" s="70"/>
      <c r="G17" s="73"/>
      <c r="N17" s="78" t="s">
        <v>349</v>
      </c>
      <c r="O17" s="84" t="str">
        <f>RIGHT(INDEX($D$9:$D$47,MATCH('EEPROM-Contents'!Q11,$B$9:$B$47,0)),2)</f>
        <v>00</v>
      </c>
      <c r="P17" s="84" t="str">
        <f>RIGHT(INDEX($D$9:$D$47,MATCH('EEPROM-Contents'!R11,$B$9:$B$47,0)),2)</f>
        <v>FF</v>
      </c>
      <c r="Q17" s="84" t="str">
        <f>RIGHT(INDEX($D$9:$D$47,MATCH('EEPROM-Contents'!S11,$B$9:$B$47,0)),2)</f>
        <v>64</v>
      </c>
      <c r="R17" s="84" t="str">
        <f>RIGHT(INDEX($D$9:$D$47,MATCH('EEPROM-Contents'!T11,$B$9:$B$47,0)),2)</f>
        <v>64</v>
      </c>
      <c r="S17" s="84" t="str">
        <f ca="1">RIGHT(INDEX($D$9:$D$47,MATCH('EEPROM-Contents'!U11,$B$9:$B$47,0)),2)</f>
        <v>23</v>
      </c>
      <c r="T17" s="79" t="str">
        <f>RIGHT(INDEX('EEPROM-Contents'!$K$4:'EEPROM-Contents'!$K$141,MATCH('EEPROM-Contents'!V11,'EEPROM-Contents'!$I$4:'EEPROM-Contents'!$I$141,0)),2)</f>
        <v>01</v>
      </c>
      <c r="U17" s="84" t="str">
        <f>RIGHT(INDEX($D$9:$D$47,MATCH('EEPROM-Contents'!W11,$B$9:$B$47,0)),2)</f>
        <v>89</v>
      </c>
      <c r="V17" s="84" t="str">
        <f ca="1">RIGHT(INDEX($D$9:$D$47,MATCH('EEPROM-Contents'!X11,$B$9:$B$47,0)),2)</f>
        <v>07</v>
      </c>
      <c r="W17" s="84" t="str">
        <f ca="1">RIGHT(INDEX($D$9:$D$47,MATCH('EEPROM-Contents'!Y11,$B$9:$B$47,0)),2)</f>
        <v>01</v>
      </c>
      <c r="X17" s="84" t="str">
        <f ca="1">RIGHT(INDEX($D$9:$D$47,MATCH('EEPROM-Contents'!Z11,$B$9:$B$47,0)),2)</f>
        <v>03</v>
      </c>
      <c r="Y17" s="84" t="str">
        <f>RIGHT(INDEX($D$9:$D$47,MATCH('EEPROM-Contents'!AA11,$B$9:$B$47,0)),2)</f>
        <v>03</v>
      </c>
      <c r="Z17" s="84" t="str">
        <f>RIGHT(INDEX($D$9:$D$47,MATCH('EEPROM-Contents'!AB11,$B$9:$B$47,0)),2)</f>
        <v>F5</v>
      </c>
      <c r="AA17" s="84" t="str">
        <f>RIGHT(INDEX($D$9:$D$47,MATCH('EEPROM-Contents'!AC11,$B$9:$B$47,0)),2)</f>
        <v>00</v>
      </c>
      <c r="AB17" s="84" t="str">
        <f>RIGHT(INDEX($D$9:$D$47,MATCH('EEPROM-Contents'!AD11,$B$9:$B$47,0)),2)</f>
        <v>00</v>
      </c>
      <c r="AC17" s="84" t="str">
        <f>RIGHT(INDEX($D$9:$D$47,MATCH('EEPROM-Contents'!AE11,$B$9:$B$47,0)),2)</f>
        <v>27</v>
      </c>
      <c r="AD17" s="84" t="str">
        <f>RIGHT(INDEX($D$9:$D$47,MATCH('EEPROM-Contents'!AF11,$B$9:$B$47,0)),2)</f>
        <v>0F</v>
      </c>
      <c r="AF17" s="81" t="str">
        <f t="shared" ca="1" si="3"/>
        <v>1200CD7C0A000000000000FF646423018907010303F50000270F00</v>
      </c>
    </row>
    <row r="18" spans="2:32" x14ac:dyDescent="0.3">
      <c r="B18" s="85">
        <f>'EEPROM-Contents'!B42</f>
        <v>38</v>
      </c>
      <c r="C18" s="74">
        <f t="shared" ca="1" si="2"/>
        <v>4</v>
      </c>
      <c r="D18" s="77" t="str">
        <f ca="1">DEC2HEX(OFFSET('FTS-Initialization'!AC46,0,MATCH($H$4,'FTS-Initialization'!$AD$36:$AE$36,0)),2)</f>
        <v>04</v>
      </c>
      <c r="E18" s="69" t="str">
        <f>'EEPROM-Contents'!L42</f>
        <v>SEN(9) CP1B</v>
      </c>
      <c r="F18" s="70"/>
      <c r="G18" s="73"/>
      <c r="N18" s="78" t="s">
        <v>350</v>
      </c>
      <c r="O18" s="84" t="str">
        <f>RIGHT(INDEX($D$9:$D$47,MATCH('EEPROM-Contents'!Q12,$B$9:$B$47,0)),2)</f>
        <v>80</v>
      </c>
      <c r="P18" s="84" t="str">
        <f>RIGHT(INDEX($D$9:$D$47,MATCH('EEPROM-Contents'!R12,$B$9:$B$47,0)),2)</f>
        <v>00</v>
      </c>
      <c r="Q18" s="84" t="str">
        <f>RIGHT(INDEX($D$9:$D$47,MATCH('EEPROM-Contents'!S12,$B$9:$B$47,0)),2)</f>
        <v>80</v>
      </c>
      <c r="R18" s="84" t="str">
        <f>RIGHT(INDEX($D$9:$D$47,MATCH('EEPROM-Contents'!T12,$B$9:$B$47,0)),2)</f>
        <v>00</v>
      </c>
      <c r="S18" s="84" t="str">
        <f>RIGHT(INDEX($D$9:$D$47,MATCH('EEPROM-Contents'!U12,$B$9:$B$47,0)),2)</f>
        <v>00</v>
      </c>
      <c r="T18" s="84" t="str">
        <f>RIGHT(INDEX($D$9:$D$47,MATCH('EEPROM-Contents'!V12,$B$9:$B$47,0)),2)</f>
        <v>00</v>
      </c>
      <c r="U18" s="84" t="str">
        <f>RIGHT(INDEX($D$9:$D$47,MATCH('EEPROM-Contents'!W12,$B$9:$B$47,0)),2)</f>
        <v>00</v>
      </c>
      <c r="V18" s="84" t="str">
        <f>RIGHT(INDEX($D$9:$D$47,MATCH('EEPROM-Contents'!X12,$B$9:$B$47,0)),2)</f>
        <v>00</v>
      </c>
      <c r="W18" s="84" t="str">
        <f>RIGHT(INDEX($D$9:$D$47,MATCH('EEPROM-Contents'!Y12,$B$9:$B$47,0)),2)</f>
        <v>FF</v>
      </c>
      <c r="X18" s="84" t="str">
        <f>RIGHT(INDEX($D$9:$D$47,MATCH('EEPROM-Contents'!Z12,$B$9:$B$47,0)),2)</f>
        <v>64</v>
      </c>
      <c r="Y18" s="84" t="str">
        <f>RIGHT(INDEX($D$9:$D$47,MATCH('EEPROM-Contents'!AA12,$B$9:$B$47,0)),2)</f>
        <v>64</v>
      </c>
      <c r="Z18" s="84" t="str">
        <f ca="1">RIGHT(INDEX($D$9:$D$47,MATCH('EEPROM-Contents'!AB12,$B$9:$B$47,0)),2)</f>
        <v>23</v>
      </c>
      <c r="AA18" s="79" t="str">
        <f>RIGHT(INDEX('EEPROM-Contents'!$K$4:'EEPROM-Contents'!$K$141,MATCH('EEPROM-Contents'!AC12,'EEPROM-Contents'!$I$4:'EEPROM-Contents'!$I$141,0)),2)</f>
        <v>02</v>
      </c>
      <c r="AB18" s="84" t="str">
        <f>RIGHT(INDEX($D$9:$D$47,MATCH('EEPROM-Contents'!AD12,$B$9:$B$47,0)),2)</f>
        <v>89</v>
      </c>
      <c r="AC18" s="84" t="str">
        <f ca="1">RIGHT(INDEX($D$9:$D$47,MATCH('EEPROM-Contents'!AE12,$B$9:$B$47,0)),2)</f>
        <v>07</v>
      </c>
      <c r="AD18" s="84" t="str">
        <f ca="1">RIGHT(INDEX($D$9:$D$47,MATCH('EEPROM-Contents'!AF12,$B$9:$B$47,0)),2)</f>
        <v>01</v>
      </c>
      <c r="AF18" s="81" t="str">
        <f t="shared" ca="1" si="3"/>
        <v>1200CD7C0A00000000008000800000000000FF6464230289070100</v>
      </c>
    </row>
    <row r="19" spans="2:32" x14ac:dyDescent="0.3">
      <c r="B19" s="85">
        <f>'EEPROM-Contents'!I19</f>
        <v>15</v>
      </c>
      <c r="C19" s="77">
        <f>HEX2DEC(D19)</f>
        <v>239</v>
      </c>
      <c r="D19" s="77" t="str">
        <f>'FTS-Initialization'!AA32</f>
        <v>EF</v>
      </c>
      <c r="E19" s="69" t="str">
        <f>'EEPROM-Contents'!L19</f>
        <v>GAINC</v>
      </c>
      <c r="F19" s="70"/>
      <c r="G19" s="73"/>
      <c r="N19" s="78" t="s">
        <v>351</v>
      </c>
      <c r="O19" s="84" t="str">
        <f ca="1">RIGHT(INDEX($D$9:$D$47,MATCH('EEPROM-Contents'!Q13,$B$9:$B$47,0)),2)</f>
        <v>03</v>
      </c>
      <c r="P19" s="84" t="str">
        <f>RIGHT(INDEX($D$9:$D$47,MATCH('EEPROM-Contents'!R13,$B$9:$B$47,0)),2)</f>
        <v>03</v>
      </c>
      <c r="Q19" s="84" t="str">
        <f>RIGHT(INDEX($D$9:$D$47,MATCH('EEPROM-Contents'!S13,$B$9:$B$47,0)),2)</f>
        <v>F5</v>
      </c>
      <c r="R19" s="84" t="str">
        <f>RIGHT(INDEX($D$9:$D$47,MATCH('EEPROM-Contents'!T13,$B$9:$B$47,0)),2)</f>
        <v>00</v>
      </c>
      <c r="S19" s="84" t="str">
        <f>RIGHT(INDEX($D$9:$D$47,MATCH('EEPROM-Contents'!U13,$B$9:$B$47,0)),2)</f>
        <v>00</v>
      </c>
      <c r="T19" s="84" t="str">
        <f>RIGHT(INDEX($D$9:$D$47,MATCH('EEPROM-Contents'!V13,$B$9:$B$47,0)),2)</f>
        <v>27</v>
      </c>
      <c r="U19" s="84" t="str">
        <f>RIGHT(INDEX($D$9:$D$47,MATCH('EEPROM-Contents'!W13,$B$9:$B$47,0)),2)</f>
        <v>0F</v>
      </c>
      <c r="V19" s="84" t="str">
        <f>RIGHT(INDEX($D$9:$D$47,MATCH('EEPROM-Contents'!X13,$B$9:$B$47,0)),2)</f>
        <v>80</v>
      </c>
      <c r="W19" s="84" t="str">
        <f>RIGHT(INDEX($D$9:$D$47,MATCH('EEPROM-Contents'!Y13,$B$9:$B$47,0)),2)</f>
        <v>00</v>
      </c>
      <c r="X19" s="84" t="str">
        <f>RIGHT(INDEX($D$9:$D$47,MATCH('EEPROM-Contents'!Z13,$B$9:$B$47,0)),2)</f>
        <v>80</v>
      </c>
      <c r="Y19" s="84" t="str">
        <f>RIGHT(INDEX($D$9:$D$47,MATCH('EEPROM-Contents'!AA13,$B$9:$B$47,0)),2)</f>
        <v>00</v>
      </c>
      <c r="Z19" s="84" t="str">
        <f>RIGHT(INDEX($D$9:$D$47,MATCH('EEPROM-Contents'!AB13,$B$9:$B$47,0)),2)</f>
        <v>00</v>
      </c>
      <c r="AA19" s="84" t="str">
        <f>RIGHT(INDEX($D$9:$D$47,MATCH('EEPROM-Contents'!AC13,$B$9:$B$47,0)),2)</f>
        <v>00</v>
      </c>
      <c r="AB19" s="84" t="str">
        <f>RIGHT(INDEX($D$9:$D$47,MATCH('EEPROM-Contents'!AD13,$B$9:$B$47,0)),2)</f>
        <v>00</v>
      </c>
      <c r="AC19" s="84" t="str">
        <f>RIGHT(INDEX($D$9:$D$47,MATCH('EEPROM-Contents'!AE13,$B$9:$B$47,0)),2)</f>
        <v>00</v>
      </c>
      <c r="AD19" s="84" t="str">
        <f>RIGHT(INDEX($D$9:$D$47,MATCH('EEPROM-Contents'!AF13,$B$9:$B$47,0)),2)</f>
        <v>FF</v>
      </c>
      <c r="AF19" s="81" t="str">
        <f t="shared" ca="1" si="3"/>
        <v>1200CD7C0A00000000000303F50000270F8000800000000000FF00</v>
      </c>
    </row>
    <row r="20" spans="2:32" x14ac:dyDescent="0.3">
      <c r="B20" s="85">
        <f>'EEPROM-Contents'!B51</f>
        <v>47</v>
      </c>
      <c r="C20" s="74">
        <f t="shared" si="2"/>
        <v>132</v>
      </c>
      <c r="D20" s="77">
        <f>$G$4</f>
        <v>84</v>
      </c>
      <c r="E20" s="69" t="str">
        <f>'EEPROM-Contents'!E51</f>
        <v>PATBL</v>
      </c>
      <c r="F20" s="70"/>
      <c r="G20" s="73"/>
      <c r="I20" s="183"/>
      <c r="J20" s="187" t="s">
        <v>514</v>
      </c>
      <c r="K20" s="184"/>
      <c r="N20" s="78" t="s">
        <v>352</v>
      </c>
      <c r="O20" s="84" t="str">
        <f>RIGHT(INDEX($D$9:$D$47,MATCH('EEPROM-Contents'!Q14,$B$9:$B$47,0)),2)</f>
        <v>64</v>
      </c>
      <c r="P20" s="84" t="str">
        <f>RIGHT(INDEX($D$9:$D$47,MATCH('EEPROM-Contents'!R14,$B$9:$B$47,0)),2)</f>
        <v>64</v>
      </c>
      <c r="Q20" s="84" t="str">
        <f ca="1">RIGHT(INDEX($D$9:$D$47,MATCH('EEPROM-Contents'!S14,$B$9:$B$47,0)),2)</f>
        <v>23</v>
      </c>
      <c r="R20" s="79" t="str">
        <f>RIGHT(INDEX('EEPROM-Contents'!$K$4:'EEPROM-Contents'!$K$141,MATCH('EEPROM-Contents'!T14,'EEPROM-Contents'!$I$4:'EEPROM-Contents'!$I$141,0)),2)</f>
        <v>03</v>
      </c>
      <c r="S20" s="84" t="str">
        <f>RIGHT(INDEX($D$9:$D$47,MATCH('EEPROM-Contents'!U14,$B$9:$B$47,0)),2)</f>
        <v>89</v>
      </c>
      <c r="T20" s="84" t="str">
        <f ca="1">RIGHT(INDEX($D$9:$D$47,MATCH('EEPROM-Contents'!V14,$B$9:$B$47,0)),2)</f>
        <v>07</v>
      </c>
      <c r="U20" s="84" t="str">
        <f ca="1">RIGHT(INDEX($D$9:$D$47,MATCH('EEPROM-Contents'!W14,$B$9:$B$47,0)),2)</f>
        <v>01</v>
      </c>
      <c r="V20" s="84" t="str">
        <f ca="1">RIGHT(INDEX($D$9:$D$47,MATCH('EEPROM-Contents'!X14,$B$9:$B$47,0)),2)</f>
        <v>03</v>
      </c>
      <c r="W20" s="84" t="str">
        <f>RIGHT(INDEX($D$9:$D$47,MATCH('EEPROM-Contents'!Y14,$B$9:$B$47,0)),2)</f>
        <v>03</v>
      </c>
      <c r="X20" s="84" t="str">
        <f>RIGHT(INDEX($D$9:$D$47,MATCH('EEPROM-Contents'!Z14,$B$9:$B$47,0)),2)</f>
        <v>F5</v>
      </c>
      <c r="Y20" s="84" t="str">
        <f>RIGHT(INDEX($D$9:$D$47,MATCH('EEPROM-Contents'!AA14,$B$9:$B$47,0)),2)</f>
        <v>00</v>
      </c>
      <c r="Z20" s="84" t="str">
        <f>RIGHT(INDEX($D$9:$D$47,MATCH('EEPROM-Contents'!AB14,$B$9:$B$47,0)),2)</f>
        <v>00</v>
      </c>
      <c r="AA20" s="84" t="str">
        <f>RIGHT(INDEX($D$9:$D$47,MATCH('EEPROM-Contents'!AC14,$B$9:$B$47,0)),2)</f>
        <v>27</v>
      </c>
      <c r="AB20" s="84" t="str">
        <f>RIGHT(INDEX($D$9:$D$47,MATCH('EEPROM-Contents'!AD14,$B$9:$B$47,0)),2)</f>
        <v>0F</v>
      </c>
      <c r="AC20" s="84" t="str">
        <f>RIGHT(INDEX($D$9:$D$47,MATCH('EEPROM-Contents'!AE14,$B$9:$B$47,0)),2)</f>
        <v>80</v>
      </c>
      <c r="AD20" s="84" t="str">
        <f>RIGHT(INDEX($D$9:$D$47,MATCH('EEPROM-Contents'!AF14,$B$9:$B$47,0)),2)</f>
        <v>00</v>
      </c>
      <c r="AF20" s="81" t="str">
        <f t="shared" ca="1" si="3"/>
        <v>1200CD7C0A0000000000646423038907010303F50000270F800000</v>
      </c>
    </row>
    <row r="21" spans="2:32" x14ac:dyDescent="0.3">
      <c r="B21" s="85">
        <f>'EEPROM-Contents'!B63</f>
        <v>59</v>
      </c>
      <c r="C21" s="74">
        <f t="shared" si="2"/>
        <v>10</v>
      </c>
      <c r="D21" s="77" t="str">
        <f>DEC2HEX(2*$C$4,2)</f>
        <v>0A</v>
      </c>
      <c r="E21" s="69" t="str">
        <f>'EEPROM-Contents'!E63</f>
        <v>CHANNR</v>
      </c>
      <c r="F21" s="70"/>
      <c r="G21" s="73"/>
      <c r="I21" s="94"/>
      <c r="J21" s="94" t="s">
        <v>509</v>
      </c>
      <c r="K21" s="94" t="s">
        <v>510</v>
      </c>
      <c r="N21" s="78" t="s">
        <v>353</v>
      </c>
      <c r="O21" s="84" t="str">
        <f>RIGHT(INDEX($D$9:$D$47,MATCH('EEPROM-Contents'!Q15,$B$9:$B$47,0)),2)</f>
        <v>80</v>
      </c>
      <c r="P21" s="84" t="str">
        <f>RIGHT(INDEX($D$9:$D$47,MATCH('EEPROM-Contents'!R15,$B$9:$B$47,0)),2)</f>
        <v>00</v>
      </c>
      <c r="Q21" s="84" t="str">
        <f>RIGHT(INDEX($D$9:$D$47,MATCH('EEPROM-Contents'!S15,$B$9:$B$47,0)),2)</f>
        <v>00</v>
      </c>
      <c r="R21" s="84" t="str">
        <f>RIGHT(INDEX($D$9:$D$47,MATCH('EEPROM-Contents'!T15,$B$9:$B$47,0)),2)</f>
        <v>00</v>
      </c>
      <c r="S21" s="84" t="str">
        <f>RIGHT(INDEX($D$9:$D$47,MATCH('EEPROM-Contents'!U15,$B$9:$B$47,0)),2)</f>
        <v>00</v>
      </c>
      <c r="T21" s="84" t="str">
        <f>RIGHT(INDEX($D$9:$D$47,MATCH('EEPROM-Contents'!V15,$B$9:$B$47,0)),2)</f>
        <v>00</v>
      </c>
      <c r="U21" s="84" t="str">
        <f>RIGHT(INDEX($D$9:$D$47,MATCH('EEPROM-Contents'!W15,$B$9:$B$47,0)),2)</f>
        <v>FF</v>
      </c>
      <c r="V21" s="84" t="str">
        <f>RIGHT(INDEX($D$9:$D$47,MATCH('EEPROM-Contents'!X15,$B$9:$B$47,0)),2)</f>
        <v>64</v>
      </c>
      <c r="W21" s="84" t="str">
        <f>RIGHT(INDEX($D$9:$D$47,MATCH('EEPROM-Contents'!Y15,$B$9:$B$47,0)),2)</f>
        <v>64</v>
      </c>
      <c r="X21" s="84" t="str">
        <f ca="1">RIGHT(INDEX($D$9:$D$47,MATCH('EEPROM-Contents'!Z15,$B$9:$B$47,0)),2)</f>
        <v>23</v>
      </c>
      <c r="Y21" s="79" t="str">
        <f>RIGHT(INDEX('EEPROM-Contents'!$K$4:'EEPROM-Contents'!$K$141,MATCH('EEPROM-Contents'!AA15,'EEPROM-Contents'!$I$4:'EEPROM-Contents'!$I$141,0)),2)</f>
        <v>04</v>
      </c>
      <c r="Z21" s="84" t="str">
        <f>RIGHT(INDEX($D$9:$D$47,MATCH('EEPROM-Contents'!AB15,$B$9:$B$47,0)),2)</f>
        <v>89</v>
      </c>
      <c r="AA21" s="84" t="str">
        <f ca="1">RIGHT(INDEX($D$9:$D$47,MATCH('EEPROM-Contents'!AC15,$B$9:$B$47,0)),2)</f>
        <v>07</v>
      </c>
      <c r="AB21" s="84" t="str">
        <f ca="1">RIGHT(INDEX($D$9:$D$47,MATCH('EEPROM-Contents'!AD15,$B$9:$B$47,0)),2)</f>
        <v>01</v>
      </c>
      <c r="AC21" s="84" t="str">
        <f ca="1">RIGHT(INDEX($D$9:$D$47,MATCH('EEPROM-Contents'!AE15,$B$9:$B$47,0)),2)</f>
        <v>03</v>
      </c>
      <c r="AD21" s="84" t="str">
        <f>RIGHT(INDEX($D$9:$D$47,MATCH('EEPROM-Contents'!AF15,$B$9:$B$47,0)),2)</f>
        <v>03</v>
      </c>
      <c r="AF21" s="81" t="str">
        <f t="shared" ca="1" si="3"/>
        <v>1200CD7C0A0000000000800000000000FF64642304890701030300</v>
      </c>
    </row>
    <row r="22" spans="2:32" x14ac:dyDescent="0.3">
      <c r="B22" s="85">
        <f>'EEPROM-Contents'!B95</f>
        <v>91</v>
      </c>
      <c r="C22" s="77">
        <f>HEX2DEC(D22)</f>
        <v>0</v>
      </c>
      <c r="D22" s="77" t="str">
        <f>LEFT(RIGHT($E$5,8),2)</f>
        <v>00</v>
      </c>
      <c r="E22" s="69" t="str">
        <f>'EEPROM-Contents'!L95</f>
        <v>Device ID</v>
      </c>
      <c r="F22" s="70"/>
      <c r="G22" s="73"/>
      <c r="I22" s="94" t="s">
        <v>513</v>
      </c>
      <c r="J22" s="186">
        <v>32768</v>
      </c>
      <c r="K22" s="186">
        <v>32768</v>
      </c>
      <c r="N22" s="78" t="s">
        <v>354</v>
      </c>
      <c r="O22" s="84" t="str">
        <f>RIGHT(INDEX($D$9:$D$47,MATCH('EEPROM-Contents'!Q16,$B$9:$B$47,0)),2)</f>
        <v>F5</v>
      </c>
      <c r="P22" s="84" t="str">
        <f>RIGHT(INDEX($D$9:$D$47,MATCH('EEPROM-Contents'!R16,$B$9:$B$47,0)),2)</f>
        <v>00</v>
      </c>
      <c r="Q22" s="84" t="str">
        <f>RIGHT(INDEX($D$9:$D$47,MATCH('EEPROM-Contents'!S16,$B$9:$B$47,0)),2)</f>
        <v>00</v>
      </c>
      <c r="R22" s="84" t="str">
        <f>RIGHT(INDEX($D$9:$D$47,MATCH('EEPROM-Contents'!T16,$B$9:$B$47,0)),2)</f>
        <v>27</v>
      </c>
      <c r="S22" s="84" t="str">
        <f>RIGHT(INDEX($D$9:$D$47,MATCH('EEPROM-Contents'!U16,$B$9:$B$47,0)),2)</f>
        <v>0F</v>
      </c>
      <c r="T22" s="84" t="str">
        <f>RIGHT(INDEX($D$9:$D$47,MATCH('EEPROM-Contents'!V16,$B$9:$B$47,0)),2)</f>
        <v>80</v>
      </c>
      <c r="U22" s="84" t="str">
        <f>RIGHT(INDEX($D$9:$D$47,MATCH('EEPROM-Contents'!W16,$B$9:$B$47,0)),2)</f>
        <v>00</v>
      </c>
      <c r="V22" s="84" t="str">
        <f>RIGHT(INDEX($D$9:$D$47,MATCH('EEPROM-Contents'!X16,$B$9:$B$47,0)),2)</f>
        <v>80</v>
      </c>
      <c r="W22" s="84" t="str">
        <f>RIGHT(INDEX($D$9:$D$47,MATCH('EEPROM-Contents'!Y16,$B$9:$B$47,0)),2)</f>
        <v>00</v>
      </c>
      <c r="X22" s="84" t="str">
        <f>RIGHT(INDEX($D$9:$D$47,MATCH('EEPROM-Contents'!Z16,$B$9:$B$47,0)),2)</f>
        <v>00</v>
      </c>
      <c r="Y22" s="84" t="str">
        <f>RIGHT(INDEX($D$9:$D$47,MATCH('EEPROM-Contents'!AA16,$B$9:$B$47,0)),2)</f>
        <v>00</v>
      </c>
      <c r="Z22" s="84" t="str">
        <f>RIGHT(INDEX($D$9:$D$47,MATCH('EEPROM-Contents'!AB16,$B$9:$B$47,0)),2)</f>
        <v>00</v>
      </c>
      <c r="AA22" s="84" t="str">
        <f>RIGHT(INDEX($D$9:$D$47,MATCH('EEPROM-Contents'!AC16,$B$9:$B$47,0)),2)</f>
        <v>00</v>
      </c>
      <c r="AB22" s="84" t="str">
        <f>RIGHT(INDEX($D$9:$D$47,MATCH('EEPROM-Contents'!AD16,$B$9:$B$47,0)),2)</f>
        <v>FF</v>
      </c>
      <c r="AC22" s="84" t="str">
        <f>RIGHT(INDEX($D$9:$D$47,MATCH('EEPROM-Contents'!AE16,$B$9:$B$47,0)),2)</f>
        <v>64</v>
      </c>
      <c r="AD22" s="84" t="str">
        <f>RIGHT(INDEX($D$9:$D$47,MATCH('EEPROM-Contents'!AF16,$B$9:$B$47,0)),2)</f>
        <v>64</v>
      </c>
      <c r="AF22" s="81" t="str">
        <f t="shared" si="3"/>
        <v>1200CD7C0A0000000000F50000270F8000800000000000FF646400</v>
      </c>
    </row>
    <row r="23" spans="2:32" x14ac:dyDescent="0.3">
      <c r="B23" s="85">
        <f>'EEPROM-Contents'!B96</f>
        <v>92</v>
      </c>
      <c r="C23" s="77">
        <f t="shared" ref="C23:C46" si="4">HEX2DEC(D23)</f>
        <v>205</v>
      </c>
      <c r="D23" s="77" t="str">
        <f>LEFT(RIGHT($E$5,6),2)</f>
        <v>CD</v>
      </c>
      <c r="E23" s="69" t="str">
        <f>'EEPROM-Contents'!L96</f>
        <v>Device ID</v>
      </c>
      <c r="F23" s="70"/>
      <c r="G23" s="73"/>
      <c r="I23" s="94" t="s">
        <v>511</v>
      </c>
      <c r="J23" s="186" t="str">
        <f>LEFT(DEC2HEX(J22,4),2)</f>
        <v>80</v>
      </c>
      <c r="K23" s="186" t="str">
        <f t="shared" ref="K23" si="5">LEFT(DEC2HEX(K22,4),2)</f>
        <v>80</v>
      </c>
      <c r="N23" s="78" t="s">
        <v>355</v>
      </c>
      <c r="O23" s="84" t="str">
        <f ca="1">RIGHT(INDEX($D$9:$D$47,MATCH('EEPROM-Contents'!Q17,$B$9:$B$47,0)),2)</f>
        <v>23</v>
      </c>
      <c r="P23" s="79" t="str">
        <f>RIGHT(INDEX('EEPROM-Contents'!$K$4:'EEPROM-Contents'!$K$141,MATCH('EEPROM-Contents'!R17,'EEPROM-Contents'!$I$4:'EEPROM-Contents'!$I$141,0)),2)</f>
        <v>05</v>
      </c>
      <c r="Q23" s="84" t="str">
        <f>RIGHT(INDEX($D$9:$D$47,MATCH('EEPROM-Contents'!S17,$B$9:$B$47,0)),2)</f>
        <v>89</v>
      </c>
      <c r="R23" s="84" t="str">
        <f ca="1">RIGHT(INDEX($D$9:$D$47,MATCH('EEPROM-Contents'!T17,$B$9:$B$47,0)),2)</f>
        <v>07</v>
      </c>
      <c r="S23" s="84" t="str">
        <f ca="1">RIGHT(INDEX($D$9:$D$47,MATCH('EEPROM-Contents'!U17,$B$9:$B$47,0)),2)</f>
        <v>01</v>
      </c>
      <c r="T23" s="84" t="str">
        <f ca="1">RIGHT(INDEX($D$9:$D$47,MATCH('EEPROM-Contents'!V17,$B$9:$B$47,0)),2)</f>
        <v>03</v>
      </c>
      <c r="U23" s="84" t="str">
        <f>RIGHT(INDEX($D$9:$D$47,MATCH('EEPROM-Contents'!W17,$B$9:$B$47,0)),2)</f>
        <v>03</v>
      </c>
      <c r="V23" s="84" t="str">
        <f>RIGHT(INDEX($D$9:$D$47,MATCH('EEPROM-Contents'!X17,$B$9:$B$47,0)),2)</f>
        <v>F5</v>
      </c>
      <c r="W23" s="84" t="str">
        <f>RIGHT(INDEX($D$9:$D$47,MATCH('EEPROM-Contents'!Y17,$B$9:$B$47,0)),2)</f>
        <v>00</v>
      </c>
      <c r="X23" s="84" t="str">
        <f>RIGHT(INDEX($D$9:$D$47,MATCH('EEPROM-Contents'!Z17,$B$9:$B$47,0)),2)</f>
        <v>00</v>
      </c>
      <c r="Y23" s="84" t="str">
        <f>RIGHT(INDEX($D$9:$D$47,MATCH('EEPROM-Contents'!AA17,$B$9:$B$47,0)),2)</f>
        <v>27</v>
      </c>
      <c r="Z23" s="84" t="str">
        <f>RIGHT(INDEX($D$9:$D$47,MATCH('EEPROM-Contents'!AB17,$B$9:$B$47,0)),2)</f>
        <v>0F</v>
      </c>
      <c r="AA23" s="84" t="str">
        <f>RIGHT(INDEX($D$9:$D$47,MATCH('EEPROM-Contents'!AC17,$B$9:$B$47,0)),2)</f>
        <v>80</v>
      </c>
      <c r="AB23" s="84" t="str">
        <f>RIGHT(INDEX($D$9:$D$47,MATCH('EEPROM-Contents'!AD17,$B$9:$B$47,0)),2)</f>
        <v>00</v>
      </c>
      <c r="AC23" s="84" t="str">
        <f>RIGHT(INDEX($D$9:$D$47,MATCH('EEPROM-Contents'!AE17,$B$9:$B$47,0)),2)</f>
        <v>80</v>
      </c>
      <c r="AD23" s="84" t="str">
        <f>RIGHT(INDEX($D$9:$D$47,MATCH('EEPROM-Contents'!AF17,$B$9:$B$47,0)),2)</f>
        <v>00</v>
      </c>
      <c r="AF23" s="81" t="str">
        <f t="shared" ca="1" si="3"/>
        <v>1200CD7C0A000000000023058907010303F50000270F8000800000</v>
      </c>
    </row>
    <row r="24" spans="2:32" x14ac:dyDescent="0.3">
      <c r="B24" s="85">
        <f>'EEPROM-Contents'!B97</f>
        <v>93</v>
      </c>
      <c r="C24" s="77">
        <f t="shared" si="4"/>
        <v>124</v>
      </c>
      <c r="D24" s="77" t="str">
        <f>LEFT(RIGHT($E$5,4),2)</f>
        <v>7C</v>
      </c>
      <c r="E24" s="69" t="str">
        <f>'EEPROM-Contents'!L97</f>
        <v>Device ID</v>
      </c>
      <c r="F24" s="70"/>
      <c r="G24" s="73"/>
      <c r="I24" s="94" t="s">
        <v>512</v>
      </c>
      <c r="J24" s="186" t="str">
        <f>RIGHT(DEC2HEX(J22,4),2)</f>
        <v>00</v>
      </c>
      <c r="K24" s="186" t="str">
        <f t="shared" ref="K24" si="6">RIGHT(DEC2HEX(K22,4),2)</f>
        <v>00</v>
      </c>
      <c r="N24" s="78" t="s">
        <v>356</v>
      </c>
      <c r="O24" s="84" t="str">
        <f>RIGHT(INDEX($D$9:$D$47,MATCH('EEPROM-Contents'!Q18,$B$9:$B$47,0)),2)</f>
        <v>00</v>
      </c>
      <c r="P24" s="84" t="str">
        <f>RIGHT(INDEX($D$9:$D$47,MATCH('EEPROM-Contents'!R18,$B$9:$B$47,0)),2)</f>
        <v>00</v>
      </c>
      <c r="Q24" s="84" t="str">
        <f>RIGHT(INDEX($D$9:$D$47,MATCH('EEPROM-Contents'!S18,$B$9:$B$47,0)),2)</f>
        <v>00</v>
      </c>
      <c r="R24" s="84" t="str">
        <f>RIGHT(INDEX($D$9:$D$47,MATCH('EEPROM-Contents'!T18,$B$9:$B$47,0)),2)</f>
        <v>00</v>
      </c>
      <c r="S24" s="84" t="str">
        <f>RIGHT(INDEX($D$9:$D$47,MATCH('EEPROM-Contents'!U18,$B$9:$B$47,0)),2)</f>
        <v>FF</v>
      </c>
      <c r="T24" s="84" t="str">
        <f>RIGHT(INDEX($D$9:$D$47,MATCH('EEPROM-Contents'!V18,$B$9:$B$47,0)),2)</f>
        <v>64</v>
      </c>
      <c r="U24" s="84" t="str">
        <f>RIGHT(INDEX($D$9:$D$47,MATCH('EEPROM-Contents'!W18,$B$9:$B$47,0)),2)</f>
        <v>64</v>
      </c>
      <c r="V24" s="84" t="str">
        <f ca="1">RIGHT(INDEX($D$9:$D$47,MATCH('EEPROM-Contents'!X18,$B$9:$B$47,0)),2)</f>
        <v>23</v>
      </c>
      <c r="W24" s="79" t="str">
        <f>RIGHT(INDEX('EEPROM-Contents'!$K$4:'EEPROM-Contents'!$K$141,MATCH('EEPROM-Contents'!Y18,'EEPROM-Contents'!$I$4:'EEPROM-Contents'!$I$141,0)),2)</f>
        <v>06</v>
      </c>
      <c r="X24" s="84" t="str">
        <f>RIGHT(INDEX($D$9:$D$47,MATCH('EEPROM-Contents'!Z18,$B$9:$B$47,0)),2)</f>
        <v>89</v>
      </c>
      <c r="Y24" s="84" t="str">
        <f ca="1">RIGHT(INDEX($D$9:$D$47,MATCH('EEPROM-Contents'!AA18,$B$9:$B$47,0)),2)</f>
        <v>07</v>
      </c>
      <c r="Z24" s="84" t="str">
        <f ca="1">RIGHT(INDEX($D$9:$D$47,MATCH('EEPROM-Contents'!AB18,$B$9:$B$47,0)),2)</f>
        <v>01</v>
      </c>
      <c r="AA24" s="84" t="str">
        <f ca="1">RIGHT(INDEX($D$9:$D$47,MATCH('EEPROM-Contents'!AC18,$B$9:$B$47,0)),2)</f>
        <v>03</v>
      </c>
      <c r="AB24" s="84" t="str">
        <f>RIGHT(INDEX($D$9:$D$47,MATCH('EEPROM-Contents'!AD18,$B$9:$B$47,0)),2)</f>
        <v>03</v>
      </c>
      <c r="AC24" s="84" t="str">
        <f>RIGHT(INDEX($D$9:$D$47,MATCH('EEPROM-Contents'!AE18,$B$9:$B$47,0)),2)</f>
        <v>F5</v>
      </c>
      <c r="AD24" s="84" t="str">
        <f>RIGHT(INDEX($D$9:$D$47,MATCH('EEPROM-Contents'!AF18,$B$9:$B$47,0)),2)</f>
        <v>00</v>
      </c>
      <c r="AF24" s="81" t="str">
        <f t="shared" ca="1" si="3"/>
        <v>1200CD7C0A000000000000000000FF646423068907010303F50000</v>
      </c>
    </row>
    <row r="25" spans="2:32" x14ac:dyDescent="0.3">
      <c r="B25" s="85">
        <f>'EEPROM-Contents'!B98</f>
        <v>94</v>
      </c>
      <c r="C25" s="77">
        <f t="shared" si="4"/>
        <v>10</v>
      </c>
      <c r="D25" s="77" t="str">
        <f>LEFT(RIGHT($E$5,2),2)</f>
        <v>0A</v>
      </c>
      <c r="E25" s="69" t="str">
        <f>'EEPROM-Contents'!L98</f>
        <v>Device ID</v>
      </c>
      <c r="F25" s="70"/>
      <c r="G25" s="73"/>
      <c r="I25" s="27"/>
      <c r="J25" s="27"/>
      <c r="K25" s="27"/>
      <c r="N25" s="78" t="s">
        <v>357</v>
      </c>
      <c r="O25" s="84" t="str">
        <f>RIGHT(INDEX($D$9:$D$47,MATCH('EEPROM-Contents'!Q19,$B$9:$B$47,0)),2)</f>
        <v>00</v>
      </c>
      <c r="P25" s="84" t="str">
        <f>RIGHT(INDEX($D$9:$D$47,MATCH('EEPROM-Contents'!R19,$B$9:$B$47,0)),2)</f>
        <v>27</v>
      </c>
      <c r="Q25" s="84" t="str">
        <f>RIGHT(INDEX($D$9:$D$47,MATCH('EEPROM-Contents'!S19,$B$9:$B$47,0)),2)</f>
        <v>0F</v>
      </c>
      <c r="R25" s="84" t="str">
        <f>RIGHT(INDEX($D$9:$D$47,MATCH('EEPROM-Contents'!T19,$B$9:$B$47,0)),2)</f>
        <v>80</v>
      </c>
      <c r="S25" s="84" t="str">
        <f>RIGHT(INDEX($D$9:$D$47,MATCH('EEPROM-Contents'!U19,$B$9:$B$47,0)),2)</f>
        <v>00</v>
      </c>
      <c r="T25" s="84" t="str">
        <f>RIGHT(INDEX($D$9:$D$47,MATCH('EEPROM-Contents'!V19,$B$9:$B$47,0)),2)</f>
        <v>80</v>
      </c>
      <c r="U25" s="84" t="str">
        <f>RIGHT(INDEX($D$9:$D$47,MATCH('EEPROM-Contents'!W19,$B$9:$B$47,0)),2)</f>
        <v>00</v>
      </c>
      <c r="V25" s="84" t="str">
        <f>RIGHT(INDEX($D$9:$D$47,MATCH('EEPROM-Contents'!X19,$B$9:$B$47,0)),2)</f>
        <v>00</v>
      </c>
      <c r="W25" s="84" t="str">
        <f>RIGHT(INDEX($D$9:$D$47,MATCH('EEPROM-Contents'!Y19,$B$9:$B$47,0)),2)</f>
        <v>00</v>
      </c>
      <c r="X25" s="84" t="str">
        <f>RIGHT(INDEX($D$9:$D$47,MATCH('EEPROM-Contents'!Z19,$B$9:$B$47,0)),2)</f>
        <v>00</v>
      </c>
      <c r="Y25" s="84" t="str">
        <f>RIGHT(INDEX($D$9:$D$47,MATCH('EEPROM-Contents'!AA19,$B$9:$B$47,0)),2)</f>
        <v>00</v>
      </c>
      <c r="Z25" s="84" t="str">
        <f>RIGHT(INDEX($D$9:$D$47,MATCH('EEPROM-Contents'!AB19,$B$9:$B$47,0)),2)</f>
        <v>FF</v>
      </c>
      <c r="AA25" s="84" t="str">
        <f>RIGHT(INDEX($D$9:$D$47,MATCH('EEPROM-Contents'!AC19,$B$9:$B$47,0)),2)</f>
        <v>64</v>
      </c>
      <c r="AB25" s="84" t="str">
        <f>RIGHT(INDEX($D$9:$D$47,MATCH('EEPROM-Contents'!AD19,$B$9:$B$47,0)),2)</f>
        <v>64</v>
      </c>
      <c r="AC25" s="84" t="str">
        <f ca="1">RIGHT(INDEX($D$9:$D$47,MATCH('EEPROM-Contents'!AE19,$B$9:$B$47,0)),2)</f>
        <v>23</v>
      </c>
      <c r="AD25" s="79" t="str">
        <f>RIGHT(INDEX('EEPROM-Contents'!$K$4:'EEPROM-Contents'!$K$141,MATCH('EEPROM-Contents'!AF19,'EEPROM-Contents'!$I$4:'EEPROM-Contents'!$I$141,0)),2)</f>
        <v>07</v>
      </c>
      <c r="AF25" s="81" t="str">
        <f t="shared" ca="1" si="3"/>
        <v>1200CD7C0A000000000000270F8000800000000000FF6464230700</v>
      </c>
    </row>
    <row r="26" spans="2:32" x14ac:dyDescent="0.3">
      <c r="B26" s="85">
        <f>'EEPROM-Contents'!B99</f>
        <v>95</v>
      </c>
      <c r="C26" s="75">
        <f t="shared" si="4"/>
        <v>137</v>
      </c>
      <c r="D26" s="228">
        <f>L5</f>
        <v>89</v>
      </c>
      <c r="E26" s="66" t="str">
        <f>'EEPROM-Contents'!L99</f>
        <v>8X=ASIC 1204, 0X= ASIC 1010</v>
      </c>
      <c r="F26" s="67"/>
      <c r="G26" s="68"/>
      <c r="I26" s="183"/>
      <c r="J26" s="187" t="s">
        <v>569</v>
      </c>
      <c r="K26" s="185"/>
      <c r="N26" s="78" t="s">
        <v>358</v>
      </c>
      <c r="O26" s="84" t="str">
        <f>RIGHT(INDEX($D$9:$D$47,MATCH('EEPROM-Contents'!Q20,$B$9:$B$47,0)),2)</f>
        <v>89</v>
      </c>
      <c r="P26" s="84" t="str">
        <f ca="1">RIGHT(INDEX($D$9:$D$47,MATCH('EEPROM-Contents'!R20,$B$9:$B$47,0)),2)</f>
        <v>07</v>
      </c>
      <c r="Q26" s="84" t="str">
        <f ca="1">RIGHT(INDEX($D$9:$D$47,MATCH('EEPROM-Contents'!S20,$B$9:$B$47,0)),2)</f>
        <v>01</v>
      </c>
      <c r="R26" s="84" t="str">
        <f ca="1">RIGHT(INDEX($D$9:$D$47,MATCH('EEPROM-Contents'!T20,$B$9:$B$47,0)),2)</f>
        <v>03</v>
      </c>
      <c r="S26" s="84" t="str">
        <f>RIGHT(INDEX($D$9:$D$47,MATCH('EEPROM-Contents'!U20,$B$9:$B$47,0)),2)</f>
        <v>03</v>
      </c>
      <c r="T26" s="84" t="str">
        <f>RIGHT(INDEX($D$9:$D$47,MATCH('EEPROM-Contents'!V20,$B$9:$B$47,0)),2)</f>
        <v>F5</v>
      </c>
      <c r="U26" s="84" t="str">
        <f>RIGHT(INDEX($D$9:$D$47,MATCH('EEPROM-Contents'!W20,$B$9:$B$47,0)),2)</f>
        <v>00</v>
      </c>
      <c r="V26" s="84" t="str">
        <f>RIGHT(INDEX($D$9:$D$47,MATCH('EEPROM-Contents'!X20,$B$9:$B$47,0)),2)</f>
        <v>00</v>
      </c>
      <c r="W26" s="84" t="str">
        <f>RIGHT(INDEX($D$9:$D$47,MATCH('EEPROM-Contents'!Y20,$B$9:$B$47,0)),2)</f>
        <v>27</v>
      </c>
      <c r="X26" s="84" t="str">
        <f>RIGHT(INDEX($D$9:$D$47,MATCH('EEPROM-Contents'!Z20,$B$9:$B$47,0)),2)</f>
        <v>0F</v>
      </c>
      <c r="Y26" s="84" t="str">
        <f>RIGHT(INDEX($D$9:$D$47,MATCH('EEPROM-Contents'!AA20,$B$9:$B$47,0)),2)</f>
        <v>80</v>
      </c>
      <c r="Z26" s="84" t="str">
        <f>RIGHT(INDEX($D$9:$D$47,MATCH('EEPROM-Contents'!AB20,$B$9:$B$47,0)),2)</f>
        <v>00</v>
      </c>
      <c r="AA26" s="84" t="str">
        <f>RIGHT(INDEX($D$9:$D$47,MATCH('EEPROM-Contents'!AC20,$B$9:$B$47,0)),2)</f>
        <v>80</v>
      </c>
      <c r="AB26" s="84" t="str">
        <f>RIGHT(INDEX($D$9:$D$47,MATCH('EEPROM-Contents'!AD20,$B$9:$B$47,0)),2)</f>
        <v>00</v>
      </c>
      <c r="AC26" s="84" t="str">
        <f>RIGHT(INDEX($D$9:$D$47,MATCH('EEPROM-Contents'!AE20,$B$9:$B$47,0)),2)</f>
        <v>00</v>
      </c>
      <c r="AD26" s="84" t="str">
        <f>RIGHT(INDEX($D$9:$D$47,MATCH('EEPROM-Contents'!AF20,$B$9:$B$47,0)),2)</f>
        <v>00</v>
      </c>
      <c r="AF26" s="81" t="str">
        <f t="shared" ca="1" si="3"/>
        <v>1200CD7C0A00000000008907010303F50000270F80008000000000</v>
      </c>
    </row>
    <row r="27" spans="2:32" x14ac:dyDescent="0.3">
      <c r="B27" s="85">
        <f>'EEPROM-Contents'!B100</f>
        <v>96</v>
      </c>
      <c r="C27" s="75">
        <f t="shared" ca="1" si="4"/>
        <v>7</v>
      </c>
      <c r="D27" s="228" t="str">
        <f ca="1">F5</f>
        <v>07</v>
      </c>
      <c r="E27" s="66" t="str">
        <f>'EEPROM-Contents'!L100</f>
        <v>Year</v>
      </c>
      <c r="F27" s="67"/>
      <c r="G27" s="68"/>
      <c r="I27" s="27"/>
      <c r="J27" s="94" t="s">
        <v>513</v>
      </c>
      <c r="K27" s="186">
        <f>$J$169</f>
        <v>0</v>
      </c>
      <c r="N27" s="78" t="s">
        <v>359</v>
      </c>
      <c r="O27" s="84" t="str">
        <f>RIGHT(INDEX($D$9:$D$47,MATCH('EEPROM-Contents'!Q21,$B$9:$B$47,0)),2)</f>
        <v>00</v>
      </c>
      <c r="P27" s="84" t="str">
        <f>RIGHT(INDEX($D$9:$D$47,MATCH('EEPROM-Contents'!R21,$B$9:$B$47,0)),2)</f>
        <v>00</v>
      </c>
      <c r="Q27" s="84" t="str">
        <f>RIGHT(INDEX($D$9:$D$47,MATCH('EEPROM-Contents'!S21,$B$9:$B$47,0)),2)</f>
        <v>FF</v>
      </c>
      <c r="R27" s="84" t="str">
        <f>RIGHT(INDEX($D$9:$D$47,MATCH('EEPROM-Contents'!T21,$B$9:$B$47,0)),2)</f>
        <v>64</v>
      </c>
      <c r="S27" s="84" t="str">
        <f>RIGHT(INDEX($D$9:$D$47,MATCH('EEPROM-Contents'!U21,$B$9:$B$47,0)),2)</f>
        <v>64</v>
      </c>
      <c r="T27" s="84" t="str">
        <f ca="1">RIGHT(INDEX($D$9:$D$47,MATCH('EEPROM-Contents'!V21,$B$9:$B$47,0)),2)</f>
        <v>23</v>
      </c>
      <c r="U27" s="79" t="str">
        <f>RIGHT(INDEX('EEPROM-Contents'!$K$4:'EEPROM-Contents'!$K$141,MATCH('EEPROM-Contents'!W21,'EEPROM-Contents'!$I$4:'EEPROM-Contents'!$I$141,0)),2)</f>
        <v>08</v>
      </c>
      <c r="V27" s="84" t="str">
        <f>RIGHT(INDEX($D$9:$D$47,MATCH('EEPROM-Contents'!X21,$B$9:$B$47,0)),2)</f>
        <v>89</v>
      </c>
      <c r="W27" s="84" t="str">
        <f ca="1">RIGHT(INDEX($D$9:$D$47,MATCH('EEPROM-Contents'!Y21,$B$9:$B$47,0)),2)</f>
        <v>07</v>
      </c>
      <c r="X27" s="84" t="str">
        <f ca="1">RIGHT(INDEX($D$9:$D$47,MATCH('EEPROM-Contents'!Z21,$B$9:$B$47,0)),2)</f>
        <v>01</v>
      </c>
      <c r="Y27" s="84" t="str">
        <f ca="1">RIGHT(INDEX($D$9:$D$47,MATCH('EEPROM-Contents'!AA21,$B$9:$B$47,0)),2)</f>
        <v>03</v>
      </c>
      <c r="Z27" s="84" t="str">
        <f>RIGHT(INDEX($D$9:$D$47,MATCH('EEPROM-Contents'!AB21,$B$9:$B$47,0)),2)</f>
        <v>03</v>
      </c>
      <c r="AA27" s="84" t="str">
        <f>RIGHT(INDEX($D$9:$D$47,MATCH('EEPROM-Contents'!AC21,$B$9:$B$47,0)),2)</f>
        <v>F5</v>
      </c>
      <c r="AB27" s="84" t="str">
        <f>RIGHT(INDEX($D$9:$D$47,MATCH('EEPROM-Contents'!AD21,$B$9:$B$47,0)),2)</f>
        <v>00</v>
      </c>
      <c r="AC27" s="84" t="str">
        <f>RIGHT(INDEX($D$9:$D$47,MATCH('EEPROM-Contents'!AE21,$B$9:$B$47,0)),2)</f>
        <v>00</v>
      </c>
      <c r="AD27" s="84" t="str">
        <f>RIGHT(INDEX($D$9:$D$47,MATCH('EEPROM-Contents'!AF21,$B$9:$B$47,0)),2)</f>
        <v>27</v>
      </c>
      <c r="AF27" s="81" t="str">
        <f t="shared" ca="1" si="3"/>
        <v>1200CD7C0A00000000000000FF646423088907010303F500002700</v>
      </c>
    </row>
    <row r="28" spans="2:32" x14ac:dyDescent="0.3">
      <c r="B28" s="85">
        <f>'EEPROM-Contents'!B101</f>
        <v>97</v>
      </c>
      <c r="C28" s="75">
        <f t="shared" ca="1" si="4"/>
        <v>1</v>
      </c>
      <c r="D28" s="228" t="str">
        <f ca="1">G5</f>
        <v>01</v>
      </c>
      <c r="E28" s="66" t="str">
        <f>'EEPROM-Contents'!L101</f>
        <v>Month</v>
      </c>
      <c r="F28" s="67"/>
      <c r="G28" s="68"/>
      <c r="I28" s="27"/>
      <c r="J28" s="94" t="s">
        <v>511</v>
      </c>
      <c r="K28" s="186" t="str">
        <f>LEFT(DEC2HEX(K27,4),2)</f>
        <v>00</v>
      </c>
      <c r="N28" s="78" t="s">
        <v>360</v>
      </c>
      <c r="O28" s="84" t="str">
        <f>RIGHT(INDEX($D$9:$D$47,MATCH('EEPROM-Contents'!Q22,$B$9:$B$47,0)),2)</f>
        <v>0F</v>
      </c>
      <c r="P28" s="84" t="str">
        <f>RIGHT(INDEX($D$9:$D$47,MATCH('EEPROM-Contents'!R22,$B$9:$B$47,0)),2)</f>
        <v>80</v>
      </c>
      <c r="Q28" s="84" t="str">
        <f>RIGHT(INDEX($D$9:$D$47,MATCH('EEPROM-Contents'!S22,$B$9:$B$47,0)),2)</f>
        <v>00</v>
      </c>
      <c r="R28" s="84" t="str">
        <f>RIGHT(INDEX($D$9:$D$47,MATCH('EEPROM-Contents'!T22,$B$9:$B$47,0)),2)</f>
        <v>80</v>
      </c>
      <c r="S28" s="84" t="str">
        <f>RIGHT(INDEX($D$9:$D$47,MATCH('EEPROM-Contents'!U22,$B$9:$B$47,0)),2)</f>
        <v>00</v>
      </c>
      <c r="T28" s="84" t="str">
        <f>RIGHT(INDEX($D$9:$D$47,MATCH('EEPROM-Contents'!V22,$B$9:$B$47,0)),2)</f>
        <v>00</v>
      </c>
      <c r="U28" s="84" t="str">
        <f>RIGHT(INDEX($D$9:$D$47,MATCH('EEPROM-Contents'!W22,$B$9:$B$47,0)),2)</f>
        <v>00</v>
      </c>
      <c r="V28" s="84" t="str">
        <f>RIGHT(INDEX($D$9:$D$47,MATCH('EEPROM-Contents'!X22,$B$9:$B$47,0)),2)</f>
        <v>00</v>
      </c>
      <c r="W28" s="84" t="str">
        <f>RIGHT(INDEX($D$9:$D$47,MATCH('EEPROM-Contents'!Y22,$B$9:$B$47,0)),2)</f>
        <v>00</v>
      </c>
      <c r="X28" s="84" t="str">
        <f>RIGHT(INDEX($D$9:$D$47,MATCH('EEPROM-Contents'!Z22,$B$9:$B$47,0)),2)</f>
        <v>FF</v>
      </c>
      <c r="Y28" s="84" t="str">
        <f>RIGHT(INDEX($D$9:$D$47,MATCH('EEPROM-Contents'!AA22,$B$9:$B$47,0)),2)</f>
        <v>64</v>
      </c>
      <c r="Z28" s="84" t="str">
        <f>RIGHT(INDEX($D$9:$D$47,MATCH('EEPROM-Contents'!AB22,$B$9:$B$47,0)),2)</f>
        <v>64</v>
      </c>
      <c r="AA28" s="84" t="str">
        <f ca="1">RIGHT(INDEX($D$9:$D$47,MATCH('EEPROM-Contents'!AC22,$B$9:$B$47,0)),2)</f>
        <v>23</v>
      </c>
      <c r="AB28" s="79" t="str">
        <f>RIGHT(INDEX('EEPROM-Contents'!$K$4:'EEPROM-Contents'!$K$141,MATCH('EEPROM-Contents'!AD22,'EEPROM-Contents'!$I$4:'EEPROM-Contents'!$I$141,0)),2)</f>
        <v>09</v>
      </c>
      <c r="AC28" s="84" t="str">
        <f>RIGHT(INDEX($D$9:$D$47,MATCH('EEPROM-Contents'!AE22,$B$9:$B$47,0)),2)</f>
        <v>89</v>
      </c>
      <c r="AD28" s="84" t="str">
        <f ca="1">RIGHT(INDEX($D$9:$D$47,MATCH('EEPROM-Contents'!AF22,$B$9:$B$47,0)),2)</f>
        <v>07</v>
      </c>
      <c r="AF28" s="81" t="str">
        <f t="shared" ca="1" si="3"/>
        <v>1200CD7C0A00000000000F8000800000000000FF64642309890700</v>
      </c>
    </row>
    <row r="29" spans="2:32" x14ac:dyDescent="0.3">
      <c r="B29" s="85">
        <f>'EEPROM-Contents'!B102</f>
        <v>98</v>
      </c>
      <c r="C29" s="75">
        <f t="shared" ca="1" si="4"/>
        <v>3</v>
      </c>
      <c r="D29" s="228" t="str">
        <f ca="1">H5</f>
        <v>03</v>
      </c>
      <c r="E29" s="66" t="str">
        <f>'EEPROM-Contents'!L102</f>
        <v>Day</v>
      </c>
      <c r="F29" s="67"/>
      <c r="G29" s="68"/>
      <c r="I29" s="27"/>
      <c r="J29" s="94" t="s">
        <v>512</v>
      </c>
      <c r="K29" s="186" t="str">
        <f>RIGHT(DEC2HEX(K27,4),2)</f>
        <v>00</v>
      </c>
      <c r="N29" s="78" t="s">
        <v>361</v>
      </c>
      <c r="O29" s="84" t="str">
        <f ca="1">RIGHT(INDEX($D$9:$D$47,MATCH('EEPROM-Contents'!Q23,$B$9:$B$47,0)),2)</f>
        <v>01</v>
      </c>
      <c r="P29" s="84" t="str">
        <f ca="1">RIGHT(INDEX($D$9:$D$47,MATCH('EEPROM-Contents'!R23,$B$9:$B$47,0)),2)</f>
        <v>03</v>
      </c>
      <c r="Q29" s="84" t="str">
        <f>RIGHT(INDEX($D$9:$D$47,MATCH('EEPROM-Contents'!S23,$B$9:$B$47,0)),2)</f>
        <v>03</v>
      </c>
      <c r="R29" s="84" t="str">
        <f>RIGHT(INDEX($D$9:$D$47,MATCH('EEPROM-Contents'!T23,$B$9:$B$47,0)),2)</f>
        <v>F5</v>
      </c>
      <c r="S29" s="84" t="str">
        <f>RIGHT(INDEX($D$9:$D$47,MATCH('EEPROM-Contents'!U23,$B$9:$B$47,0)),2)</f>
        <v>00</v>
      </c>
      <c r="T29" s="84" t="str">
        <f>RIGHT(INDEX($D$9:$D$47,MATCH('EEPROM-Contents'!V23,$B$9:$B$47,0)),2)</f>
        <v>00</v>
      </c>
      <c r="U29" s="84" t="str">
        <f>RIGHT(INDEX($D$9:$D$47,MATCH('EEPROM-Contents'!W23,$B$9:$B$47,0)),2)</f>
        <v>27</v>
      </c>
      <c r="V29" s="84" t="str">
        <f>RIGHT(INDEX($D$9:$D$47,MATCH('EEPROM-Contents'!X23,$B$9:$B$47,0)),2)</f>
        <v>0F</v>
      </c>
      <c r="W29" s="84" t="str">
        <f>RIGHT(INDEX($D$9:$D$47,MATCH('EEPROM-Contents'!Y23,$B$9:$B$47,0)),2)</f>
        <v>80</v>
      </c>
      <c r="X29" s="84" t="str">
        <f>RIGHT(INDEX($D$9:$D$47,MATCH('EEPROM-Contents'!Z23,$B$9:$B$47,0)),2)</f>
        <v>00</v>
      </c>
      <c r="Y29" s="84" t="str">
        <f>RIGHT(INDEX($D$9:$D$47,MATCH('EEPROM-Contents'!AA23,$B$9:$B$47,0)),2)</f>
        <v>80</v>
      </c>
      <c r="Z29" s="84" t="str">
        <f>RIGHT(INDEX($D$9:$D$47,MATCH('EEPROM-Contents'!AB23,$B$9:$B$47,0)),2)</f>
        <v>00</v>
      </c>
      <c r="AA29" s="84" t="str">
        <f>RIGHT(INDEX($D$9:$D$47,MATCH('EEPROM-Contents'!AC23,$B$9:$B$47,0)),2)</f>
        <v>00</v>
      </c>
      <c r="AB29" s="84" t="str">
        <f>RIGHT(INDEX($D$9:$D$47,MATCH('EEPROM-Contents'!AD23,$B$9:$B$47,0)),2)</f>
        <v>00</v>
      </c>
      <c r="AC29" s="84" t="str">
        <f>RIGHT(INDEX($D$9:$D$47,MATCH('EEPROM-Contents'!AE23,$B$9:$B$47,0)),2)</f>
        <v>00</v>
      </c>
      <c r="AD29" s="84" t="str">
        <f>RIGHT(INDEX($D$9:$D$47,MATCH('EEPROM-Contents'!AF23,$B$9:$B$47,0)),2)</f>
        <v>00</v>
      </c>
      <c r="AF29" s="81" t="str">
        <f t="shared" ca="1" si="3"/>
        <v>1200CD7C0A0000000000010303F50000270F800080000000000000</v>
      </c>
    </row>
    <row r="30" spans="2:32" x14ac:dyDescent="0.3">
      <c r="B30" s="85">
        <f>'EEPROM-Contents'!B103</f>
        <v>99</v>
      </c>
      <c r="C30" s="75">
        <f t="shared" si="4"/>
        <v>3</v>
      </c>
      <c r="D30" s="228" t="str">
        <f>LEFT(RIGHT($B$5,4),2)</f>
        <v>03</v>
      </c>
      <c r="E30" s="66" t="str">
        <f>'EEPROM-Contents'!L103</f>
        <v>Device Type</v>
      </c>
      <c r="F30" s="67"/>
      <c r="G30" s="68"/>
      <c r="I30" s="27"/>
      <c r="J30" s="27"/>
      <c r="K30" s="27"/>
      <c r="N30" s="78" t="s">
        <v>362</v>
      </c>
      <c r="O30" s="84" t="str">
        <f>RIGHT(INDEX($D$9:$D$47,MATCH('EEPROM-Contents'!Q24,$B$9:$B$47,0)),2)</f>
        <v>FF</v>
      </c>
      <c r="P30" s="84" t="str">
        <f>RIGHT(INDEX($D$9:$D$47,MATCH('EEPROM-Contents'!R24,$B$9:$B$47,0)),2)</f>
        <v>64</v>
      </c>
      <c r="Q30" s="84" t="str">
        <f>RIGHT(INDEX($D$9:$D$47,MATCH('EEPROM-Contents'!S24,$B$9:$B$47,0)),2)</f>
        <v>64</v>
      </c>
      <c r="R30" s="84" t="str">
        <f ca="1">RIGHT(INDEX($D$9:$D$47,MATCH('EEPROM-Contents'!T24,$B$9:$B$47,0)),2)</f>
        <v>23</v>
      </c>
      <c r="S30" s="79" t="str">
        <f>RIGHT(INDEX('EEPROM-Contents'!$K$4:'EEPROM-Contents'!$K$141,MATCH('EEPROM-Contents'!U24,'EEPROM-Contents'!$I$4:'EEPROM-Contents'!$I$141,0)),2)</f>
        <v>0A</v>
      </c>
      <c r="T30" s="84" t="str">
        <f>RIGHT(INDEX($D$9:$D$47,MATCH('EEPROM-Contents'!V24,$B$9:$B$47,0)),2)</f>
        <v>89</v>
      </c>
      <c r="U30" s="84" t="str">
        <f ca="1">RIGHT(INDEX($D$9:$D$47,MATCH('EEPROM-Contents'!W24,$B$9:$B$47,0)),2)</f>
        <v>07</v>
      </c>
      <c r="V30" s="84" t="str">
        <f ca="1">RIGHT(INDEX($D$9:$D$47,MATCH('EEPROM-Contents'!X24,$B$9:$B$47,0)),2)</f>
        <v>01</v>
      </c>
      <c r="W30" s="84" t="str">
        <f ca="1">RIGHT(INDEX($D$9:$D$47,MATCH('EEPROM-Contents'!Y24,$B$9:$B$47,0)),2)</f>
        <v>03</v>
      </c>
      <c r="X30" s="84" t="str">
        <f>RIGHT(INDEX($D$9:$D$47,MATCH('EEPROM-Contents'!Z24,$B$9:$B$47,0)),2)</f>
        <v>03</v>
      </c>
      <c r="Y30" s="84" t="str">
        <f>RIGHT(INDEX($D$9:$D$47,MATCH('EEPROM-Contents'!AA24,$B$9:$B$47,0)),2)</f>
        <v>F5</v>
      </c>
      <c r="Z30" s="84" t="str">
        <f>RIGHT(INDEX($D$9:$D$47,MATCH('EEPROM-Contents'!AB24,$B$9:$B$47,0)),2)</f>
        <v>00</v>
      </c>
      <c r="AA30" s="84" t="str">
        <f>RIGHT(INDEX($D$9:$D$47,MATCH('EEPROM-Contents'!AC24,$B$9:$B$47,0)),2)</f>
        <v>00</v>
      </c>
      <c r="AB30" s="84" t="str">
        <f>RIGHT(INDEX($D$9:$D$47,MATCH('EEPROM-Contents'!AD24,$B$9:$B$47,0)),2)</f>
        <v>27</v>
      </c>
      <c r="AC30" s="84" t="str">
        <f>RIGHT(INDEX($D$9:$D$47,MATCH('EEPROM-Contents'!AE24,$B$9:$B$47,0)),2)</f>
        <v>0F</v>
      </c>
      <c r="AD30" s="84" t="str">
        <f>RIGHT(INDEX($D$9:$D$47,MATCH('EEPROM-Contents'!AF24,$B$9:$B$47,0)),2)</f>
        <v>80</v>
      </c>
      <c r="AF30" s="81" t="str">
        <f t="shared" ca="1" si="3"/>
        <v>1200CD7C0A0000000000FF6464230A8907010303F50000270F8000</v>
      </c>
    </row>
    <row r="31" spans="2:32" x14ac:dyDescent="0.3">
      <c r="B31" s="85">
        <f>'EEPROM-Contents'!B104</f>
        <v>100</v>
      </c>
      <c r="C31" s="75">
        <f t="shared" si="4"/>
        <v>245</v>
      </c>
      <c r="D31" s="228" t="str">
        <f>LEFT(RIGHT($B$5,2),2)</f>
        <v>F5</v>
      </c>
      <c r="E31" s="66" t="str">
        <f>'EEPROM-Contents'!L104</f>
        <v>Device Type</v>
      </c>
      <c r="F31" s="67"/>
      <c r="G31" s="68"/>
      <c r="I31" s="27"/>
      <c r="J31" s="187" t="s">
        <v>568</v>
      </c>
      <c r="K31" s="185"/>
      <c r="N31" s="78" t="s">
        <v>363</v>
      </c>
      <c r="O31" s="84" t="str">
        <f>RIGHT(INDEX($D$9:$D$47,MATCH('EEPROM-Contents'!Q25,$B$9:$B$47,0)),2)</f>
        <v>00</v>
      </c>
      <c r="P31" s="84" t="str">
        <f>RIGHT(INDEX($D$9:$D$47,MATCH('EEPROM-Contents'!R25,$B$9:$B$47,0)),2)</f>
        <v>80</v>
      </c>
      <c r="Q31" s="84" t="str">
        <f>RIGHT(INDEX($D$9:$D$47,MATCH('EEPROM-Contents'!S25,$B$9:$B$47,0)),2)</f>
        <v>00</v>
      </c>
      <c r="R31" s="84" t="str">
        <f>RIGHT(INDEX($D$9:$D$47,MATCH('EEPROM-Contents'!T25,$B$9:$B$47,0)),2)</f>
        <v>00</v>
      </c>
      <c r="S31" s="84" t="str">
        <f>RIGHT(INDEX($D$9:$D$47,MATCH('EEPROM-Contents'!U25,$B$9:$B$47,0)),2)</f>
        <v>00</v>
      </c>
      <c r="T31" s="84" t="str">
        <f>RIGHT(INDEX($D$9:$D$47,MATCH('EEPROM-Contents'!V25,$B$9:$B$47,0)),2)</f>
        <v>00</v>
      </c>
      <c r="U31" s="84" t="str">
        <f>RIGHT(INDEX($D$9:$D$47,MATCH('EEPROM-Contents'!W25,$B$9:$B$47,0)),2)</f>
        <v>00</v>
      </c>
      <c r="V31" s="84" t="str">
        <f>RIGHT(INDEX($D$9:$D$47,MATCH('EEPROM-Contents'!X25,$B$9:$B$47,0)),2)</f>
        <v>FF</v>
      </c>
      <c r="W31" s="84" t="str">
        <f>RIGHT(INDEX($D$9:$D$47,MATCH('EEPROM-Contents'!Y25,$B$9:$B$47,0)),2)</f>
        <v>64</v>
      </c>
      <c r="X31" s="84" t="str">
        <f>RIGHT(INDEX($D$9:$D$47,MATCH('EEPROM-Contents'!Z25,$B$9:$B$47,0)),2)</f>
        <v>64</v>
      </c>
      <c r="Y31" s="84" t="str">
        <f ca="1">RIGHT(INDEX($D$9:$D$47,MATCH('EEPROM-Contents'!AA25,$B$9:$B$47,0)),2)</f>
        <v>23</v>
      </c>
      <c r="Z31" s="79" t="str">
        <f>RIGHT(INDEX('EEPROM-Contents'!$K$4:'EEPROM-Contents'!$K$141,MATCH('EEPROM-Contents'!AB25,'EEPROM-Contents'!$I$4:'EEPROM-Contents'!$I$141,0)),2)</f>
        <v>0B</v>
      </c>
      <c r="AA31" s="84" t="str">
        <f>RIGHT(INDEX($D$9:$D$47,MATCH('EEPROM-Contents'!AC25,$B$9:$B$47,0)),2)</f>
        <v>89</v>
      </c>
      <c r="AB31" s="84" t="str">
        <f ca="1">RIGHT(INDEX($D$9:$D$47,MATCH('EEPROM-Contents'!AD25,$B$9:$B$47,0)),2)</f>
        <v>07</v>
      </c>
      <c r="AC31" s="84" t="str">
        <f ca="1">RIGHT(INDEX($D$9:$D$47,MATCH('EEPROM-Contents'!AE25,$B$9:$B$47,0)),2)</f>
        <v>01</v>
      </c>
      <c r="AD31" s="84" t="str">
        <f ca="1">RIGHT(INDEX($D$9:$D$47,MATCH('EEPROM-Contents'!AF25,$B$9:$B$47,0)),2)</f>
        <v>03</v>
      </c>
      <c r="AF31" s="81" t="str">
        <f t="shared" ca="1" si="3"/>
        <v>1200CD7C0A000000000000800000000000FF6464230B8907010300</v>
      </c>
    </row>
    <row r="32" spans="2:32" x14ac:dyDescent="0.3">
      <c r="B32" s="85">
        <f>'EEPROM-Contents'!B105</f>
        <v>101</v>
      </c>
      <c r="C32" s="75">
        <f t="shared" si="4"/>
        <v>0</v>
      </c>
      <c r="D32" s="228" t="str">
        <f>LEFT(RIGHT($D$5,8),2)</f>
        <v>00</v>
      </c>
      <c r="E32" s="66" t="str">
        <f>'EEPROM-Contents'!L105</f>
        <v>Manufacturer / Lot ID</v>
      </c>
      <c r="F32" s="67"/>
      <c r="G32" s="68"/>
      <c r="I32" s="27"/>
      <c r="J32" s="94" t="s">
        <v>513</v>
      </c>
      <c r="K32" s="186">
        <f>$K$169</f>
        <v>0</v>
      </c>
      <c r="N32" s="78" t="s">
        <v>364</v>
      </c>
      <c r="O32" s="84" t="str">
        <f>RIGHT(INDEX($D$9:$D$47,MATCH('EEPROM-Contents'!Q26,$B$9:$B$47,0)),2)</f>
        <v>03</v>
      </c>
      <c r="P32" s="84" t="str">
        <f>RIGHT(INDEX($D$9:$D$47,MATCH('EEPROM-Contents'!R26,$B$9:$B$47,0)),2)</f>
        <v>F5</v>
      </c>
      <c r="Q32" s="84" t="str">
        <f>RIGHT(INDEX($D$9:$D$47,MATCH('EEPROM-Contents'!S26,$B$9:$B$47,0)),2)</f>
        <v>00</v>
      </c>
      <c r="R32" s="84" t="str">
        <f>RIGHT(INDEX($D$9:$D$47,MATCH('EEPROM-Contents'!T26,$B$9:$B$47,0)),2)</f>
        <v>00</v>
      </c>
      <c r="S32" s="84" t="str">
        <f>RIGHT(INDEX($D$9:$D$47,MATCH('EEPROM-Contents'!U26,$B$9:$B$47,0)),2)</f>
        <v>27</v>
      </c>
      <c r="T32" s="84" t="str">
        <f>RIGHT(INDEX($D$9:$D$47,MATCH('EEPROM-Contents'!V26,$B$9:$B$47,0)),2)</f>
        <v>0F</v>
      </c>
      <c r="U32" s="84" t="str">
        <f>RIGHT(INDEX($D$9:$D$47,MATCH('EEPROM-Contents'!W26,$B$9:$B$47,0)),2)</f>
        <v>80</v>
      </c>
      <c r="V32" s="84" t="str">
        <f>RIGHT(INDEX($D$9:$D$47,MATCH('EEPROM-Contents'!X26,$B$9:$B$47,0)),2)</f>
        <v>00</v>
      </c>
      <c r="W32" s="84" t="str">
        <f>RIGHT(INDEX($D$9:$D$47,MATCH('EEPROM-Contents'!Y26,$B$9:$B$47,0)),2)</f>
        <v>80</v>
      </c>
      <c r="X32" s="84" t="str">
        <f>RIGHT(INDEX($D$9:$D$47,MATCH('EEPROM-Contents'!Z26,$B$9:$B$47,0)),2)</f>
        <v>00</v>
      </c>
      <c r="Y32" s="84" t="str">
        <f>RIGHT(INDEX($D$9:$D$47,MATCH('EEPROM-Contents'!AA26,$B$9:$B$47,0)),2)</f>
        <v>00</v>
      </c>
      <c r="Z32" s="84" t="str">
        <f>RIGHT(INDEX($D$9:$D$47,MATCH('EEPROM-Contents'!AB26,$B$9:$B$47,0)),2)</f>
        <v>00</v>
      </c>
      <c r="AA32" s="84" t="str">
        <f>RIGHT(INDEX($D$9:$D$47,MATCH('EEPROM-Contents'!AC26,$B$9:$B$47,0)),2)</f>
        <v>00</v>
      </c>
      <c r="AB32" s="84" t="str">
        <f>RIGHT(INDEX($D$9:$D$47,MATCH('EEPROM-Contents'!AD26,$B$9:$B$47,0)),2)</f>
        <v>00</v>
      </c>
      <c r="AC32" s="84" t="str">
        <f>RIGHT(INDEX($D$9:$D$47,MATCH('EEPROM-Contents'!AE26,$B$9:$B$47,0)),2)</f>
        <v>FF</v>
      </c>
      <c r="AD32" s="84" t="str">
        <f>RIGHT(INDEX($D$9:$D$47,MATCH('EEPROM-Contents'!AF26,$B$9:$B$47,0)),2)</f>
        <v>64</v>
      </c>
      <c r="AF32" s="81" t="str">
        <f t="shared" si="3"/>
        <v>1200CD7C0A000000000003F50000270F8000800000000000FF6400</v>
      </c>
    </row>
    <row r="33" spans="2:32" x14ac:dyDescent="0.3">
      <c r="B33" s="85">
        <f>'EEPROM-Contents'!B106</f>
        <v>102</v>
      </c>
      <c r="C33" s="75">
        <f t="shared" si="4"/>
        <v>0</v>
      </c>
      <c r="D33" s="228" t="str">
        <f>LEFT(RIGHT($D$5,6),2)</f>
        <v>00</v>
      </c>
      <c r="E33" s="66" t="str">
        <f>'EEPROM-Contents'!L106</f>
        <v>Manufacturer / Lot ID</v>
      </c>
      <c r="F33" s="67"/>
      <c r="G33" s="68"/>
      <c r="I33" s="27"/>
      <c r="J33" s="94" t="s">
        <v>511</v>
      </c>
      <c r="K33" s="186" t="str">
        <f>LEFT(DEC2HEX(K32,4),2)</f>
        <v>00</v>
      </c>
      <c r="N33" s="78" t="s">
        <v>365</v>
      </c>
      <c r="O33" s="84" t="str">
        <f>RIGHT(INDEX($D$9:$D$47,MATCH('EEPROM-Contents'!Q27,$B$9:$B$47,0)),2)</f>
        <v>64</v>
      </c>
      <c r="P33" s="84" t="str">
        <f ca="1">RIGHT(INDEX($D$9:$D$47,MATCH('EEPROM-Contents'!R27,$B$9:$B$47,0)),2)</f>
        <v>23</v>
      </c>
      <c r="Q33" s="79" t="str">
        <f>RIGHT(INDEX('EEPROM-Contents'!$K$4:'EEPROM-Contents'!$K$141,MATCH('EEPROM-Contents'!S27,'EEPROM-Contents'!$I$4:'EEPROM-Contents'!$I$141,0)),2)</f>
        <v>0C</v>
      </c>
      <c r="R33" s="84" t="str">
        <f>RIGHT(INDEX($D$9:$D$47,MATCH('EEPROM-Contents'!T27,$B$9:$B$47,0)),2)</f>
        <v>89</v>
      </c>
      <c r="S33" s="84" t="str">
        <f ca="1">RIGHT(INDEX($D$9:$D$47,MATCH('EEPROM-Contents'!U27,$B$9:$B$47,0)),2)</f>
        <v>07</v>
      </c>
      <c r="T33" s="84" t="str">
        <f ca="1">RIGHT(INDEX($D$9:$D$47,MATCH('EEPROM-Contents'!V27,$B$9:$B$47,0)),2)</f>
        <v>01</v>
      </c>
      <c r="U33" s="84" t="str">
        <f ca="1">RIGHT(INDEX($D$9:$D$47,MATCH('EEPROM-Contents'!W27,$B$9:$B$47,0)),2)</f>
        <v>03</v>
      </c>
      <c r="V33" s="84" t="str">
        <f>RIGHT(INDEX($D$9:$D$47,MATCH('EEPROM-Contents'!X27,$B$9:$B$47,0)),2)</f>
        <v>03</v>
      </c>
      <c r="W33" s="84" t="str">
        <f>RIGHT(INDEX($D$9:$D$47,MATCH('EEPROM-Contents'!Y27,$B$9:$B$47,0)),2)</f>
        <v>F5</v>
      </c>
      <c r="X33" s="84" t="str">
        <f>RIGHT(INDEX($D$9:$D$47,MATCH('EEPROM-Contents'!Z27,$B$9:$B$47,0)),2)</f>
        <v>00</v>
      </c>
      <c r="Y33" s="84" t="str">
        <f>RIGHT(INDEX($D$9:$D$47,MATCH('EEPROM-Contents'!AA27,$B$9:$B$47,0)),2)</f>
        <v>00</v>
      </c>
      <c r="Z33" s="84" t="str">
        <f>RIGHT(INDEX($D$9:$D$47,MATCH('EEPROM-Contents'!AB27,$B$9:$B$47,0)),2)</f>
        <v>27</v>
      </c>
      <c r="AA33" s="84" t="str">
        <f>RIGHT(INDEX($D$9:$D$47,MATCH('EEPROM-Contents'!AC27,$B$9:$B$47,0)),2)</f>
        <v>0F</v>
      </c>
      <c r="AB33" s="84" t="str">
        <f>RIGHT(INDEX($D$9:$D$47,MATCH('EEPROM-Contents'!AD27,$B$9:$B$47,0)),2)</f>
        <v>80</v>
      </c>
      <c r="AC33" s="84" t="str">
        <f>RIGHT(INDEX($D$9:$D$47,MATCH('EEPROM-Contents'!AE27,$B$9:$B$47,0)),2)</f>
        <v>00</v>
      </c>
      <c r="AD33" s="84" t="str">
        <f>RIGHT(INDEX($D$9:$D$47,MATCH('EEPROM-Contents'!AF27,$B$9:$B$47,0)),2)</f>
        <v>80</v>
      </c>
      <c r="AF33" s="81" t="str">
        <f t="shared" ca="1" si="3"/>
        <v>1200CD7C0A000000000064230C8907010303F50000270F80008000</v>
      </c>
    </row>
    <row r="34" spans="2:32" x14ac:dyDescent="0.3">
      <c r="B34" s="85">
        <f>'EEPROM-Contents'!B107</f>
        <v>103</v>
      </c>
      <c r="C34" s="75">
        <f t="shared" si="4"/>
        <v>39</v>
      </c>
      <c r="D34" s="228" t="str">
        <f>LEFT(RIGHT($D$5,4),2)</f>
        <v>27</v>
      </c>
      <c r="E34" s="66" t="str">
        <f>'EEPROM-Contents'!L107</f>
        <v>Manufacturer / Lot ID</v>
      </c>
      <c r="F34" s="67"/>
      <c r="G34" s="68"/>
      <c r="I34" s="27"/>
      <c r="J34" s="94" t="s">
        <v>512</v>
      </c>
      <c r="K34" s="186" t="str">
        <f>RIGHT(DEC2HEX(K32,4),2)</f>
        <v>00</v>
      </c>
      <c r="N34" s="78" t="s">
        <v>366</v>
      </c>
      <c r="O34" s="84" t="str">
        <f>RIGHT(INDEX($D$9:$D$47,MATCH('EEPROM-Contents'!Q28,$B$9:$B$47,0)),2)</f>
        <v>00</v>
      </c>
      <c r="P34" s="84" t="str">
        <f>RIGHT(INDEX($D$9:$D$47,MATCH('EEPROM-Contents'!R28,$B$9:$B$47,0)),2)</f>
        <v>00</v>
      </c>
      <c r="Q34" s="84" t="str">
        <f>RIGHT(INDEX($D$9:$D$47,MATCH('EEPROM-Contents'!S28,$B$9:$B$47,0)),2)</f>
        <v>00</v>
      </c>
      <c r="R34" s="84" t="str">
        <f>RIGHT(INDEX($D$9:$D$47,MATCH('EEPROM-Contents'!T28,$B$9:$B$47,0)),2)</f>
        <v>00</v>
      </c>
      <c r="S34" s="84" t="str">
        <f>RIGHT(INDEX($D$9:$D$47,MATCH('EEPROM-Contents'!U28,$B$9:$B$47,0)),2)</f>
        <v>00</v>
      </c>
      <c r="T34" s="84" t="str">
        <f>RIGHT(INDEX($D$9:$D$47,MATCH('EEPROM-Contents'!V28,$B$9:$B$47,0)),2)</f>
        <v>FF</v>
      </c>
      <c r="U34" s="84" t="str">
        <f>RIGHT(INDEX($D$9:$D$47,MATCH('EEPROM-Contents'!W28,$B$9:$B$47,0)),2)</f>
        <v>64</v>
      </c>
      <c r="V34" s="84" t="str">
        <f>RIGHT(INDEX($D$9:$D$47,MATCH('EEPROM-Contents'!X28,$B$9:$B$47,0)),2)</f>
        <v>64</v>
      </c>
      <c r="W34" s="84" t="str">
        <f ca="1">RIGHT(INDEX($D$9:$D$47,MATCH('EEPROM-Contents'!Y28,$B$9:$B$47,0)),2)</f>
        <v>23</v>
      </c>
      <c r="X34" s="79" t="str">
        <f>RIGHT(INDEX('EEPROM-Contents'!$K$4:'EEPROM-Contents'!$K$141,MATCH('EEPROM-Contents'!Z28,'EEPROM-Contents'!$I$4:'EEPROM-Contents'!$I$141,0)),2)</f>
        <v>0D</v>
      </c>
      <c r="Y34" s="84" t="str">
        <f>RIGHT(INDEX($D$9:$D$47,MATCH('EEPROM-Contents'!AA28,$B$9:$B$47,0)),2)</f>
        <v>89</v>
      </c>
      <c r="Z34" s="84" t="str">
        <f ca="1">RIGHT(INDEX($D$9:$D$47,MATCH('EEPROM-Contents'!AB28,$B$9:$B$47,0)),2)</f>
        <v>07</v>
      </c>
      <c r="AA34" s="84" t="str">
        <f ca="1">RIGHT(INDEX($D$9:$D$47,MATCH('EEPROM-Contents'!AC28,$B$9:$B$47,0)),2)</f>
        <v>01</v>
      </c>
      <c r="AB34" s="84" t="str">
        <f ca="1">RIGHT(INDEX($D$9:$D$47,MATCH('EEPROM-Contents'!AD28,$B$9:$B$47,0)),2)</f>
        <v>03</v>
      </c>
      <c r="AC34" s="84" t="str">
        <f>RIGHT(INDEX($D$9:$D$47,MATCH('EEPROM-Contents'!AE28,$B$9:$B$47,0)),2)</f>
        <v>03</v>
      </c>
      <c r="AD34" s="84" t="str">
        <f>RIGHT(INDEX($D$9:$D$47,MATCH('EEPROM-Contents'!AF28,$B$9:$B$47,0)),2)</f>
        <v>F5</v>
      </c>
      <c r="AF34" s="81" t="str">
        <f t="shared" ca="1" si="3"/>
        <v>1200CD7C0A00000000000000000000FF6464230D8907010303F500</v>
      </c>
    </row>
    <row r="35" spans="2:32" x14ac:dyDescent="0.3">
      <c r="B35" s="85">
        <f>'EEPROM-Contents'!B108</f>
        <v>104</v>
      </c>
      <c r="C35" s="75">
        <f t="shared" si="4"/>
        <v>15</v>
      </c>
      <c r="D35" s="228" t="str">
        <f>LEFT(RIGHT($D$5,2),2)</f>
        <v>0F</v>
      </c>
      <c r="E35" s="66" t="str">
        <f>'EEPROM-Contents'!L108</f>
        <v>Manufacturer / Lot ID</v>
      </c>
      <c r="F35" s="67"/>
      <c r="G35" s="68"/>
      <c r="N35" s="78" t="s">
        <v>367</v>
      </c>
      <c r="O35" s="84" t="str">
        <f>RIGHT(INDEX($D$9:$D$47,MATCH('EEPROM-Contents'!Q29,$B$9:$B$47,0)),2)</f>
        <v>00</v>
      </c>
      <c r="P35" s="84" t="str">
        <f>RIGHT(INDEX($D$9:$D$47,MATCH('EEPROM-Contents'!R29,$B$9:$B$47,0)),2)</f>
        <v>00</v>
      </c>
      <c r="Q35" s="84" t="str">
        <f>RIGHT(INDEX($D$9:$D$47,MATCH('EEPROM-Contents'!S29,$B$9:$B$47,0)),2)</f>
        <v>27</v>
      </c>
      <c r="R35" s="84" t="str">
        <f>RIGHT(INDEX($D$9:$D$47,MATCH('EEPROM-Contents'!T29,$B$9:$B$47,0)),2)</f>
        <v>0F</v>
      </c>
      <c r="S35" s="84" t="str">
        <f>RIGHT(INDEX($D$9:$D$47,MATCH('EEPROM-Contents'!U29,$B$9:$B$47,0)),2)</f>
        <v>80</v>
      </c>
      <c r="T35" s="84" t="str">
        <f>RIGHT(INDEX($D$9:$D$47,MATCH('EEPROM-Contents'!V29,$B$9:$B$47,0)),2)</f>
        <v>00</v>
      </c>
      <c r="U35" s="84" t="str">
        <f>RIGHT(INDEX($D$9:$D$47,MATCH('EEPROM-Contents'!W29,$B$9:$B$47,0)),2)</f>
        <v>80</v>
      </c>
      <c r="V35" s="84" t="str">
        <f>RIGHT(INDEX($D$9:$D$47,MATCH('EEPROM-Contents'!X29,$B$9:$B$47,0)),2)</f>
        <v>00</v>
      </c>
      <c r="W35" s="84" t="str">
        <f>RIGHT(INDEX($D$9:$D$47,MATCH('EEPROM-Contents'!Y29,$B$9:$B$47,0)),2)</f>
        <v>00</v>
      </c>
      <c r="X35" s="84" t="str">
        <f>RIGHT(INDEX($D$9:$D$47,MATCH('EEPROM-Contents'!Z29,$B$9:$B$47,0)),2)</f>
        <v>00</v>
      </c>
      <c r="Y35" s="84" t="str">
        <f>RIGHT(INDEX($D$9:$D$47,MATCH('EEPROM-Contents'!AA29,$B$9:$B$47,0)),2)</f>
        <v>00</v>
      </c>
      <c r="Z35" s="84" t="str">
        <f>RIGHT(INDEX($D$9:$D$47,MATCH('EEPROM-Contents'!AB29,$B$9:$B$47,0)),2)</f>
        <v>00</v>
      </c>
      <c r="AA35" s="84" t="str">
        <f>RIGHT(INDEX($D$9:$D$47,MATCH('EEPROM-Contents'!AC29,$B$9:$B$47,0)),2)</f>
        <v>FF</v>
      </c>
      <c r="AB35" s="84" t="str">
        <f>RIGHT(INDEX($D$9:$D$47,MATCH('EEPROM-Contents'!AD29,$B$9:$B$47,0)),2)</f>
        <v>64</v>
      </c>
      <c r="AC35" s="84" t="str">
        <f>RIGHT(INDEX($D$9:$D$47,MATCH('EEPROM-Contents'!AE29,$B$9:$B$47,0)),2)</f>
        <v>64</v>
      </c>
      <c r="AD35" s="84" t="str">
        <f ca="1">RIGHT(INDEX($D$9:$D$47,MATCH('EEPROM-Contents'!AF29,$B$9:$B$47,0)),2)</f>
        <v>23</v>
      </c>
      <c r="AF35" s="81" t="str">
        <f t="shared" ca="1" si="3"/>
        <v>1200CD7C0A00000000000000270F8000800000000000FF64642300</v>
      </c>
    </row>
    <row r="36" spans="2:32" x14ac:dyDescent="0.3">
      <c r="B36" s="85">
        <f>'EEPROM-Contents'!B109</f>
        <v>105</v>
      </c>
      <c r="C36" s="75">
        <f t="shared" si="4"/>
        <v>128</v>
      </c>
      <c r="D36" s="229" t="str">
        <f>J23</f>
        <v>80</v>
      </c>
      <c r="E36" s="66" t="str">
        <f>'EEPROM-Contents'!L109</f>
        <v>Accelerometer Cal</v>
      </c>
      <c r="F36" s="67"/>
      <c r="G36" s="68"/>
      <c r="N36" s="78" t="s">
        <v>368</v>
      </c>
      <c r="O36" s="79" t="str">
        <f>RIGHT(INDEX('EEPROM-Contents'!$K$4:'EEPROM-Contents'!$K$141,MATCH('EEPROM-Contents'!Q30,'EEPROM-Contents'!$I$4:'EEPROM-Contents'!$I$141,0)),2)</f>
        <v>0E</v>
      </c>
      <c r="P36" s="84" t="str">
        <f>RIGHT(INDEX($D$9:$D$47,MATCH('EEPROM-Contents'!R30,$B$9:$B$47,0)),2)</f>
        <v>89</v>
      </c>
      <c r="Q36" s="84" t="str">
        <f ca="1">RIGHT(INDEX($D$9:$D$47,MATCH('EEPROM-Contents'!S30,$B$9:$B$47,0)),2)</f>
        <v>07</v>
      </c>
      <c r="R36" s="84" t="str">
        <f ca="1">RIGHT(INDEX($D$9:$D$47,MATCH('EEPROM-Contents'!T30,$B$9:$B$47,0)),2)</f>
        <v>01</v>
      </c>
      <c r="S36" s="84" t="str">
        <f ca="1">RIGHT(INDEX($D$9:$D$47,MATCH('EEPROM-Contents'!U30,$B$9:$B$47,0)),2)</f>
        <v>03</v>
      </c>
      <c r="T36" s="84" t="str">
        <f>RIGHT(INDEX($D$9:$D$47,MATCH('EEPROM-Contents'!V30,$B$9:$B$47,0)),2)</f>
        <v>03</v>
      </c>
      <c r="U36" s="84" t="str">
        <f>RIGHT(INDEX($D$9:$D$47,MATCH('EEPROM-Contents'!W30,$B$9:$B$47,0)),2)</f>
        <v>F5</v>
      </c>
      <c r="V36" s="84" t="str">
        <f>RIGHT(INDEX($D$9:$D$47,MATCH('EEPROM-Contents'!X30,$B$9:$B$47,0)),2)</f>
        <v>00</v>
      </c>
      <c r="W36" s="84" t="str">
        <f>RIGHT(INDEX($D$9:$D$47,MATCH('EEPROM-Contents'!Y30,$B$9:$B$47,0)),2)</f>
        <v>00</v>
      </c>
      <c r="X36" s="84" t="str">
        <f>RIGHT(INDEX($D$9:$D$47,MATCH('EEPROM-Contents'!Z30,$B$9:$B$47,0)),2)</f>
        <v>27</v>
      </c>
      <c r="Y36" s="84" t="str">
        <f>RIGHT(INDEX($D$9:$D$47,MATCH('EEPROM-Contents'!AA30,$B$9:$B$47,0)),2)</f>
        <v>0F</v>
      </c>
      <c r="Z36" s="84" t="str">
        <f>RIGHT(INDEX($D$9:$D$47,MATCH('EEPROM-Contents'!AB30,$B$9:$B$47,0)),2)</f>
        <v>80</v>
      </c>
      <c r="AA36" s="84" t="str">
        <f>RIGHT(INDEX($D$9:$D$47,MATCH('EEPROM-Contents'!AC30,$B$9:$B$47,0)),2)</f>
        <v>00</v>
      </c>
      <c r="AB36" s="84" t="str">
        <f>RIGHT(INDEX($D$9:$D$47,MATCH('EEPROM-Contents'!AD30,$B$9:$B$47,0)),2)</f>
        <v>80</v>
      </c>
      <c r="AC36" s="84" t="str">
        <f>RIGHT(INDEX($D$9:$D$47,MATCH('EEPROM-Contents'!AE30,$B$9:$B$47,0)),2)</f>
        <v>00</v>
      </c>
      <c r="AD36" s="84" t="str">
        <f>RIGHT(INDEX($D$9:$D$47,MATCH('EEPROM-Contents'!AF30,$B$9:$B$47,0)),2)</f>
        <v>00</v>
      </c>
      <c r="AF36" s="81" t="str">
        <f t="shared" ca="1" si="3"/>
        <v>1200CD7C0A00000000000E8907010303F50000270F800080000000</v>
      </c>
    </row>
    <row r="37" spans="2:32" x14ac:dyDescent="0.3">
      <c r="B37" s="85">
        <f>'EEPROM-Contents'!B110</f>
        <v>106</v>
      </c>
      <c r="C37" s="75">
        <f t="shared" si="4"/>
        <v>0</v>
      </c>
      <c r="D37" s="229" t="str">
        <f>J24</f>
        <v>00</v>
      </c>
      <c r="E37" s="66" t="str">
        <f>'EEPROM-Contents'!L110</f>
        <v>Accelerometer Cal</v>
      </c>
      <c r="F37" s="67"/>
      <c r="G37" s="68"/>
      <c r="N37" s="78" t="s">
        <v>369</v>
      </c>
      <c r="O37" s="84" t="str">
        <f>RIGHT(INDEX($D$9:$D$47,MATCH('EEPROM-Contents'!Q31,$B$9:$B$47,0)),2)</f>
        <v>00</v>
      </c>
      <c r="P37" s="84" t="str">
        <f>RIGHT(INDEX($D$9:$D$47,MATCH('EEPROM-Contents'!R31,$B$9:$B$47,0)),2)</f>
        <v>00</v>
      </c>
      <c r="Q37" s="84" t="str">
        <f>RIGHT(INDEX($D$9:$D$47,MATCH('EEPROM-Contents'!S31,$B$9:$B$47,0)),2)</f>
        <v>00</v>
      </c>
      <c r="R37" s="84" t="str">
        <f>RIGHT(INDEX($D$9:$D$47,MATCH('EEPROM-Contents'!T31,$B$9:$B$47,0)),2)</f>
        <v>FF</v>
      </c>
      <c r="S37" s="84" t="str">
        <f>RIGHT(INDEX($D$9:$D$47,MATCH('EEPROM-Contents'!U31,$B$9:$B$47,0)),2)</f>
        <v>64</v>
      </c>
      <c r="T37" s="84" t="str">
        <f>RIGHT(INDEX($D$9:$D$47,MATCH('EEPROM-Contents'!V31,$B$9:$B$47,0)),2)</f>
        <v>64</v>
      </c>
      <c r="U37" s="84" t="str">
        <f ca="1">RIGHT(INDEX($D$9:$D$47,MATCH('EEPROM-Contents'!W31,$B$9:$B$47,0)),2)</f>
        <v>23</v>
      </c>
      <c r="V37" s="79" t="str">
        <f>RIGHT(INDEX('EEPROM-Contents'!$K$4:'EEPROM-Contents'!$K$141,MATCH('EEPROM-Contents'!X31,'EEPROM-Contents'!$I$4:'EEPROM-Contents'!$I$141,0)),2)</f>
        <v>0F</v>
      </c>
      <c r="W37" s="84" t="str">
        <f>RIGHT(INDEX($D$9:$D$47,MATCH('EEPROM-Contents'!Y31,$B$9:$B$47,0)),2)</f>
        <v>89</v>
      </c>
      <c r="X37" s="84" t="str">
        <f ca="1">RIGHT(INDEX($D$9:$D$47,MATCH('EEPROM-Contents'!Z31,$B$9:$B$47,0)),2)</f>
        <v>07</v>
      </c>
      <c r="Y37" s="84" t="str">
        <f ca="1">RIGHT(INDEX($D$9:$D$47,MATCH('EEPROM-Contents'!AA31,$B$9:$B$47,0)),2)</f>
        <v>01</v>
      </c>
      <c r="Z37" s="84" t="str">
        <f ca="1">RIGHT(INDEX($D$9:$D$47,MATCH('EEPROM-Contents'!AB31,$B$9:$B$47,0)),2)</f>
        <v>03</v>
      </c>
      <c r="AA37" s="84" t="str">
        <f>RIGHT(INDEX($D$9:$D$47,MATCH('EEPROM-Contents'!AC31,$B$9:$B$47,0)),2)</f>
        <v>03</v>
      </c>
      <c r="AB37" s="84" t="str">
        <f>RIGHT(INDEX($D$9:$D$47,MATCH('EEPROM-Contents'!AD31,$B$9:$B$47,0)),2)</f>
        <v>F5</v>
      </c>
      <c r="AC37" s="84" t="str">
        <f>RIGHT(INDEX($D$9:$D$47,MATCH('EEPROM-Contents'!AE31,$B$9:$B$47,0)),2)</f>
        <v>00</v>
      </c>
      <c r="AD37" s="84" t="str">
        <f>RIGHT(INDEX($D$9:$D$47,MATCH('EEPROM-Contents'!AF31,$B$9:$B$47,0)),2)</f>
        <v>00</v>
      </c>
      <c r="AF37" s="81" t="str">
        <f t="shared" ca="1" si="3"/>
        <v>1200CD7C0A0000000000000000FF6464230F8907010303F5000000</v>
      </c>
    </row>
    <row r="38" spans="2:32" x14ac:dyDescent="0.3">
      <c r="B38" s="85">
        <f>'EEPROM-Contents'!B111</f>
        <v>107</v>
      </c>
      <c r="C38" s="75">
        <f t="shared" si="4"/>
        <v>128</v>
      </c>
      <c r="D38" s="229" t="str">
        <f>K23</f>
        <v>80</v>
      </c>
      <c r="E38" s="66" t="str">
        <f>'EEPROM-Contents'!L111</f>
        <v>Accelerometer Cal</v>
      </c>
      <c r="F38" s="67"/>
      <c r="G38" s="68"/>
      <c r="N38" s="78" t="s">
        <v>370</v>
      </c>
      <c r="O38" s="84" t="str">
        <f>RIGHT(INDEX($D$9:$D$47,MATCH('EEPROM-Contents'!Q32,$B$9:$B$47,0)),2)</f>
        <v>27</v>
      </c>
      <c r="P38" s="84" t="str">
        <f>RIGHT(INDEX($D$9:$D$47,MATCH('EEPROM-Contents'!R32,$B$9:$B$47,0)),2)</f>
        <v>0F</v>
      </c>
      <c r="Q38" s="84" t="str">
        <f>RIGHT(INDEX($D$9:$D$47,MATCH('EEPROM-Contents'!S32,$B$9:$B$47,0)),2)</f>
        <v>80</v>
      </c>
      <c r="R38" s="84" t="str">
        <f>RIGHT(INDEX($D$9:$D$47,MATCH('EEPROM-Contents'!T32,$B$9:$B$47,0)),2)</f>
        <v>00</v>
      </c>
      <c r="S38" s="84" t="str">
        <f>RIGHT(INDEX($D$9:$D$47,MATCH('EEPROM-Contents'!U32,$B$9:$B$47,0)),2)</f>
        <v>80</v>
      </c>
      <c r="T38" s="84" t="str">
        <f>RIGHT(INDEX($D$9:$D$47,MATCH('EEPROM-Contents'!V32,$B$9:$B$47,0)),2)</f>
        <v>00</v>
      </c>
      <c r="U38" s="84" t="str">
        <f>RIGHT(INDEX($D$9:$D$47,MATCH('EEPROM-Contents'!W32,$B$9:$B$47,0)),2)</f>
        <v>00</v>
      </c>
      <c r="V38" s="84" t="str">
        <f>RIGHT(INDEX($D$9:$D$47,MATCH('EEPROM-Contents'!X32,$B$9:$B$47,0)),2)</f>
        <v>00</v>
      </c>
      <c r="W38" s="84" t="str">
        <f>RIGHT(INDEX($D$9:$D$47,MATCH('EEPROM-Contents'!Y32,$B$9:$B$47,0)),2)</f>
        <v>00</v>
      </c>
      <c r="X38" s="84" t="str">
        <f>RIGHT(INDEX($D$9:$D$47,MATCH('EEPROM-Contents'!Z32,$B$9:$B$47,0)),2)</f>
        <v>00</v>
      </c>
      <c r="Y38" s="84" t="str">
        <f>RIGHT(INDEX($D$9:$D$47,MATCH('EEPROM-Contents'!AA32,$B$9:$B$47,0)),2)</f>
        <v>FF</v>
      </c>
      <c r="Z38" s="84" t="str">
        <f>RIGHT(INDEX($D$9:$D$47,MATCH('EEPROM-Contents'!AB32,$B$9:$B$47,0)),2)</f>
        <v>64</v>
      </c>
      <c r="AA38" s="84" t="str">
        <f>RIGHT(INDEX($D$9:$D$47,MATCH('EEPROM-Contents'!AC32,$B$9:$B$47,0)),2)</f>
        <v>64</v>
      </c>
      <c r="AB38" s="84" t="str">
        <f ca="1">RIGHT(INDEX($D$9:$D$47,MATCH('EEPROM-Contents'!AD32,$B$9:$B$47,0)),2)</f>
        <v>23</v>
      </c>
      <c r="AC38" s="79" t="str">
        <f>RIGHT(INDEX('EEPROM-Contents'!$K$4:'EEPROM-Contents'!$K$141,MATCH('EEPROM-Contents'!AE32,'EEPROM-Contents'!$I$4:'EEPROM-Contents'!$I$141,0)),2)</f>
        <v>10</v>
      </c>
      <c r="AD38" s="84" t="str">
        <f>RIGHT(INDEX($D$9:$D$47,MATCH('EEPROM-Contents'!AF32,$B$9:$B$47,0)),2)</f>
        <v>89</v>
      </c>
      <c r="AF38" s="81" t="str">
        <f t="shared" ca="1" si="3"/>
        <v>1200CD7C0A0000000000270F8000800000000000FF646423108900</v>
      </c>
    </row>
    <row r="39" spans="2:32" x14ac:dyDescent="0.3">
      <c r="B39" s="85">
        <f>'EEPROM-Contents'!B112</f>
        <v>108</v>
      </c>
      <c r="C39" s="75">
        <f t="shared" si="4"/>
        <v>0</v>
      </c>
      <c r="D39" s="229" t="str">
        <f>K24</f>
        <v>00</v>
      </c>
      <c r="E39" s="66" t="str">
        <f>'EEPROM-Contents'!L112</f>
        <v>Accelerometer Cal</v>
      </c>
      <c r="F39" s="67"/>
      <c r="G39" s="68"/>
      <c r="N39" s="78" t="s">
        <v>371</v>
      </c>
      <c r="O39" s="84" t="str">
        <f ca="1">RIGHT(INDEX($D$9:$D$47,MATCH('EEPROM-Contents'!Q33,$B$9:$B$47,0)),2)</f>
        <v>07</v>
      </c>
      <c r="P39" s="84" t="str">
        <f ca="1">RIGHT(INDEX($D$9:$D$47,MATCH('EEPROM-Contents'!R33,$B$9:$B$47,0)),2)</f>
        <v>01</v>
      </c>
      <c r="Q39" s="84" t="str">
        <f ca="1">RIGHT(INDEX($D$9:$D$47,MATCH('EEPROM-Contents'!S33,$B$9:$B$47,0)),2)</f>
        <v>03</v>
      </c>
      <c r="R39" s="84" t="str">
        <f>RIGHT(INDEX($D$9:$D$47,MATCH('EEPROM-Contents'!T33,$B$9:$B$47,0)),2)</f>
        <v>03</v>
      </c>
      <c r="S39" s="84" t="str">
        <f>RIGHT(INDEX($D$9:$D$47,MATCH('EEPROM-Contents'!U33,$B$9:$B$47,0)),2)</f>
        <v>F5</v>
      </c>
      <c r="T39" s="84" t="str">
        <f>RIGHT(INDEX($D$9:$D$47,MATCH('EEPROM-Contents'!V33,$B$9:$B$47,0)),2)</f>
        <v>00</v>
      </c>
      <c r="U39" s="84" t="str">
        <f>RIGHT(INDEX($D$9:$D$47,MATCH('EEPROM-Contents'!W33,$B$9:$B$47,0)),2)</f>
        <v>00</v>
      </c>
      <c r="V39" s="84" t="str">
        <f>RIGHT(INDEX($D$9:$D$47,MATCH('EEPROM-Contents'!X33,$B$9:$B$47,0)),2)</f>
        <v>27</v>
      </c>
      <c r="W39" s="84" t="str">
        <f>RIGHT(INDEX($D$9:$D$47,MATCH('EEPROM-Contents'!Y33,$B$9:$B$47,0)),2)</f>
        <v>0F</v>
      </c>
      <c r="X39" s="84" t="str">
        <f>RIGHT(INDEX($D$9:$D$47,MATCH('EEPROM-Contents'!Z33,$B$9:$B$47,0)),2)</f>
        <v>80</v>
      </c>
      <c r="Y39" s="84" t="str">
        <f>RIGHT(INDEX($D$9:$D$47,MATCH('EEPROM-Contents'!AA33,$B$9:$B$47,0)),2)</f>
        <v>00</v>
      </c>
      <c r="Z39" s="84" t="str">
        <f>RIGHT(INDEX($D$9:$D$47,MATCH('EEPROM-Contents'!AB33,$B$9:$B$47,0)),2)</f>
        <v>80</v>
      </c>
      <c r="AA39" s="84" t="str">
        <f>RIGHT(INDEX($D$9:$D$47,MATCH('EEPROM-Contents'!AC33,$B$9:$B$47,0)),2)</f>
        <v>00</v>
      </c>
      <c r="AB39" s="84" t="str">
        <f>RIGHT(INDEX($D$9:$D$47,MATCH('EEPROM-Contents'!AD33,$B$9:$B$47,0)),2)</f>
        <v>00</v>
      </c>
      <c r="AC39" s="84" t="str">
        <f>RIGHT(INDEX($D$9:$D$47,MATCH('EEPROM-Contents'!AE33,$B$9:$B$47,0)),2)</f>
        <v>00</v>
      </c>
      <c r="AD39" s="84" t="str">
        <f>RIGHT(INDEX($D$9:$D$47,MATCH('EEPROM-Contents'!AF33,$B$9:$B$47,0)),2)</f>
        <v>00</v>
      </c>
      <c r="AF39" s="81" t="str">
        <f t="shared" ca="1" si="3"/>
        <v>1200CD7C0A000000000007010303F50000270F8000800000000000</v>
      </c>
    </row>
    <row r="40" spans="2:32" x14ac:dyDescent="0.3">
      <c r="B40" s="85">
        <f>'EEPROM-Contents'!B113</f>
        <v>109</v>
      </c>
      <c r="C40" s="75">
        <f t="shared" si="4"/>
        <v>0</v>
      </c>
      <c r="D40" s="229" t="str">
        <f>K33</f>
        <v>00</v>
      </c>
      <c r="E40" s="66" t="str">
        <f>'EEPROM-Contents'!L113</f>
        <v>Cal Factor for CondyleA 16mm</v>
      </c>
      <c r="F40" s="67"/>
      <c r="G40" s="68"/>
      <c r="N40" s="78" t="s">
        <v>372</v>
      </c>
      <c r="O40" s="84" t="str">
        <f>RIGHT(INDEX($D$9:$D$47,MATCH('EEPROM-Contents'!Q34,$B$9:$B$47,0)),2)</f>
        <v>00</v>
      </c>
      <c r="P40" s="84" t="str">
        <f>RIGHT(INDEX($D$9:$D$47,MATCH('EEPROM-Contents'!R34,$B$9:$B$47,0)),2)</f>
        <v>FF</v>
      </c>
      <c r="Q40" s="84" t="str">
        <f>RIGHT(INDEX($D$9:$D$47,MATCH('EEPROM-Contents'!S34,$B$9:$B$47,0)),2)</f>
        <v>64</v>
      </c>
      <c r="R40" s="84" t="str">
        <f>RIGHT(INDEX($D$9:$D$47,MATCH('EEPROM-Contents'!T34,$B$9:$B$47,0)),2)</f>
        <v>64</v>
      </c>
      <c r="S40" s="84" t="str">
        <f ca="1">RIGHT(INDEX($D$9:$D$47,MATCH('EEPROM-Contents'!U34,$B$9:$B$47,0)),2)</f>
        <v>23</v>
      </c>
      <c r="T40" s="79" t="str">
        <f>RIGHT(INDEX('EEPROM-Contents'!$K$4:'EEPROM-Contents'!$K$141,MATCH('EEPROM-Contents'!V34,'EEPROM-Contents'!$I$4:'EEPROM-Contents'!$I$141,0)),2)</f>
        <v>11</v>
      </c>
      <c r="U40" s="84" t="str">
        <f>RIGHT(INDEX($D$9:$D$47,MATCH('EEPROM-Contents'!W34,$B$9:$B$47,0)),2)</f>
        <v>89</v>
      </c>
      <c r="V40" s="84" t="str">
        <f ca="1">RIGHT(INDEX($D$9:$D$47,MATCH('EEPROM-Contents'!X34,$B$9:$B$47,0)),2)</f>
        <v>07</v>
      </c>
      <c r="W40" s="84" t="str">
        <f ca="1">RIGHT(INDEX($D$9:$D$47,MATCH('EEPROM-Contents'!Y34,$B$9:$B$47,0)),2)</f>
        <v>01</v>
      </c>
      <c r="X40" s="84" t="str">
        <f ca="1">RIGHT(INDEX($D$9:$D$47,MATCH('EEPROM-Contents'!Z34,$B$9:$B$47,0)),2)</f>
        <v>03</v>
      </c>
      <c r="Y40" s="84" t="str">
        <f>RIGHT(INDEX($D$9:$D$47,MATCH('EEPROM-Contents'!AA34,$B$9:$B$47,0)),2)</f>
        <v>03</v>
      </c>
      <c r="Z40" s="84" t="str">
        <f>RIGHT(INDEX($D$9:$D$47,MATCH('EEPROM-Contents'!AB34,$B$9:$B$47,0)),2)</f>
        <v>F5</v>
      </c>
      <c r="AA40" s="84" t="str">
        <f>RIGHT(INDEX($D$9:$D$47,MATCH('EEPROM-Contents'!AC34,$B$9:$B$47,0)),2)</f>
        <v>00</v>
      </c>
      <c r="AB40" s="84" t="str">
        <f>RIGHT(INDEX($D$9:$D$47,MATCH('EEPROM-Contents'!AD34,$B$9:$B$47,0)),2)</f>
        <v>00</v>
      </c>
      <c r="AC40" s="84" t="str">
        <f>RIGHT(INDEX($D$9:$D$47,MATCH('EEPROM-Contents'!AE34,$B$9:$B$47,0)),2)</f>
        <v>27</v>
      </c>
      <c r="AD40" s="84" t="str">
        <f>RIGHT(INDEX($D$9:$D$47,MATCH('EEPROM-Contents'!AF34,$B$9:$B$47,0)),2)</f>
        <v>0F</v>
      </c>
      <c r="AF40" s="81" t="str">
        <f t="shared" ca="1" si="3"/>
        <v>1200CD7C0A000000000000FF646423118907010303F50000270F00</v>
      </c>
    </row>
    <row r="41" spans="2:32" ht="15" thickBot="1" x14ac:dyDescent="0.35">
      <c r="B41" s="85">
        <f>'EEPROM-Contents'!B114</f>
        <v>110</v>
      </c>
      <c r="C41" s="75">
        <f t="shared" si="4"/>
        <v>0</v>
      </c>
      <c r="D41" s="229" t="str">
        <f>K34</f>
        <v>00</v>
      </c>
      <c r="E41" s="66" t="str">
        <f>'EEPROM-Contents'!L114</f>
        <v>Cal Factor for CondyleB 16mm</v>
      </c>
      <c r="F41" s="67"/>
      <c r="G41" s="68"/>
      <c r="N41" s="78" t="s">
        <v>373</v>
      </c>
      <c r="O41" s="84" t="str">
        <f>RIGHT(INDEX($D$9:$D$47,MATCH('EEPROM-Contents'!Q35,$B$9:$B$47,0)),2)</f>
        <v>80</v>
      </c>
      <c r="P41" s="84" t="str">
        <f>RIGHT(INDEX($D$9:$D$47,MATCH('EEPROM-Contents'!R35,$B$9:$B$47,0)),2)</f>
        <v>00</v>
      </c>
      <c r="Q41" s="84" t="str">
        <f>RIGHT(INDEX($D$9:$D$47,MATCH('EEPROM-Contents'!S35,$B$9:$B$47,0)),2)</f>
        <v>80</v>
      </c>
      <c r="R41" s="84" t="str">
        <f>RIGHT(INDEX($D$9:$D$47,MATCH('EEPROM-Contents'!T35,$B$9:$B$47,0)),2)</f>
        <v>00</v>
      </c>
      <c r="S41" s="84" t="str">
        <f>RIGHT(INDEX($D$9:$D$47,MATCH('EEPROM-Contents'!U35,$B$9:$B$47,0)),2)</f>
        <v>00</v>
      </c>
      <c r="T41" s="84" t="str">
        <f>RIGHT(INDEX($D$9:$D$47,MATCH('EEPROM-Contents'!V35,$B$9:$B$47,0)),2)</f>
        <v>00</v>
      </c>
      <c r="U41" s="84" t="str">
        <f>RIGHT(INDEX($D$9:$D$47,MATCH('EEPROM-Contents'!W35,$B$9:$B$47,0)),2)</f>
        <v>00</v>
      </c>
      <c r="V41" s="84" t="str">
        <f>RIGHT(INDEX($D$9:$D$47,MATCH('EEPROM-Contents'!X35,$B$9:$B$47,0)),2)</f>
        <v>00</v>
      </c>
      <c r="W41" s="84" t="str">
        <f>RIGHT(INDEX($D$9:$D$47,MATCH('EEPROM-Contents'!Y35,$B$9:$B$47,0)),2)</f>
        <v>FF</v>
      </c>
      <c r="X41" s="84" t="str">
        <f>RIGHT(INDEX($D$9:$D$47,MATCH('EEPROM-Contents'!Z35,$B$9:$B$47,0)),2)</f>
        <v>64</v>
      </c>
      <c r="Y41" s="84" t="str">
        <f>RIGHT(INDEX($D$9:$D$47,MATCH('EEPROM-Contents'!AA35,$B$9:$B$47,0)),2)</f>
        <v>64</v>
      </c>
      <c r="Z41" s="84" t="str">
        <f ca="1">RIGHT(INDEX($D$9:$D$47,MATCH('EEPROM-Contents'!AB35,$B$9:$B$47,0)),2)</f>
        <v>23</v>
      </c>
      <c r="AA41" s="79" t="str">
        <f>RIGHT(INDEX('EEPROM-Contents'!$K$4:'EEPROM-Contents'!$K$141,MATCH('EEPROM-Contents'!AC35,'EEPROM-Contents'!$I$4:'EEPROM-Contents'!$I$141,0)),2)</f>
        <v>12</v>
      </c>
      <c r="AB41" s="79" t="str">
        <f>RIGHT(INDEX('EEPROM-Contents'!$K$4:'EEPROM-Contents'!$K$141,MATCH('EEPROM-Contents'!AD35,'EEPROM-Contents'!$I$4:'EEPROM-Contents'!$I$141,0)),2)</f>
        <v>80</v>
      </c>
      <c r="AC41" s="79" t="str">
        <f>RIGHT(INDEX('EEPROM-Contents'!$K$4:'EEPROM-Contents'!$K$141,MATCH('EEPROM-Contents'!AE35,'EEPROM-Contents'!$I$4:'EEPROM-Contents'!$I$141,0)),2)</f>
        <v>00</v>
      </c>
      <c r="AD41" s="79" t="str">
        <f>RIGHT(INDEX('EEPROM-Contents'!$K$4:'EEPROM-Contents'!$K$141,MATCH('EEPROM-Contents'!AF35,'EEPROM-Contents'!$I$4:'EEPROM-Contents'!$I$141,0)),2)</f>
        <v>00</v>
      </c>
      <c r="AF41" s="82" t="str">
        <f t="shared" ca="1" si="3"/>
        <v>1200CD7C0A00000000008000800000000000FF6464231280000000</v>
      </c>
    </row>
    <row r="42" spans="2:32" x14ac:dyDescent="0.3">
      <c r="B42" s="85">
        <f>'EEPROM-Contents'!B115</f>
        <v>111</v>
      </c>
      <c r="C42" s="75">
        <f t="shared" si="4"/>
        <v>0</v>
      </c>
      <c r="D42" s="229" t="str">
        <f>K28</f>
        <v>00</v>
      </c>
      <c r="E42" s="66" t="str">
        <f>'EEPROM-Contents'!L115</f>
        <v>Voltage H Cal 3.1V</v>
      </c>
      <c r="F42" s="67"/>
      <c r="G42" s="68"/>
    </row>
    <row r="43" spans="2:32" x14ac:dyDescent="0.3">
      <c r="B43" s="85">
        <f>'EEPROM-Contents'!B116</f>
        <v>112</v>
      </c>
      <c r="C43" s="75">
        <f t="shared" si="4"/>
        <v>0</v>
      </c>
      <c r="D43" s="229" t="str">
        <f>K29</f>
        <v>00</v>
      </c>
      <c r="E43" s="66" t="str">
        <f>'EEPROM-Contents'!L116</f>
        <v>Voltage L Cal 3.1V</v>
      </c>
      <c r="F43" s="67"/>
      <c r="G43" s="68"/>
    </row>
    <row r="44" spans="2:32" x14ac:dyDescent="0.3">
      <c r="B44" s="85">
        <f>'EEPROM-Contents'!B117</f>
        <v>113</v>
      </c>
      <c r="C44" s="75">
        <f>HEX2DEC(D44)</f>
        <v>255</v>
      </c>
      <c r="D44" s="228" t="str">
        <f>F4</f>
        <v>FF</v>
      </c>
      <c r="E44" s="66" t="str">
        <f>'EEPROM-Contents'!L117</f>
        <v>Operating Side</v>
      </c>
      <c r="F44" s="67"/>
      <c r="G44" s="68"/>
    </row>
    <row r="45" spans="2:32" x14ac:dyDescent="0.3">
      <c r="B45" s="85">
        <f>'EEPROM-Contents'!B118</f>
        <v>114</v>
      </c>
      <c r="C45" s="75">
        <f t="shared" si="4"/>
        <v>100</v>
      </c>
      <c r="D45" s="228" t="str">
        <f>J5</f>
        <v>64</v>
      </c>
      <c r="E45" s="66" t="str">
        <f>'EEPROM-Contents'!L118</f>
        <v>Cal Factor for CondyleA 10mm</v>
      </c>
      <c r="F45" s="67"/>
      <c r="G45" s="68"/>
    </row>
    <row r="46" spans="2:32" x14ac:dyDescent="0.3">
      <c r="B46" s="85">
        <f>'EEPROM-Contents'!B119</f>
        <v>115</v>
      </c>
      <c r="C46" s="75">
        <f t="shared" si="4"/>
        <v>100</v>
      </c>
      <c r="D46" s="228" t="str">
        <f>K5</f>
        <v>64</v>
      </c>
      <c r="E46" s="66" t="str">
        <f>'EEPROM-Contents'!L119</f>
        <v>Cal Factor for CondyleB 10mm</v>
      </c>
      <c r="F46" s="67"/>
      <c r="G46" s="68"/>
    </row>
    <row r="47" spans="2:32" x14ac:dyDescent="0.3">
      <c r="B47" s="85">
        <f>'EEPROM-Contents'!B120</f>
        <v>116</v>
      </c>
      <c r="C47" s="75">
        <f ca="1">255-HEX2DEC(RIGHT(DEC2HEX(SUM(C22:C46)),2))</f>
        <v>35</v>
      </c>
      <c r="D47" s="228" t="str">
        <f ca="1">DEC2HEX($C$47,2)</f>
        <v>23</v>
      </c>
      <c r="E47" s="66" t="str">
        <f>'EEPROM-Contents'!L120</f>
        <v>Checksum</v>
      </c>
      <c r="F47" s="67"/>
      <c r="G47" s="68"/>
    </row>
  </sheetData>
  <mergeCells count="1">
    <mergeCell ref="B2:L2"/>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AF89"/>
  <sheetViews>
    <sheetView workbookViewId="0">
      <selection activeCell="E4" sqref="E4"/>
    </sheetView>
  </sheetViews>
  <sheetFormatPr defaultColWidth="8.5546875" defaultRowHeight="14.4" x14ac:dyDescent="0.3"/>
  <cols>
    <col min="1" max="1" width="3" customWidth="1"/>
    <col min="5" max="5" width="11.44140625" customWidth="1"/>
    <col min="6" max="6" width="9.5546875" bestFit="1" customWidth="1"/>
    <col min="9" max="9" width="10.5546875" bestFit="1" customWidth="1"/>
    <col min="14" max="14" width="13.109375" customWidth="1"/>
    <col min="15" max="30" width="5.44140625" customWidth="1"/>
    <col min="32" max="32" width="64.44140625" bestFit="1" customWidth="1"/>
  </cols>
  <sheetData>
    <row r="2" spans="2:32" x14ac:dyDescent="0.3">
      <c r="B2" s="437" t="s">
        <v>295</v>
      </c>
      <c r="C2" s="437"/>
      <c r="D2" s="437"/>
      <c r="E2" s="437"/>
      <c r="F2" s="437"/>
      <c r="G2" s="437"/>
      <c r="H2" s="437"/>
      <c r="I2" s="437"/>
      <c r="J2" s="437"/>
      <c r="K2" s="437"/>
      <c r="L2" s="437"/>
    </row>
    <row r="3" spans="2:32" x14ac:dyDescent="0.3">
      <c r="B3" s="61" t="s">
        <v>197</v>
      </c>
      <c r="C3" s="61" t="s">
        <v>296</v>
      </c>
      <c r="D3" s="61" t="s">
        <v>297</v>
      </c>
      <c r="E3" s="61" t="s">
        <v>298</v>
      </c>
      <c r="F3" s="61" t="s">
        <v>585</v>
      </c>
      <c r="G3" s="61" t="s">
        <v>299</v>
      </c>
      <c r="H3" s="61" t="s">
        <v>300</v>
      </c>
      <c r="I3" s="61" t="s">
        <v>301</v>
      </c>
      <c r="J3" s="61" t="s">
        <v>199</v>
      </c>
      <c r="K3" s="61" t="s">
        <v>200</v>
      </c>
      <c r="L3" s="25" t="s">
        <v>182</v>
      </c>
    </row>
    <row r="4" spans="2:32" x14ac:dyDescent="0.3">
      <c r="B4" s="176">
        <f>'1204-Initial'!B4</f>
        <v>1013</v>
      </c>
      <c r="C4" s="176">
        <f>'1204-Initial'!C4</f>
        <v>5</v>
      </c>
      <c r="D4" s="176">
        <f>'1204-Initial'!D4</f>
        <v>9999</v>
      </c>
      <c r="E4" s="177">
        <f>'1204-Initial'!E4</f>
        <v>13466634</v>
      </c>
      <c r="F4" s="190" t="str">
        <f>'1204-Initial'!F4</f>
        <v>FF</v>
      </c>
      <c r="G4" s="176">
        <f>INDEX('FTS-Initialization'!$W$20:$W$32,MATCH(FLOOR($B$4,1000),'FTS-Initialization'!$V$20:$V$32,0))</f>
        <v>84</v>
      </c>
      <c r="H4" s="176" t="str">
        <f>INDEX('FTS-Initialization'!$X$20:$X$32,MATCH(FLOOR($B$4,1000),'FTS-Initialization'!$V$20:$V$32,0))</f>
        <v>TKA</v>
      </c>
      <c r="I4" s="178">
        <f ca="1">TODAY()</f>
        <v>42738</v>
      </c>
      <c r="J4" s="176">
        <f>'FTS-Initialization'!$AA$29</f>
        <v>100</v>
      </c>
      <c r="K4" s="176">
        <f>'FTS-Initialization'!$AA$29</f>
        <v>100</v>
      </c>
      <c r="L4" s="176"/>
      <c r="N4" t="s">
        <v>462</v>
      </c>
    </row>
    <row r="5" spans="2:32" x14ac:dyDescent="0.3">
      <c r="B5" s="179" t="str">
        <f>DEC2HEX(B4,4)</f>
        <v>03F5</v>
      </c>
      <c r="C5" s="179" t="str">
        <f>DEC2HEX(C4*2,2)</f>
        <v>0A</v>
      </c>
      <c r="D5" s="179" t="str">
        <f>DEC2HEX(D4,8)</f>
        <v>0000270F</v>
      </c>
      <c r="E5" s="179" t="str">
        <f>DEC2HEX(E4,8)</f>
        <v>00CD7C0A</v>
      </c>
      <c r="F5" s="180" t="str">
        <f ca="1">DEC2HEX(YEAR($I$4)-2010,2)</f>
        <v>07</v>
      </c>
      <c r="G5" s="179" t="str">
        <f ca="1">DEC2HEX(MONTH($I$4),2)</f>
        <v>01</v>
      </c>
      <c r="H5" s="179" t="str">
        <f ca="1">DEC2HEX(DAY($I$4),2)</f>
        <v>03</v>
      </c>
      <c r="I5" s="179" t="str">
        <f>DEC2HEX('FTS-Initialization'!$AA$31,2)</f>
        <v>00</v>
      </c>
      <c r="J5" s="179" t="str">
        <f t="shared" ref="J5:K5" si="0">DEC2HEX(J4)</f>
        <v>64</v>
      </c>
      <c r="K5" s="179" t="str">
        <f t="shared" si="0"/>
        <v>64</v>
      </c>
      <c r="L5" s="179">
        <f>'1204-Initial'!L5</f>
        <v>89</v>
      </c>
      <c r="N5" s="78">
        <v>13466634</v>
      </c>
      <c r="O5" s="79">
        <v>12</v>
      </c>
      <c r="P5" s="79" t="str">
        <f>MID(DEC2HEX($N$5,8),1,2)</f>
        <v>00</v>
      </c>
      <c r="Q5" s="79" t="str">
        <f>MID(DEC2HEX($N$5,8),3,2)</f>
        <v>CD</v>
      </c>
      <c r="R5" s="79" t="str">
        <f>MID(DEC2HEX($N$5,8),5,2)</f>
        <v>7C</v>
      </c>
      <c r="S5" s="79" t="str">
        <f>MID(DEC2HEX($N$5,8),7,2)</f>
        <v>0A</v>
      </c>
      <c r="T5" s="123" t="s">
        <v>458</v>
      </c>
      <c r="U5" s="123" t="s">
        <v>458</v>
      </c>
      <c r="V5" s="123" t="s">
        <v>458</v>
      </c>
      <c r="W5" s="123" t="s">
        <v>458</v>
      </c>
      <c r="X5" s="123" t="s">
        <v>458</v>
      </c>
    </row>
    <row r="6" spans="2:32" x14ac:dyDescent="0.3">
      <c r="B6" s="61" t="str">
        <f>B3</f>
        <v>DevType</v>
      </c>
      <c r="C6" s="61" t="str">
        <f t="shared" ref="C6:E6" si="1">C3</f>
        <v>Channel</v>
      </c>
      <c r="D6" s="61" t="str">
        <f t="shared" si="1"/>
        <v>Lot #</v>
      </c>
      <c r="E6" s="61" t="str">
        <f t="shared" si="1"/>
        <v>Serial #</v>
      </c>
      <c r="F6" s="61" t="s">
        <v>185</v>
      </c>
      <c r="G6" s="61" t="s">
        <v>183</v>
      </c>
      <c r="H6" s="61" t="s">
        <v>184</v>
      </c>
      <c r="I6" s="61" t="s">
        <v>323</v>
      </c>
      <c r="J6" s="61" t="s">
        <v>199</v>
      </c>
      <c r="K6" s="61" t="s">
        <v>200</v>
      </c>
      <c r="L6" s="25" t="s">
        <v>322</v>
      </c>
      <c r="N6" s="78" t="s">
        <v>18</v>
      </c>
      <c r="O6" s="79">
        <v>12</v>
      </c>
      <c r="P6" s="79" t="str">
        <f>D22</f>
        <v>00</v>
      </c>
      <c r="Q6" s="79" t="str">
        <f>D23</f>
        <v>CD</v>
      </c>
      <c r="R6" s="79" t="str">
        <f>D24</f>
        <v>7C</v>
      </c>
      <c r="S6" s="79" t="str">
        <f>D25</f>
        <v>0A</v>
      </c>
      <c r="T6" s="79" t="s">
        <v>458</v>
      </c>
      <c r="U6" s="79" t="s">
        <v>458</v>
      </c>
      <c r="V6" s="79" t="s">
        <v>458</v>
      </c>
      <c r="W6" s="79" t="s">
        <v>458</v>
      </c>
      <c r="X6" s="79" t="s">
        <v>458</v>
      </c>
    </row>
    <row r="8" spans="2:32" ht="15" thickBot="1" x14ac:dyDescent="0.35">
      <c r="B8" t="s">
        <v>416</v>
      </c>
      <c r="N8" t="s">
        <v>401</v>
      </c>
      <c r="AF8" t="s">
        <v>402</v>
      </c>
    </row>
    <row r="9" spans="2:32" x14ac:dyDescent="0.3">
      <c r="B9" s="85">
        <f>'EEPROM-Contents'!B33</f>
        <v>29</v>
      </c>
      <c r="C9" s="74">
        <f t="shared" ref="C9:C21" ca="1" si="2">HEX2DEC(D9)</f>
        <v>2</v>
      </c>
      <c r="D9" s="77" t="str">
        <f ca="1">DEC2HEX(OFFSET('FTS-Initialization'!AC37,0,MATCH(H4,'FTS-Initialization'!$AD$36:$AE$36,0)),2)</f>
        <v>02</v>
      </c>
      <c r="E9" s="69" t="str">
        <f>'EEPROM-Contents'!L33</f>
        <v>SEN(0) X</v>
      </c>
      <c r="F9" s="70"/>
      <c r="G9" s="73"/>
      <c r="N9" s="78" t="s">
        <v>325</v>
      </c>
      <c r="O9" s="78" t="s">
        <v>326</v>
      </c>
      <c r="P9" s="78" t="s">
        <v>327</v>
      </c>
      <c r="Q9" s="78" t="s">
        <v>328</v>
      </c>
      <c r="R9" s="78" t="s">
        <v>329</v>
      </c>
      <c r="S9" s="78" t="s">
        <v>330</v>
      </c>
      <c r="T9" s="78" t="s">
        <v>331</v>
      </c>
      <c r="U9" s="78" t="s">
        <v>332</v>
      </c>
      <c r="V9" s="78" t="s">
        <v>333</v>
      </c>
      <c r="W9" s="78" t="s">
        <v>334</v>
      </c>
      <c r="X9" s="78" t="s">
        <v>335</v>
      </c>
      <c r="Y9" s="78" t="s">
        <v>336</v>
      </c>
      <c r="Z9" s="78" t="s">
        <v>337</v>
      </c>
      <c r="AA9" s="78" t="s">
        <v>338</v>
      </c>
      <c r="AB9" s="78" t="s">
        <v>339</v>
      </c>
      <c r="AC9" s="78" t="s">
        <v>340</v>
      </c>
      <c r="AD9" s="78" t="s">
        <v>341</v>
      </c>
      <c r="AF9" s="80" t="str">
        <f>CONCATENATE($O$5,$P$5,$Q$5,$R$5,$S$5,"A5AAAAAAAAAAAAAAAAAAAAAAAAAAAAAAAAAAAAAAAAAA")</f>
        <v>1200CD7C0AA5AAAAAAAAAAAAAAAAAAAAAAAAAAAAAAAAAAAAAAAAAA</v>
      </c>
    </row>
    <row r="10" spans="2:32" x14ac:dyDescent="0.3">
      <c r="B10" s="85">
        <f>'EEPROM-Contents'!B34</f>
        <v>30</v>
      </c>
      <c r="C10" s="74">
        <f t="shared" ca="1" si="2"/>
        <v>2</v>
      </c>
      <c r="D10" s="77" t="str">
        <f ca="1">DEC2HEX(OFFSET('FTS-Initialization'!AC38,0,MATCH($H$4,'FTS-Initialization'!$AD$36:$AE$36,0)),2)</f>
        <v>02</v>
      </c>
      <c r="E10" s="69" t="str">
        <f>'EEPROM-Contents'!L34</f>
        <v>SEN(1) Y</v>
      </c>
      <c r="F10" s="70"/>
      <c r="G10" s="73"/>
      <c r="N10" s="78" t="s">
        <v>326</v>
      </c>
      <c r="O10" s="79" t="str">
        <f>RIGHT(INDEX('EEPROM-Contents'!$K$4:'EEPROM-Contents'!$K$141,MATCH('EEPROM-Contents'!Q4,'EEPROM-Contents'!$I$4:'EEPROM-Contents'!$I$141,0)),2)</f>
        <v>1B</v>
      </c>
      <c r="P10" s="79" t="str">
        <f>RIGHT(INDEX('EEPROM-Contents'!$K$4:'EEPROM-Contents'!$K$141,MATCH('EEPROM-Contents'!R4,'EEPROM-Contents'!$I$4:'EEPROM-Contents'!$I$141,0)),2)</f>
        <v>00</v>
      </c>
      <c r="Q10" s="79" t="str">
        <f>RIGHT(INDEX('EEPROM-Contents'!$K$4:'EEPROM-Contents'!$K$141,MATCH('EEPROM-Contents'!S4,'EEPROM-Contents'!$I$4:'EEPROM-Contents'!$I$141,0)),2)</f>
        <v>00</v>
      </c>
      <c r="R10" s="79" t="str">
        <f>RIGHT(INDEX('EEPROM-Contents'!$K$4:'EEPROM-Contents'!$K$141,MATCH('EEPROM-Contents'!T4,'EEPROM-Contents'!$I$4:'EEPROM-Contents'!$I$141,0)),2)</f>
        <v>00</v>
      </c>
      <c r="S10" s="79" t="str">
        <f>RIGHT(INDEX('EEPROM-Contents'!$K$4:'EEPROM-Contents'!$K$141,MATCH('EEPROM-Contents'!U4,'EEPROM-Contents'!$I$4:'EEPROM-Contents'!$I$141,0)),2)</f>
        <v>00</v>
      </c>
      <c r="T10" s="79" t="str">
        <f>RIGHT(INDEX('EEPROM-Contents'!$K$4:'EEPROM-Contents'!$K$141,MATCH('EEPROM-Contents'!V4,'EEPROM-Contents'!$I$4:'EEPROM-Contents'!$I$141,0)),2)</f>
        <v>00</v>
      </c>
      <c r="U10" s="79" t="str">
        <f>RIGHT(INDEX('EEPROM-Contents'!$K$4:'EEPROM-Contents'!$K$141,MATCH('EEPROM-Contents'!W4,'EEPROM-Contents'!$I$4:'EEPROM-Contents'!$I$141,0)),2)</f>
        <v>00</v>
      </c>
      <c r="V10" s="79" t="str">
        <f>RIGHT(INDEX('EEPROM-Contents'!$K$4:'EEPROM-Contents'!$K$141,MATCH('EEPROM-Contents'!X4,'EEPROM-Contents'!$I$4:'EEPROM-Contents'!$I$141,0)),2)</f>
        <v>00</v>
      </c>
      <c r="W10" s="79" t="str">
        <f>RIGHT(INDEX('EEPROM-Contents'!$K$4:'EEPROM-Contents'!$K$141,MATCH('EEPROM-Contents'!Y4,'EEPROM-Contents'!$I$4:'EEPROM-Contents'!$I$141,0)),2)</f>
        <v>00</v>
      </c>
      <c r="X10" s="79" t="str">
        <f>RIGHT(INDEX('EEPROM-Contents'!$K$4:'EEPROM-Contents'!$K$141,MATCH('EEPROM-Contents'!Z4,'EEPROM-Contents'!$I$4:'EEPROM-Contents'!$I$141,0)),2)</f>
        <v>00</v>
      </c>
      <c r="Y10" s="79" t="str">
        <f>RIGHT(INDEX('EEPROM-Contents'!$K$4:'EEPROM-Contents'!$K$141,MATCH('EEPROM-Contents'!AA4,'EEPROM-Contents'!$I$4:'EEPROM-Contents'!$I$141,0)),2)</f>
        <v>01</v>
      </c>
      <c r="Z10" s="79" t="str">
        <f>RIGHT(INDEX('EEPROM-Contents'!$K$4:'EEPROM-Contents'!$K$141,MATCH('EEPROM-Contents'!AB4,'EEPROM-Contents'!$I$4:'EEPROM-Contents'!$I$141,0)),2)</f>
        <v>38</v>
      </c>
      <c r="AA10" s="79" t="str">
        <f>RIGHT(INDEX('EEPROM-Contents'!$K$4:'EEPROM-Contents'!$K$141,MATCH('EEPROM-Contents'!AC4,'EEPROM-Contents'!$I$4:'EEPROM-Contents'!$I$141,0)),2)</f>
        <v>21</v>
      </c>
      <c r="AB10" s="79" t="str">
        <f>RIGHT(INDEX('EEPROM-Contents'!$K$4:'EEPROM-Contents'!$K$141,MATCH('EEPROM-Contents'!AD4,'EEPROM-Contents'!$I$4:'EEPROM-Contents'!$I$141,0)),2)</f>
        <v>50</v>
      </c>
      <c r="AC10" s="79" t="str">
        <f>RIGHT(INDEX('EEPROM-Contents'!$K$4:'EEPROM-Contents'!$K$141,MATCH('EEPROM-Contents'!AE4,'EEPROM-Contents'!$I$4:'EEPROM-Contents'!$I$141,0)),2)</f>
        <v>FF</v>
      </c>
      <c r="AD10" s="79" t="str">
        <f>RIGHT(INDEX('EEPROM-Contents'!$K$4:'EEPROM-Contents'!$K$141,MATCH('EEPROM-Contents'!AF4,'EEPROM-Contents'!$I$4:'EEPROM-Contents'!$I$141,0)),2)</f>
        <v>EF</v>
      </c>
      <c r="AF10" s="81" t="str">
        <f>CONCATENATE($O$5,$P$5,$Q$5,$R$5,$S$5,$T$5,$U$5,$V$5,$W$5,$X$5,O10,P10,Q10,R10,S10,T10,U10,V10,W10,X10,Y10,Z10,AA10,AB10,AC10,AD10,"00")</f>
        <v>1200CD7C0A00000000001B00000000000000000001382150FFEF00</v>
      </c>
    </row>
    <row r="11" spans="2:32" x14ac:dyDescent="0.3">
      <c r="B11" s="85">
        <f>'EEPROM-Contents'!B35</f>
        <v>31</v>
      </c>
      <c r="C11" s="74">
        <f t="shared" ca="1" si="2"/>
        <v>4</v>
      </c>
      <c r="D11" s="77" t="str">
        <f ca="1">DEC2HEX(OFFSET('FTS-Initialization'!AC39,0,MATCH($H$4,'FTS-Initialization'!$AD$36:$AE$36,0)),2)</f>
        <v>04</v>
      </c>
      <c r="E11" s="69" t="str">
        <f>'EEPROM-Contents'!L35</f>
        <v>SEN(2) Z</v>
      </c>
      <c r="F11" s="70"/>
      <c r="G11" s="73"/>
      <c r="N11" s="78" t="s">
        <v>342</v>
      </c>
      <c r="O11" s="79" t="str">
        <f>RIGHT(INDEX('EEPROM-Contents'!$K$4:'EEPROM-Contents'!$K$141,MATCH('EEPROM-Contents'!Q5,'EEPROM-Contents'!$I$4:'EEPROM-Contents'!$I$141,0)),2)</f>
        <v>F0</v>
      </c>
      <c r="P11" s="79" t="str">
        <f>RIGHT(INDEX('EEPROM-Contents'!$K$4:'EEPROM-Contents'!$K$141,MATCH('EEPROM-Contents'!R5,'EEPROM-Contents'!$I$4:'EEPROM-Contents'!$I$141,0)),2)</f>
        <v>5D</v>
      </c>
      <c r="Q11" s="79" t="str">
        <f>RIGHT(INDEX('EEPROM-Contents'!$K$4:'EEPROM-Contents'!$K$141,MATCH('EEPROM-Contents'!S5,'EEPROM-Contents'!$I$4:'EEPROM-Contents'!$I$141,0)),2)</f>
        <v>01</v>
      </c>
      <c r="R11" s="79" t="str">
        <f>RIGHT(INDEX('EEPROM-Contents'!$K$4:'EEPROM-Contents'!$K$141,MATCH('EEPROM-Contents'!T5,'EEPROM-Contents'!$I$4:'EEPROM-Contents'!$I$141,0)),2)</f>
        <v>00</v>
      </c>
      <c r="S11" s="79" t="str">
        <f>RIGHT(INDEX('EEPROM-Contents'!$K$4:'EEPROM-Contents'!$K$141,MATCH('EEPROM-Contents'!U5,'EEPROM-Contents'!$I$4:'EEPROM-Contents'!$I$141,0)),2)</f>
        <v>00</v>
      </c>
      <c r="T11" s="79" t="str">
        <f>RIGHT(INDEX('EEPROM-Contents'!$K$4:'EEPROM-Contents'!$K$141,MATCH('EEPROM-Contents'!V5,'EEPROM-Contents'!$I$4:'EEPROM-Contents'!$I$141,0)),2)</f>
        <v>00</v>
      </c>
      <c r="U11" s="79" t="str">
        <f>RIGHT(INDEX('EEPROM-Contents'!$K$4:'EEPROM-Contents'!$K$141,MATCH('EEPROM-Contents'!W5,'EEPROM-Contents'!$I$4:'EEPROM-Contents'!$I$141,0)),2)</f>
        <v>06</v>
      </c>
      <c r="V11" s="79" t="str">
        <f>RIGHT(INDEX('EEPROM-Contents'!$K$4:'EEPROM-Contents'!$K$141,MATCH('EEPROM-Contents'!X5,'EEPROM-Contents'!$I$4:'EEPROM-Contents'!$I$141,0)),2)</f>
        <v>01</v>
      </c>
      <c r="W11" s="79" t="str">
        <f>RIGHT(INDEX('EEPROM-Contents'!$K$4:'EEPROM-Contents'!$K$141,MATCH('EEPROM-Contents'!Y5,'EEPROM-Contents'!$I$4:'EEPROM-Contents'!$I$141,0)),2)</f>
        <v>01</v>
      </c>
      <c r="X11" s="79" t="str">
        <f>RIGHT(INDEX('EEPROM-Contents'!$K$4:'EEPROM-Contents'!$K$141,MATCH('EEPROM-Contents'!Z5,'EEPROM-Contents'!$I$4:'EEPROM-Contents'!$I$141,0)),2)</f>
        <v>A5</v>
      </c>
      <c r="Y11" s="79" t="str">
        <f>RIGHT(INDEX('EEPROM-Contents'!$K$4:'EEPROM-Contents'!$K$141,MATCH('EEPROM-Contents'!AA5,'EEPROM-Contents'!$I$4:'EEPROM-Contents'!$I$141,0)),2)</f>
        <v>10</v>
      </c>
      <c r="Z11" s="79" t="str">
        <f>RIGHT(INDEX('EEPROM-Contents'!$K$4:'EEPROM-Contents'!$K$141,MATCH('EEPROM-Contents'!AB5,'EEPROM-Contents'!$I$4:'EEPROM-Contents'!$I$141,0)),2)</f>
        <v>00</v>
      </c>
      <c r="AA11" s="79" t="str">
        <f>RIGHT(INDEX('EEPROM-Contents'!$K$4:'EEPROM-Contents'!$K$141,MATCH('EEPROM-Contents'!AC5,'EEPROM-Contents'!$I$4:'EEPROM-Contents'!$I$141,0)),2)</f>
        <v>00</v>
      </c>
      <c r="AB11" s="84" t="str">
        <f ca="1">RIGHT(INDEX($D$9:$D$47,MATCH('EEPROM-Contents'!AD5,$B$9:$B$47,0)),2)</f>
        <v>02</v>
      </c>
      <c r="AC11" s="84" t="str">
        <f ca="1">RIGHT(INDEX($D$9:$D$47,MATCH('EEPROM-Contents'!AE5,$B$9:$B$47,0)),2)</f>
        <v>02</v>
      </c>
      <c r="AD11" s="84" t="str">
        <f ca="1">RIGHT(INDEX($D$9:$D$47,MATCH('EEPROM-Contents'!AF5,$B$9:$B$47,0)),2)</f>
        <v>04</v>
      </c>
      <c r="AF11" s="81" t="str">
        <f t="shared" ref="AF11:AF41" ca="1" si="3">CONCATENATE($O$5,$P$5,$Q$5,$R$5,$S$5,$T$5,$U$5,$V$5,$W$5,$X$5,O11,P11,Q11,R11,S11,T11,U11,V11,W11,X11,Y11,Z11,AA11,AB11,AC11,AD11,"00")</f>
        <v>1200CD7C0A0000000000F05D01000000060101A510000002020400</v>
      </c>
    </row>
    <row r="12" spans="2:32" x14ac:dyDescent="0.3">
      <c r="B12" s="85">
        <f>'EEPROM-Contents'!B36</f>
        <v>32</v>
      </c>
      <c r="C12" s="74">
        <f t="shared" ca="1" si="2"/>
        <v>4</v>
      </c>
      <c r="D12" s="77" t="str">
        <f ca="1">DEC2HEX(OFFSET('FTS-Initialization'!AC40,0,MATCH($H$4,'FTS-Initialization'!$AD$36:$AE$36,0)),2)</f>
        <v>04</v>
      </c>
      <c r="E12" s="69" t="str">
        <f>'EEPROM-Contents'!L36</f>
        <v>SEN(3) SP6B</v>
      </c>
      <c r="F12" s="70"/>
      <c r="G12" s="73"/>
      <c r="N12" s="78" t="s">
        <v>343</v>
      </c>
      <c r="O12" s="84" t="str">
        <f ca="1">RIGHT(INDEX($D$9:$D$47,MATCH('EEPROM-Contents'!Q6,$B$9:$B$47,0)),2)</f>
        <v>04</v>
      </c>
      <c r="P12" s="84" t="str">
        <f ca="1">RIGHT(INDEX($D$9:$D$47,MATCH('EEPROM-Contents'!R6,$B$9:$B$47,0)),2)</f>
        <v>04</v>
      </c>
      <c r="Q12" s="84" t="str">
        <f ca="1">RIGHT(INDEX($D$9:$D$47,MATCH('EEPROM-Contents'!S6,$B$9:$B$47,0)),2)</f>
        <v>04</v>
      </c>
      <c r="R12" s="84" t="str">
        <f ca="1">RIGHT(INDEX($D$9:$D$47,MATCH('EEPROM-Contents'!T6,$B$9:$B$47,0)),2)</f>
        <v>04</v>
      </c>
      <c r="S12" s="84" t="str">
        <f ca="1">RIGHT(INDEX($D$9:$D$47,MATCH('EEPROM-Contents'!U6,$B$9:$B$47,0)),2)</f>
        <v>04</v>
      </c>
      <c r="T12" s="84" t="str">
        <f ca="1">RIGHT(INDEX($D$9:$D$47,MATCH('EEPROM-Contents'!V6,$B$9:$B$47,0)),2)</f>
        <v>04</v>
      </c>
      <c r="U12" s="84" t="str">
        <f ca="1">RIGHT(INDEX($D$9:$D$47,MATCH('EEPROM-Contents'!W6,$B$9:$B$47,0)),2)</f>
        <v>04</v>
      </c>
      <c r="V12" s="79" t="str">
        <f>RIGHT(INDEX('EEPROM-Contents'!$K$4:'EEPROM-Contents'!$K$141,MATCH('EEPROM-Contents'!X6,'EEPROM-Contents'!$I$4:'EEPROM-Contents'!$I$141,0)),2)</f>
        <v>00</v>
      </c>
      <c r="W12" s="79" t="str">
        <f>RIGHT(INDEX('EEPROM-Contents'!$K$4:'EEPROM-Contents'!$K$141,MATCH('EEPROM-Contents'!Y6,'EEPROM-Contents'!$I$4:'EEPROM-Contents'!$I$141,0)),2)</f>
        <v>21</v>
      </c>
      <c r="X12" s="79" t="str">
        <f>RIGHT(INDEX('EEPROM-Contents'!$K$4:'EEPROM-Contents'!$K$141,MATCH('EEPROM-Contents'!Z6,'EEPROM-Contents'!$I$4:'EEPROM-Contents'!$I$141,0)),2)</f>
        <v>BF</v>
      </c>
      <c r="Y12" s="79" t="str">
        <f>RIGHT(INDEX('EEPROM-Contents'!$K$4:'EEPROM-Contents'!$K$141,MATCH('EEPROM-Contents'!AA6,'EEPROM-Contents'!$I$4:'EEPROM-Contents'!$I$141,0)),2)</f>
        <v>88</v>
      </c>
      <c r="Z12" s="79" t="str">
        <f>RIGHT(INDEX('EEPROM-Contents'!$K$4:'EEPROM-Contents'!$K$141,MATCH('EEPROM-Contents'!AB6,'EEPROM-Contents'!$I$4:'EEPROM-Contents'!$I$141,0)),2)</f>
        <v>02</v>
      </c>
      <c r="AA12" s="79" t="str">
        <f>RIGHT(INDEX('EEPROM-Contents'!$K$4:'EEPROM-Contents'!$K$141,MATCH('EEPROM-Contents'!AC6,'EEPROM-Contents'!$I$4:'EEPROM-Contents'!$I$141,0)),2)</f>
        <v>20</v>
      </c>
      <c r="AB12" s="79" t="str">
        <f>RIGHT(INDEX('EEPROM-Contents'!$K$4:'EEPROM-Contents'!$K$141,MATCH('EEPROM-Contents'!AD6,'EEPROM-Contents'!$I$4:'EEPROM-Contents'!$I$141,0)),2)</f>
        <v>20</v>
      </c>
      <c r="AC12" s="79" t="str">
        <f>RIGHT(INDEX('EEPROM-Contents'!$K$4:'EEPROM-Contents'!$K$141,MATCH('EEPROM-Contents'!AE6,'EEPROM-Contents'!$I$4:'EEPROM-Contents'!$I$141,0)),2)</f>
        <v>A0</v>
      </c>
      <c r="AD12" s="84" t="str">
        <f>RIGHT(INDEX($D$9:$D$47,MATCH('EEPROM-Contents'!AF6,$B$9:$B$47,0)),2)</f>
        <v>84</v>
      </c>
      <c r="AF12" s="81" t="str">
        <f t="shared" ca="1" si="3"/>
        <v>1200CD7C0A0000000000040404040404040021BF88022020A08400</v>
      </c>
    </row>
    <row r="13" spans="2:32" x14ac:dyDescent="0.3">
      <c r="B13" s="85">
        <f>'EEPROM-Contents'!B37</f>
        <v>33</v>
      </c>
      <c r="C13" s="74">
        <f t="shared" ca="1" si="2"/>
        <v>4</v>
      </c>
      <c r="D13" s="77" t="str">
        <f ca="1">DEC2HEX(OFFSET('FTS-Initialization'!AC41,0,MATCH($H$4,'FTS-Initialization'!$AD$36:$AE$36,0)),2)</f>
        <v>04</v>
      </c>
      <c r="E13" s="69" t="str">
        <f>'EEPROM-Contents'!L37</f>
        <v>SEN(4) SP5B</v>
      </c>
      <c r="F13" s="70"/>
      <c r="G13" s="73"/>
      <c r="N13" s="78" t="s">
        <v>344</v>
      </c>
      <c r="O13" s="79" t="str">
        <f>RIGHT(INDEX('EEPROM-Contents'!$K$4:'EEPROM-Contents'!$K$141,MATCH('EEPROM-Contents'!Q7,'EEPROM-Contents'!$I$4:'EEPROM-Contents'!$I$141,0)),2)</f>
        <v>00</v>
      </c>
      <c r="P13" s="79" t="str">
        <f>RIGHT(INDEX('EEPROM-Contents'!$K$4:'EEPROM-Contents'!$K$141,MATCH('EEPROM-Contents'!R7,'EEPROM-Contents'!$I$4:'EEPROM-Contents'!$I$141,0)),2)</f>
        <v>06</v>
      </c>
      <c r="Q13" s="79" t="str">
        <f>RIGHT(INDEX('EEPROM-Contents'!$K$4:'EEPROM-Contents'!$K$141,MATCH('EEPROM-Contents'!S7,'EEPROM-Contents'!$I$4:'EEPROM-Contents'!$I$141,0)),2)</f>
        <v>2E</v>
      </c>
      <c r="R13" s="79" t="str">
        <f>RIGHT(INDEX('EEPROM-Contents'!$K$4:'EEPROM-Contents'!$K$141,MATCH('EEPROM-Contents'!T7,'EEPROM-Contents'!$I$4:'EEPROM-Contents'!$I$141,0)),2)</f>
        <v>2F</v>
      </c>
      <c r="S13" s="79" t="str">
        <f>RIGHT(INDEX('EEPROM-Contents'!$K$4:'EEPROM-Contents'!$K$141,MATCH('EEPROM-Contents'!U7,'EEPROM-Contents'!$I$4:'EEPROM-Contents'!$I$141,0)),2)</f>
        <v>07</v>
      </c>
      <c r="T13" s="79" t="str">
        <f>RIGHT(INDEX('EEPROM-Contents'!$K$4:'EEPROM-Contents'!$K$141,MATCH('EEPROM-Contents'!V7,'EEPROM-Contents'!$I$4:'EEPROM-Contents'!$I$141,0)),2)</f>
        <v>D3</v>
      </c>
      <c r="U13" s="79" t="str">
        <f>RIGHT(INDEX('EEPROM-Contents'!$K$4:'EEPROM-Contents'!$K$141,MATCH('EEPROM-Contents'!W7,'EEPROM-Contents'!$I$4:'EEPROM-Contents'!$I$141,0)),2)</f>
        <v>91</v>
      </c>
      <c r="V13" s="79" t="str">
        <f>RIGHT(INDEX('EEPROM-Contents'!$K$4:'EEPROM-Contents'!$K$141,MATCH('EEPROM-Contents'!X7,'EEPROM-Contents'!$I$4:'EEPROM-Contents'!$I$141,0)),2)</f>
        <v>1B</v>
      </c>
      <c r="W13" s="79" t="str">
        <f>RIGHT(INDEX('EEPROM-Contents'!$K$4:'EEPROM-Contents'!$K$141,MATCH('EEPROM-Contents'!Y7,'EEPROM-Contents'!$I$4:'EEPROM-Contents'!$I$141,0)),2)</f>
        <v>28</v>
      </c>
      <c r="X13" s="79" t="str">
        <f>RIGHT(INDEX('EEPROM-Contents'!$K$4:'EEPROM-Contents'!$K$141,MATCH('EEPROM-Contents'!Z7,'EEPROM-Contents'!$I$4:'EEPROM-Contents'!$I$141,0)),2)</f>
        <v>44</v>
      </c>
      <c r="Y13" s="79" t="str">
        <f>RIGHT(INDEX('EEPROM-Contents'!$K$4:'EEPROM-Contents'!$K$141,MATCH('EEPROM-Contents'!AA7,'EEPROM-Contents'!$I$4:'EEPROM-Contents'!$I$141,0)),2)</f>
        <v>00</v>
      </c>
      <c r="Z13" s="84" t="str">
        <f>RIGHT(INDEX($D$9:$D$47,MATCH('EEPROM-Contents'!AB7,$B$9:$B$47,0)),2)</f>
        <v>0A</v>
      </c>
      <c r="AA13" s="79" t="str">
        <f>RIGHT(INDEX('EEPROM-Contents'!$K$4:'EEPROM-Contents'!$K$141,MATCH('EEPROM-Contents'!AC7,'EEPROM-Contents'!$I$4:'EEPROM-Contents'!$I$141,0)),2)</f>
        <v>0F</v>
      </c>
      <c r="AB13" s="79" t="str">
        <f>RIGHT(INDEX('EEPROM-Contents'!$K$4:'EEPROM-Contents'!$K$141,MATCH('EEPROM-Contents'!AD7,'EEPROM-Contents'!$I$4:'EEPROM-Contents'!$I$141,0)),2)</f>
        <v>00</v>
      </c>
      <c r="AC13" s="79" t="str">
        <f>RIGHT(INDEX('EEPROM-Contents'!$K$4:'EEPROM-Contents'!$K$141,MATCH('EEPROM-Contents'!AE7,'EEPROM-Contents'!$I$4:'EEPROM-Contents'!$I$141,0)),2)</f>
        <v>0F</v>
      </c>
      <c r="AD13" s="79" t="str">
        <f>RIGHT(INDEX('EEPROM-Contents'!$K$4:'EEPROM-Contents'!$K$141,MATCH('EEPROM-Contents'!AF7,'EEPROM-Contents'!$I$4:'EEPROM-Contents'!$I$141,0)),2)</f>
        <v>6C</v>
      </c>
      <c r="AF13" s="81" t="str">
        <f t="shared" si="3"/>
        <v>1200CD7C0A000000000000062E2F07D3911B2844000A0F000F6C00</v>
      </c>
    </row>
    <row r="14" spans="2:32" x14ac:dyDescent="0.3">
      <c r="B14" s="85">
        <f>'EEPROM-Contents'!B38</f>
        <v>34</v>
      </c>
      <c r="C14" s="74">
        <f t="shared" ca="1" si="2"/>
        <v>4</v>
      </c>
      <c r="D14" s="77" t="str">
        <f ca="1">DEC2HEX(OFFSET('FTS-Initialization'!AC42,0,MATCH($H$4,'FTS-Initialization'!$AD$36:$AE$36,0)),2)</f>
        <v>04</v>
      </c>
      <c r="E14" s="69" t="str">
        <f>'EEPROM-Contents'!L38</f>
        <v>SEN(5) SP4B</v>
      </c>
      <c r="F14" s="70"/>
      <c r="G14" s="73"/>
      <c r="N14" s="78" t="s">
        <v>346</v>
      </c>
      <c r="O14" s="79" t="str">
        <f>RIGHT(INDEX('EEPROM-Contents'!$K$4:'EEPROM-Contents'!$K$141,MATCH('EEPROM-Contents'!Q8,'EEPROM-Contents'!$I$4:'EEPROM-Contents'!$I$141,0)),2)</f>
        <v>CC</v>
      </c>
      <c r="P14" s="79" t="str">
        <f>RIGHT(INDEX('EEPROM-Contents'!$K$4:'EEPROM-Contents'!$K$141,MATCH('EEPROM-Contents'!R8,'EEPROM-Contents'!$I$4:'EEPROM-Contents'!$I$141,0)),2)</f>
        <v>5B</v>
      </c>
      <c r="Q14" s="79" t="str">
        <f>RIGHT(INDEX('EEPROM-Contents'!$K$4:'EEPROM-Contents'!$K$141,MATCH('EEPROM-Contents'!S8,'EEPROM-Contents'!$I$4:'EEPROM-Contents'!$I$141,0)),2)</f>
        <v>F8</v>
      </c>
      <c r="R14" s="79" t="str">
        <f>RIGHT(INDEX('EEPROM-Contents'!$K$4:'EEPROM-Contents'!$K$141,MATCH('EEPROM-Contents'!T8,'EEPROM-Contents'!$I$4:'EEPROM-Contents'!$I$141,0)),2)</f>
        <v>17</v>
      </c>
      <c r="S14" s="79" t="str">
        <f>RIGHT(INDEX('EEPROM-Contents'!$K$4:'EEPROM-Contents'!$K$141,MATCH('EEPROM-Contents'!U8,'EEPROM-Contents'!$I$4:'EEPROM-Contents'!$I$141,0)),2)</f>
        <v>23</v>
      </c>
      <c r="T14" s="79" t="str">
        <f>RIGHT(INDEX('EEPROM-Contents'!$K$4:'EEPROM-Contents'!$K$141,MATCH('EEPROM-Contents'!V8,'EEPROM-Contents'!$I$4:'EEPROM-Contents'!$I$141,0)),2)</f>
        <v>9A</v>
      </c>
      <c r="U14" s="79" t="str">
        <f>RIGHT(INDEX('EEPROM-Contents'!$K$4:'EEPROM-Contents'!$K$141,MATCH('EEPROM-Contents'!W8,'EEPROM-Contents'!$I$4:'EEPROM-Contents'!$I$141,0)),2)</f>
        <v>47</v>
      </c>
      <c r="V14" s="79" t="str">
        <f>RIGHT(INDEX('EEPROM-Contents'!$K$4:'EEPROM-Contents'!$K$141,MATCH('EEPROM-Contents'!X8,'EEPROM-Contents'!$I$4:'EEPROM-Contents'!$I$141,0)),2)</f>
        <v>00</v>
      </c>
      <c r="W14" s="79" t="str">
        <f>RIGHT(INDEX('EEPROM-Contents'!$K$4:'EEPROM-Contents'!$K$141,MATCH('EEPROM-Contents'!Y8,'EEPROM-Contents'!$I$4:'EEPROM-Contents'!$I$141,0)),2)</f>
        <v>30</v>
      </c>
      <c r="X14" s="79" t="str">
        <f>RIGHT(INDEX('EEPROM-Contents'!$K$4:'EEPROM-Contents'!$K$141,MATCH('EEPROM-Contents'!Z8,'EEPROM-Contents'!$I$4:'EEPROM-Contents'!$I$141,0)),2)</f>
        <v>18</v>
      </c>
      <c r="Y14" s="79" t="str">
        <f>RIGHT(INDEX('EEPROM-Contents'!$K$4:'EEPROM-Contents'!$K$141,MATCH('EEPROM-Contents'!AA8,'EEPROM-Contents'!$I$4:'EEPROM-Contents'!$I$141,0)),2)</f>
        <v>16</v>
      </c>
      <c r="Z14" s="79" t="str">
        <f>RIGHT(INDEX('EEPROM-Contents'!$K$4:'EEPROM-Contents'!$K$141,MATCH('EEPROM-Contents'!AB8,'EEPROM-Contents'!$I$4:'EEPROM-Contents'!$I$141,0)),2)</f>
        <v>6C</v>
      </c>
      <c r="AA14" s="79" t="str">
        <f>RIGHT(INDEX('EEPROM-Contents'!$K$4:'EEPROM-Contents'!$K$141,MATCH('EEPROM-Contents'!AC8,'EEPROM-Contents'!$I$4:'EEPROM-Contents'!$I$141,0)),2)</f>
        <v>03</v>
      </c>
      <c r="AB14" s="79" t="str">
        <f>RIGHT(INDEX('EEPROM-Contents'!$K$4:'EEPROM-Contents'!$K$141,MATCH('EEPROM-Contents'!AD8,'EEPROM-Contents'!$I$4:'EEPROM-Contents'!$I$141,0)),2)</f>
        <v>60</v>
      </c>
      <c r="AC14" s="79" t="str">
        <f>RIGHT(INDEX('EEPROM-Contents'!$K$4:'EEPROM-Contents'!$K$141,MATCH('EEPROM-Contents'!AE8,'EEPROM-Contents'!$I$4:'EEPROM-Contents'!$I$141,0)),2)</f>
        <v>91</v>
      </c>
      <c r="AD14" s="79" t="str">
        <f>RIGHT(INDEX('EEPROM-Contents'!$K$4:'EEPROM-Contents'!$K$141,MATCH('EEPROM-Contents'!AF8,'EEPROM-Contents'!$I$4:'EEPROM-Contents'!$I$141,0)),2)</f>
        <v>02</v>
      </c>
      <c r="AF14" s="81" t="str">
        <f t="shared" si="3"/>
        <v>1200CD7C0A0000000000CC5BF817239A47003018166C0360910200</v>
      </c>
    </row>
    <row r="15" spans="2:32" x14ac:dyDescent="0.3">
      <c r="B15" s="85">
        <f>'EEPROM-Contents'!B39</f>
        <v>35</v>
      </c>
      <c r="C15" s="74">
        <f t="shared" ca="1" si="2"/>
        <v>4</v>
      </c>
      <c r="D15" s="77" t="str">
        <f ca="1">DEC2HEX(OFFSET('FTS-Initialization'!AC43,0,MATCH($H$4,'FTS-Initialization'!$AD$36:$AE$36,0)),2)</f>
        <v>04</v>
      </c>
      <c r="E15" s="69" t="str">
        <f>'EEPROM-Contents'!L39</f>
        <v>SEN(6) SP3B</v>
      </c>
      <c r="F15" s="70"/>
      <c r="G15" s="73"/>
      <c r="N15" s="78" t="s">
        <v>347</v>
      </c>
      <c r="O15" s="79" t="str">
        <f>RIGHT(INDEX('EEPROM-Contents'!$K$4:'EEPROM-Contents'!$K$141,MATCH('EEPROM-Contents'!Q9,'EEPROM-Contents'!$I$4:'EEPROM-Contents'!$I$141,0)),2)</f>
        <v>0E</v>
      </c>
      <c r="P15" s="79" t="str">
        <f>RIGHT(INDEX('EEPROM-Contents'!$K$4:'EEPROM-Contents'!$K$141,MATCH('EEPROM-Contents'!R9,'EEPROM-Contents'!$I$4:'EEPROM-Contents'!$I$141,0)),2)</f>
        <v>78</v>
      </c>
      <c r="Q15" s="79" t="str">
        <f>RIGHT(INDEX('EEPROM-Contents'!$K$4:'EEPROM-Contents'!$K$141,MATCH('EEPROM-Contents'!S9,'EEPROM-Contents'!$I$4:'EEPROM-Contents'!$I$141,0)),2)</f>
        <v>56</v>
      </c>
      <c r="R15" s="79" t="str">
        <f>RIGHT(INDEX('EEPROM-Contents'!$K$4:'EEPROM-Contents'!$K$141,MATCH('EEPROM-Contents'!T9,'EEPROM-Contents'!$I$4:'EEPROM-Contents'!$I$141,0)),2)</f>
        <v>10</v>
      </c>
      <c r="S15" s="79" t="str">
        <f>RIGHT(INDEX('EEPROM-Contents'!$K$4:'EEPROM-Contents'!$K$141,MATCH('EEPROM-Contents'!U9,'EEPROM-Contents'!$I$4:'EEPROM-Contents'!$I$141,0)),2)</f>
        <v>EA</v>
      </c>
      <c r="T15" s="79" t="str">
        <f>RIGHT(INDEX('EEPROM-Contents'!$K$4:'EEPROM-Contents'!$K$141,MATCH('EEPROM-Contents'!V9,'EEPROM-Contents'!$I$4:'EEPROM-Contents'!$I$141,0)),2)</f>
        <v>2A</v>
      </c>
      <c r="U15" s="79" t="str">
        <f>RIGHT(INDEX('EEPROM-Contents'!$K$4:'EEPROM-Contents'!$K$141,MATCH('EEPROM-Contents'!W9,'EEPROM-Contents'!$I$4:'EEPROM-Contents'!$I$141,0)),2)</f>
        <v>00</v>
      </c>
      <c r="V15" s="79" t="str">
        <f>RIGHT(INDEX('EEPROM-Contents'!$K$4:'EEPROM-Contents'!$K$141,MATCH('EEPROM-Contents'!X9,'EEPROM-Contents'!$I$4:'EEPROM-Contents'!$I$141,0)),2)</f>
        <v>1F</v>
      </c>
      <c r="W15" s="79" t="str">
        <f>RIGHT(INDEX('EEPROM-Contents'!$K$4:'EEPROM-Contents'!$K$141,MATCH('EEPROM-Contents'!Y9,'EEPROM-Contents'!$I$4:'EEPROM-Contents'!$I$141,0)),2)</f>
        <v>41</v>
      </c>
      <c r="X15" s="79" t="str">
        <f>RIGHT(INDEX('EEPROM-Contents'!$K$4:'EEPROM-Contents'!$K$141,MATCH('EEPROM-Contents'!Z9,'EEPROM-Contents'!$I$4:'EEPROM-Contents'!$I$141,0)),2)</f>
        <v>00</v>
      </c>
      <c r="Y15" s="79" t="str">
        <f>RIGHT(INDEX('EEPROM-Contents'!$K$4:'EEPROM-Contents'!$K$141,MATCH('EEPROM-Contents'!AA9,'EEPROM-Contents'!$I$4:'EEPROM-Contents'!$I$141,0)),2)</f>
        <v>00</v>
      </c>
      <c r="Z15" s="84" t="str">
        <f>RIGHT(INDEX($D$9:$D$47,MATCH('EEPROM-Contents'!AB9,$B$9:$B$47,0)),2)</f>
        <v>00</v>
      </c>
      <c r="AA15" s="84" t="str">
        <f>RIGHT(INDEX($D$9:$D$47,MATCH('EEPROM-Contents'!AC9,$B$9:$B$47,0)),2)</f>
        <v>CD</v>
      </c>
      <c r="AB15" s="84" t="str">
        <f>RIGHT(INDEX($D$9:$D$47,MATCH('EEPROM-Contents'!AD9,$B$9:$B$47,0)),2)</f>
        <v>7C</v>
      </c>
      <c r="AC15" s="84" t="str">
        <f>RIGHT(INDEX($D$9:$D$47,MATCH('EEPROM-Contents'!AE9,$B$9:$B$47,0)),2)</f>
        <v>0A</v>
      </c>
      <c r="AD15" s="84" t="str">
        <f>RIGHT(INDEX($D$9:$D$47,MATCH('EEPROM-Contents'!AF9,$B$9:$B$47,0)),2)</f>
        <v>89</v>
      </c>
      <c r="AF15" s="81" t="str">
        <f t="shared" si="3"/>
        <v>1200CD7C0A00000000000E785610EA2A001F41000000CD7C0A8900</v>
      </c>
    </row>
    <row r="16" spans="2:32" x14ac:dyDescent="0.3">
      <c r="B16" s="85">
        <f>'EEPROM-Contents'!B40</f>
        <v>36</v>
      </c>
      <c r="C16" s="74">
        <f t="shared" ca="1" si="2"/>
        <v>4</v>
      </c>
      <c r="D16" s="77" t="str">
        <f ca="1">DEC2HEX(OFFSET('FTS-Initialization'!AC44,0,MATCH($H$4,'FTS-Initialization'!$AD$36:$AE$36,0)),2)</f>
        <v>04</v>
      </c>
      <c r="E16" s="69" t="str">
        <f>'EEPROM-Contents'!L40</f>
        <v>SEN(7) SP2B</v>
      </c>
      <c r="F16" s="70"/>
      <c r="G16" s="73"/>
      <c r="N16" s="78" t="s">
        <v>348</v>
      </c>
      <c r="O16" s="84" t="str">
        <f ca="1">RIGHT(INDEX($D$9:$D$47,MATCH('EEPROM-Contents'!Q10,$B$9:$B$47,0)),2)</f>
        <v>07</v>
      </c>
      <c r="P16" s="84" t="str">
        <f ca="1">RIGHT(INDEX($D$9:$D$47,MATCH('EEPROM-Contents'!R10,$B$9:$B$47,0)),2)</f>
        <v>01</v>
      </c>
      <c r="Q16" s="84" t="str">
        <f ca="1">RIGHT(INDEX($D$9:$D$47,MATCH('EEPROM-Contents'!S10,$B$9:$B$47,0)),2)</f>
        <v>03</v>
      </c>
      <c r="R16" s="84" t="str">
        <f>RIGHT(INDEX($D$9:$D$47,MATCH('EEPROM-Contents'!T10,$B$9:$B$47,0)),2)</f>
        <v>03</v>
      </c>
      <c r="S16" s="84" t="str">
        <f>RIGHT(INDEX($D$9:$D$47,MATCH('EEPROM-Contents'!U10,$B$9:$B$47,0)),2)</f>
        <v>F5</v>
      </c>
      <c r="T16" s="84" t="str">
        <f>RIGHT(INDEX($D$9:$D$47,MATCH('EEPROM-Contents'!V10,$B$9:$B$47,0)),2)</f>
        <v>00</v>
      </c>
      <c r="U16" s="84" t="str">
        <f>RIGHT(INDEX($D$9:$D$47,MATCH('EEPROM-Contents'!W10,$B$9:$B$47,0)),2)</f>
        <v>00</v>
      </c>
      <c r="V16" s="84" t="str">
        <f>RIGHT(INDEX($D$9:$D$47,MATCH('EEPROM-Contents'!X10,$B$9:$B$47,0)),2)</f>
        <v>27</v>
      </c>
      <c r="W16" s="84" t="str">
        <f>RIGHT(INDEX($D$9:$D$47,MATCH('EEPROM-Contents'!Y10,$B$9:$B$47,0)),2)</f>
        <v>0F</v>
      </c>
      <c r="X16" s="84" t="str">
        <f>RIGHT(INDEX($D$9:$D$47,MATCH('EEPROM-Contents'!Z10,$B$9:$B$47,0)),2)</f>
        <v>00</v>
      </c>
      <c r="Y16" s="84" t="str">
        <f>RIGHT(INDEX($D$9:$D$47,MATCH('EEPROM-Contents'!AA10,$B$9:$B$47,0)),2)</f>
        <v>00</v>
      </c>
      <c r="Z16" s="84" t="str">
        <f>RIGHT(INDEX($D$9:$D$47,MATCH('EEPROM-Contents'!AB10,$B$9:$B$47,0)),2)</f>
        <v>00</v>
      </c>
      <c r="AA16" s="84" t="str">
        <f>RIGHT(INDEX($D$9:$D$47,MATCH('EEPROM-Contents'!AC10,$B$9:$B$47,0)),2)</f>
        <v>00</v>
      </c>
      <c r="AB16" s="84" t="str">
        <f>RIGHT(INDEX($D$9:$D$47,MATCH('EEPROM-Contents'!AD10,$B$9:$B$47,0)),2)</f>
        <v>00</v>
      </c>
      <c r="AC16" s="84" t="str">
        <f>RIGHT(INDEX($D$9:$D$47,MATCH('EEPROM-Contents'!AE10,$B$9:$B$47,0)),2)</f>
        <v>00</v>
      </c>
      <c r="AD16" s="84" t="str">
        <f>RIGHT(INDEX($D$9:$D$47,MATCH('EEPROM-Contents'!AF10,$B$9:$B$47,0)),2)</f>
        <v>00</v>
      </c>
      <c r="AF16" s="81" t="str">
        <f t="shared" ca="1" si="3"/>
        <v>1200CD7C0A000000000007010303F50000270F0000000000000000</v>
      </c>
    </row>
    <row r="17" spans="2:32" x14ac:dyDescent="0.3">
      <c r="B17" s="85">
        <f>'EEPROM-Contents'!B41</f>
        <v>37</v>
      </c>
      <c r="C17" s="74">
        <f t="shared" ca="1" si="2"/>
        <v>4</v>
      </c>
      <c r="D17" s="77" t="str">
        <f ca="1">DEC2HEX(OFFSET('FTS-Initialization'!AC45,0,MATCH($H$4,'FTS-Initialization'!$AD$36:$AE$36,0)),2)</f>
        <v>04</v>
      </c>
      <c r="E17" s="69" t="str">
        <f>'EEPROM-Contents'!L41</f>
        <v>SEN(8) SP1B</v>
      </c>
      <c r="F17" s="70"/>
      <c r="G17" s="73"/>
      <c r="N17" s="78" t="s">
        <v>349</v>
      </c>
      <c r="O17" s="84" t="str">
        <f>RIGHT(INDEX($D$9:$D$47,MATCH('EEPROM-Contents'!Q11,$B$9:$B$47,0)),2)</f>
        <v>00</v>
      </c>
      <c r="P17" s="84" t="str">
        <f>RIGHT(INDEX($D$9:$D$47,MATCH('EEPROM-Contents'!R11,$B$9:$B$47,0)),2)</f>
        <v>FF</v>
      </c>
      <c r="Q17" s="84" t="str">
        <f>RIGHT(INDEX($D$9:$D$47,MATCH('EEPROM-Contents'!S11,$B$9:$B$47,0)),2)</f>
        <v>64</v>
      </c>
      <c r="R17" s="84" t="str">
        <f>RIGHT(INDEX($D$9:$D$47,MATCH('EEPROM-Contents'!T11,$B$9:$B$47,0)),2)</f>
        <v>64</v>
      </c>
      <c r="S17" s="84" t="str">
        <f ca="1">RIGHT(INDEX($D$9:$D$47,MATCH('EEPROM-Contents'!U11,$B$9:$B$47,0)),2)</f>
        <v>23</v>
      </c>
      <c r="T17" s="79" t="str">
        <f>RIGHT(INDEX('EEPROM-Contents'!$K$4:'EEPROM-Contents'!$K$141,MATCH('EEPROM-Contents'!V11,'EEPROM-Contents'!$I$4:'EEPROM-Contents'!$I$141,0)),2)</f>
        <v>01</v>
      </c>
      <c r="U17" s="84" t="str">
        <f>RIGHT(INDEX($D$9:$D$47,MATCH('EEPROM-Contents'!W11,$B$9:$B$47,0)),2)</f>
        <v>89</v>
      </c>
      <c r="V17" s="84" t="str">
        <f ca="1">RIGHT(INDEX($D$9:$D$47,MATCH('EEPROM-Contents'!X11,$B$9:$B$47,0)),2)</f>
        <v>07</v>
      </c>
      <c r="W17" s="84" t="str">
        <f ca="1">RIGHT(INDEX($D$9:$D$47,MATCH('EEPROM-Contents'!Y11,$B$9:$B$47,0)),2)</f>
        <v>01</v>
      </c>
      <c r="X17" s="84" t="str">
        <f ca="1">RIGHT(INDEX($D$9:$D$47,MATCH('EEPROM-Contents'!Z11,$B$9:$B$47,0)),2)</f>
        <v>03</v>
      </c>
      <c r="Y17" s="84" t="str">
        <f>RIGHT(INDEX($D$9:$D$47,MATCH('EEPROM-Contents'!AA11,$B$9:$B$47,0)),2)</f>
        <v>03</v>
      </c>
      <c r="Z17" s="84" t="str">
        <f>RIGHT(INDEX($D$9:$D$47,MATCH('EEPROM-Contents'!AB11,$B$9:$B$47,0)),2)</f>
        <v>F5</v>
      </c>
      <c r="AA17" s="84" t="str">
        <f>RIGHT(INDEX($D$9:$D$47,MATCH('EEPROM-Contents'!AC11,$B$9:$B$47,0)),2)</f>
        <v>00</v>
      </c>
      <c r="AB17" s="84" t="str">
        <f>RIGHT(INDEX($D$9:$D$47,MATCH('EEPROM-Contents'!AD11,$B$9:$B$47,0)),2)</f>
        <v>00</v>
      </c>
      <c r="AC17" s="84" t="str">
        <f>RIGHT(INDEX($D$9:$D$47,MATCH('EEPROM-Contents'!AE11,$B$9:$B$47,0)),2)</f>
        <v>27</v>
      </c>
      <c r="AD17" s="84" t="str">
        <f>RIGHT(INDEX($D$9:$D$47,MATCH('EEPROM-Contents'!AF11,$B$9:$B$47,0)),2)</f>
        <v>0F</v>
      </c>
      <c r="AF17" s="81" t="str">
        <f t="shared" ca="1" si="3"/>
        <v>1200CD7C0A000000000000FF646423018907010303F50000270F00</v>
      </c>
    </row>
    <row r="18" spans="2:32" x14ac:dyDescent="0.3">
      <c r="B18" s="85">
        <f>'EEPROM-Contents'!B42</f>
        <v>38</v>
      </c>
      <c r="C18" s="74">
        <f t="shared" ca="1" si="2"/>
        <v>4</v>
      </c>
      <c r="D18" s="77" t="str">
        <f ca="1">DEC2HEX(OFFSET('FTS-Initialization'!AC46,0,MATCH($H$4,'FTS-Initialization'!$AD$36:$AE$36,0)),2)</f>
        <v>04</v>
      </c>
      <c r="E18" s="69" t="str">
        <f>'EEPROM-Contents'!L42</f>
        <v>SEN(9) CP1B</v>
      </c>
      <c r="F18" s="70"/>
      <c r="G18" s="73"/>
      <c r="N18" s="78" t="s">
        <v>350</v>
      </c>
      <c r="O18" s="84" t="str">
        <f>RIGHT(INDEX($D$9:$D$47,MATCH('EEPROM-Contents'!Q12,$B$9:$B$47,0)),2)</f>
        <v>00</v>
      </c>
      <c r="P18" s="84" t="str">
        <f>RIGHT(INDEX($D$9:$D$47,MATCH('EEPROM-Contents'!R12,$B$9:$B$47,0)),2)</f>
        <v>00</v>
      </c>
      <c r="Q18" s="84" t="str">
        <f>RIGHT(INDEX($D$9:$D$47,MATCH('EEPROM-Contents'!S12,$B$9:$B$47,0)),2)</f>
        <v>00</v>
      </c>
      <c r="R18" s="84" t="str">
        <f>RIGHT(INDEX($D$9:$D$47,MATCH('EEPROM-Contents'!T12,$B$9:$B$47,0)),2)</f>
        <v>00</v>
      </c>
      <c r="S18" s="84" t="str">
        <f>RIGHT(INDEX($D$9:$D$47,MATCH('EEPROM-Contents'!U12,$B$9:$B$47,0)),2)</f>
        <v>00</v>
      </c>
      <c r="T18" s="84" t="str">
        <f>RIGHT(INDEX($D$9:$D$47,MATCH('EEPROM-Contents'!V12,$B$9:$B$47,0)),2)</f>
        <v>00</v>
      </c>
      <c r="U18" s="84" t="str">
        <f>RIGHT(INDEX($D$9:$D$47,MATCH('EEPROM-Contents'!W12,$B$9:$B$47,0)),2)</f>
        <v>00</v>
      </c>
      <c r="V18" s="84" t="str">
        <f>RIGHT(INDEX($D$9:$D$47,MATCH('EEPROM-Contents'!X12,$B$9:$B$47,0)),2)</f>
        <v>00</v>
      </c>
      <c r="W18" s="84" t="str">
        <f>RIGHT(INDEX($D$9:$D$47,MATCH('EEPROM-Contents'!Y12,$B$9:$B$47,0)),2)</f>
        <v>FF</v>
      </c>
      <c r="X18" s="84" t="str">
        <f>RIGHT(INDEX($D$9:$D$47,MATCH('EEPROM-Contents'!Z12,$B$9:$B$47,0)),2)</f>
        <v>64</v>
      </c>
      <c r="Y18" s="84" t="str">
        <f>RIGHT(INDEX($D$9:$D$47,MATCH('EEPROM-Contents'!AA12,$B$9:$B$47,0)),2)</f>
        <v>64</v>
      </c>
      <c r="Z18" s="84" t="str">
        <f ca="1">RIGHT(INDEX($D$9:$D$47,MATCH('EEPROM-Contents'!AB12,$B$9:$B$47,0)),2)</f>
        <v>23</v>
      </c>
      <c r="AA18" s="79" t="str">
        <f>RIGHT(INDEX('EEPROM-Contents'!$K$4:'EEPROM-Contents'!$K$141,MATCH('EEPROM-Contents'!AC12,'EEPROM-Contents'!$I$4:'EEPROM-Contents'!$I$141,0)),2)</f>
        <v>02</v>
      </c>
      <c r="AB18" s="84" t="str">
        <f>RIGHT(INDEX($D$9:$D$47,MATCH('EEPROM-Contents'!AD12,$B$9:$B$47,0)),2)</f>
        <v>89</v>
      </c>
      <c r="AC18" s="84" t="str">
        <f ca="1">RIGHT(INDEX($D$9:$D$47,MATCH('EEPROM-Contents'!AE12,$B$9:$B$47,0)),2)</f>
        <v>07</v>
      </c>
      <c r="AD18" s="84" t="str">
        <f ca="1">RIGHT(INDEX($D$9:$D$47,MATCH('EEPROM-Contents'!AF12,$B$9:$B$47,0)),2)</f>
        <v>01</v>
      </c>
      <c r="AF18" s="81" t="str">
        <f t="shared" ca="1" si="3"/>
        <v>1200CD7C0A00000000000000000000000000FF6464230289070100</v>
      </c>
    </row>
    <row r="19" spans="2:32" x14ac:dyDescent="0.3">
      <c r="B19" s="85">
        <f>'EEPROM-Contents'!I19</f>
        <v>15</v>
      </c>
      <c r="C19" s="77">
        <f>HEX2DEC(D19)</f>
        <v>239</v>
      </c>
      <c r="D19" s="77" t="str">
        <f>'FTS-Initialization'!AA32</f>
        <v>EF</v>
      </c>
      <c r="E19" s="69" t="str">
        <f>'EEPROM-Contents'!L19</f>
        <v>GAINC</v>
      </c>
      <c r="F19" s="70"/>
      <c r="G19" s="73"/>
      <c r="N19" s="78" t="s">
        <v>351</v>
      </c>
      <c r="O19" s="84" t="str">
        <f ca="1">RIGHT(INDEX($D$9:$D$47,MATCH('EEPROM-Contents'!Q13,$B$9:$B$47,0)),2)</f>
        <v>03</v>
      </c>
      <c r="P19" s="84" t="str">
        <f>RIGHT(INDEX($D$9:$D$47,MATCH('EEPROM-Contents'!R13,$B$9:$B$47,0)),2)</f>
        <v>03</v>
      </c>
      <c r="Q19" s="84" t="str">
        <f>RIGHT(INDEX($D$9:$D$47,MATCH('EEPROM-Contents'!S13,$B$9:$B$47,0)),2)</f>
        <v>F5</v>
      </c>
      <c r="R19" s="84" t="str">
        <f>RIGHT(INDEX($D$9:$D$47,MATCH('EEPROM-Contents'!T13,$B$9:$B$47,0)),2)</f>
        <v>00</v>
      </c>
      <c r="S19" s="84" t="str">
        <f>RIGHT(INDEX($D$9:$D$47,MATCH('EEPROM-Contents'!U13,$B$9:$B$47,0)),2)</f>
        <v>00</v>
      </c>
      <c r="T19" s="84" t="str">
        <f>RIGHT(INDEX($D$9:$D$47,MATCH('EEPROM-Contents'!V13,$B$9:$B$47,0)),2)</f>
        <v>27</v>
      </c>
      <c r="U19" s="84" t="str">
        <f>RIGHT(INDEX($D$9:$D$47,MATCH('EEPROM-Contents'!W13,$B$9:$B$47,0)),2)</f>
        <v>0F</v>
      </c>
      <c r="V19" s="84" t="str">
        <f>RIGHT(INDEX($D$9:$D$47,MATCH('EEPROM-Contents'!X13,$B$9:$B$47,0)),2)</f>
        <v>00</v>
      </c>
      <c r="W19" s="84" t="str">
        <f>RIGHT(INDEX($D$9:$D$47,MATCH('EEPROM-Contents'!Y13,$B$9:$B$47,0)),2)</f>
        <v>00</v>
      </c>
      <c r="X19" s="84" t="str">
        <f>RIGHT(INDEX($D$9:$D$47,MATCH('EEPROM-Contents'!Z13,$B$9:$B$47,0)),2)</f>
        <v>00</v>
      </c>
      <c r="Y19" s="84" t="str">
        <f>RIGHT(INDEX($D$9:$D$47,MATCH('EEPROM-Contents'!AA13,$B$9:$B$47,0)),2)</f>
        <v>00</v>
      </c>
      <c r="Z19" s="84" t="str">
        <f>RIGHT(INDEX($D$9:$D$47,MATCH('EEPROM-Contents'!AB13,$B$9:$B$47,0)),2)</f>
        <v>00</v>
      </c>
      <c r="AA19" s="84" t="str">
        <f>RIGHT(INDEX($D$9:$D$47,MATCH('EEPROM-Contents'!AC13,$B$9:$B$47,0)),2)</f>
        <v>00</v>
      </c>
      <c r="AB19" s="84" t="str">
        <f>RIGHT(INDEX($D$9:$D$47,MATCH('EEPROM-Contents'!AD13,$B$9:$B$47,0)),2)</f>
        <v>00</v>
      </c>
      <c r="AC19" s="84" t="str">
        <f>RIGHT(INDEX($D$9:$D$47,MATCH('EEPROM-Contents'!AE13,$B$9:$B$47,0)),2)</f>
        <v>00</v>
      </c>
      <c r="AD19" s="84" t="str">
        <f>RIGHT(INDEX($D$9:$D$47,MATCH('EEPROM-Contents'!AF13,$B$9:$B$47,0)),2)</f>
        <v>FF</v>
      </c>
      <c r="AF19" s="81" t="str">
        <f t="shared" ca="1" si="3"/>
        <v>1200CD7C0A00000000000303F50000270F0000000000000000FF00</v>
      </c>
    </row>
    <row r="20" spans="2:32" x14ac:dyDescent="0.3">
      <c r="B20" s="85">
        <f>'EEPROM-Contents'!B51</f>
        <v>47</v>
      </c>
      <c r="C20" s="74">
        <f t="shared" si="2"/>
        <v>132</v>
      </c>
      <c r="D20" s="77">
        <f>$G$4</f>
        <v>84</v>
      </c>
      <c r="E20" s="69" t="str">
        <f>'EEPROM-Contents'!E51</f>
        <v>PATBL</v>
      </c>
      <c r="F20" s="70"/>
      <c r="G20" s="73"/>
      <c r="N20" s="78" t="s">
        <v>352</v>
      </c>
      <c r="O20" s="84" t="str">
        <f>RIGHT(INDEX($D$9:$D$47,MATCH('EEPROM-Contents'!Q14,$B$9:$B$47,0)),2)</f>
        <v>64</v>
      </c>
      <c r="P20" s="84" t="str">
        <f>RIGHT(INDEX($D$9:$D$47,MATCH('EEPROM-Contents'!R14,$B$9:$B$47,0)),2)</f>
        <v>64</v>
      </c>
      <c r="Q20" s="84" t="str">
        <f ca="1">RIGHT(INDEX($D$9:$D$47,MATCH('EEPROM-Contents'!S14,$B$9:$B$47,0)),2)</f>
        <v>23</v>
      </c>
      <c r="R20" s="79" t="str">
        <f>RIGHT(INDEX('EEPROM-Contents'!$K$4:'EEPROM-Contents'!$K$141,MATCH('EEPROM-Contents'!T14,'EEPROM-Contents'!$I$4:'EEPROM-Contents'!$I$141,0)),2)</f>
        <v>03</v>
      </c>
      <c r="S20" s="84" t="str">
        <f>RIGHT(INDEX($D$9:$D$47,MATCH('EEPROM-Contents'!U14,$B$9:$B$47,0)),2)</f>
        <v>89</v>
      </c>
      <c r="T20" s="84" t="str">
        <f ca="1">RIGHT(INDEX($D$9:$D$47,MATCH('EEPROM-Contents'!V14,$B$9:$B$47,0)),2)</f>
        <v>07</v>
      </c>
      <c r="U20" s="84" t="str">
        <f ca="1">RIGHT(INDEX($D$9:$D$47,MATCH('EEPROM-Contents'!W14,$B$9:$B$47,0)),2)</f>
        <v>01</v>
      </c>
      <c r="V20" s="84" t="str">
        <f ca="1">RIGHT(INDEX($D$9:$D$47,MATCH('EEPROM-Contents'!X14,$B$9:$B$47,0)),2)</f>
        <v>03</v>
      </c>
      <c r="W20" s="84" t="str">
        <f>RIGHT(INDEX($D$9:$D$47,MATCH('EEPROM-Contents'!Y14,$B$9:$B$47,0)),2)</f>
        <v>03</v>
      </c>
      <c r="X20" s="84" t="str">
        <f>RIGHT(INDEX($D$9:$D$47,MATCH('EEPROM-Contents'!Z14,$B$9:$B$47,0)),2)</f>
        <v>F5</v>
      </c>
      <c r="Y20" s="84" t="str">
        <f>RIGHT(INDEX($D$9:$D$47,MATCH('EEPROM-Contents'!AA14,$B$9:$B$47,0)),2)</f>
        <v>00</v>
      </c>
      <c r="Z20" s="84" t="str">
        <f>RIGHT(INDEX($D$9:$D$47,MATCH('EEPROM-Contents'!AB14,$B$9:$B$47,0)),2)</f>
        <v>00</v>
      </c>
      <c r="AA20" s="84" t="str">
        <f>RIGHT(INDEX($D$9:$D$47,MATCH('EEPROM-Contents'!AC14,$B$9:$B$47,0)),2)</f>
        <v>27</v>
      </c>
      <c r="AB20" s="84" t="str">
        <f>RIGHT(INDEX($D$9:$D$47,MATCH('EEPROM-Contents'!AD14,$B$9:$B$47,0)),2)</f>
        <v>0F</v>
      </c>
      <c r="AC20" s="84" t="str">
        <f>RIGHT(INDEX($D$9:$D$47,MATCH('EEPROM-Contents'!AE14,$B$9:$B$47,0)),2)</f>
        <v>00</v>
      </c>
      <c r="AD20" s="84" t="str">
        <f>RIGHT(INDEX($D$9:$D$47,MATCH('EEPROM-Contents'!AF14,$B$9:$B$47,0)),2)</f>
        <v>00</v>
      </c>
      <c r="AF20" s="81" t="str">
        <f t="shared" ca="1" si="3"/>
        <v>1200CD7C0A0000000000646423038907010303F50000270F000000</v>
      </c>
    </row>
    <row r="21" spans="2:32" x14ac:dyDescent="0.3">
      <c r="B21" s="85">
        <f>'EEPROM-Contents'!B63</f>
        <v>59</v>
      </c>
      <c r="C21" s="74">
        <f t="shared" si="2"/>
        <v>10</v>
      </c>
      <c r="D21" s="77" t="str">
        <f>DEC2HEX(2*$C$4,2)</f>
        <v>0A</v>
      </c>
      <c r="E21" s="69" t="str">
        <f>'EEPROM-Contents'!E63</f>
        <v>CHANNR</v>
      </c>
      <c r="F21" s="70"/>
      <c r="G21" s="73"/>
      <c r="N21" s="78" t="s">
        <v>353</v>
      </c>
      <c r="O21" s="84" t="str">
        <f>RIGHT(INDEX($D$9:$D$47,MATCH('EEPROM-Contents'!Q15,$B$9:$B$47,0)),2)</f>
        <v>00</v>
      </c>
      <c r="P21" s="84" t="str">
        <f>RIGHT(INDEX($D$9:$D$47,MATCH('EEPROM-Contents'!R15,$B$9:$B$47,0)),2)</f>
        <v>00</v>
      </c>
      <c r="Q21" s="84" t="str">
        <f>RIGHT(INDEX($D$9:$D$47,MATCH('EEPROM-Contents'!S15,$B$9:$B$47,0)),2)</f>
        <v>00</v>
      </c>
      <c r="R21" s="84" t="str">
        <f>RIGHT(INDEX($D$9:$D$47,MATCH('EEPROM-Contents'!T15,$B$9:$B$47,0)),2)</f>
        <v>00</v>
      </c>
      <c r="S21" s="84" t="str">
        <f>RIGHT(INDEX($D$9:$D$47,MATCH('EEPROM-Contents'!U15,$B$9:$B$47,0)),2)</f>
        <v>00</v>
      </c>
      <c r="T21" s="84" t="str">
        <f>RIGHT(INDEX($D$9:$D$47,MATCH('EEPROM-Contents'!V15,$B$9:$B$47,0)),2)</f>
        <v>00</v>
      </c>
      <c r="U21" s="84" t="str">
        <f>RIGHT(INDEX($D$9:$D$47,MATCH('EEPROM-Contents'!W15,$B$9:$B$47,0)),2)</f>
        <v>FF</v>
      </c>
      <c r="V21" s="84" t="str">
        <f>RIGHT(INDEX($D$9:$D$47,MATCH('EEPROM-Contents'!X15,$B$9:$B$47,0)),2)</f>
        <v>64</v>
      </c>
      <c r="W21" s="84" t="str">
        <f>RIGHT(INDEX($D$9:$D$47,MATCH('EEPROM-Contents'!Y15,$B$9:$B$47,0)),2)</f>
        <v>64</v>
      </c>
      <c r="X21" s="84" t="str">
        <f ca="1">RIGHT(INDEX($D$9:$D$47,MATCH('EEPROM-Contents'!Z15,$B$9:$B$47,0)),2)</f>
        <v>23</v>
      </c>
      <c r="Y21" s="79" t="str">
        <f>RIGHT(INDEX('EEPROM-Contents'!$K$4:'EEPROM-Contents'!$K$141,MATCH('EEPROM-Contents'!AA15,'EEPROM-Contents'!$I$4:'EEPROM-Contents'!$I$141,0)),2)</f>
        <v>04</v>
      </c>
      <c r="Z21" s="84" t="str">
        <f>RIGHT(INDEX($D$9:$D$47,MATCH('EEPROM-Contents'!AB15,$B$9:$B$47,0)),2)</f>
        <v>89</v>
      </c>
      <c r="AA21" s="84" t="str">
        <f ca="1">RIGHT(INDEX($D$9:$D$47,MATCH('EEPROM-Contents'!AC15,$B$9:$B$47,0)),2)</f>
        <v>07</v>
      </c>
      <c r="AB21" s="84" t="str">
        <f ca="1">RIGHT(INDEX($D$9:$D$47,MATCH('EEPROM-Contents'!AD15,$B$9:$B$47,0)),2)</f>
        <v>01</v>
      </c>
      <c r="AC21" s="84" t="str">
        <f ca="1">RIGHT(INDEX($D$9:$D$47,MATCH('EEPROM-Contents'!AE15,$B$9:$B$47,0)),2)</f>
        <v>03</v>
      </c>
      <c r="AD21" s="84" t="str">
        <f>RIGHT(INDEX($D$9:$D$47,MATCH('EEPROM-Contents'!AF15,$B$9:$B$47,0)),2)</f>
        <v>03</v>
      </c>
      <c r="AF21" s="81" t="str">
        <f t="shared" ca="1" si="3"/>
        <v>1200CD7C0A0000000000000000000000FF64642304890701030300</v>
      </c>
    </row>
    <row r="22" spans="2:32" x14ac:dyDescent="0.3">
      <c r="B22" s="85">
        <f>'EEPROM-Contents'!B95</f>
        <v>91</v>
      </c>
      <c r="C22" s="77">
        <f>HEX2DEC(D22)</f>
        <v>0</v>
      </c>
      <c r="D22" s="77" t="str">
        <f>LEFT(RIGHT($E$5,8),2)</f>
        <v>00</v>
      </c>
      <c r="E22" s="69" t="str">
        <f>'EEPROM-Contents'!L95</f>
        <v>Device ID</v>
      </c>
      <c r="F22" s="70"/>
      <c r="G22" s="73"/>
      <c r="N22" s="78" t="s">
        <v>354</v>
      </c>
      <c r="O22" s="84" t="str">
        <f>RIGHT(INDEX($D$9:$D$47,MATCH('EEPROM-Contents'!Q16,$B$9:$B$47,0)),2)</f>
        <v>F5</v>
      </c>
      <c r="P22" s="84" t="str">
        <f>RIGHT(INDEX($D$9:$D$47,MATCH('EEPROM-Contents'!R16,$B$9:$B$47,0)),2)</f>
        <v>00</v>
      </c>
      <c r="Q22" s="84" t="str">
        <f>RIGHT(INDEX($D$9:$D$47,MATCH('EEPROM-Contents'!S16,$B$9:$B$47,0)),2)</f>
        <v>00</v>
      </c>
      <c r="R22" s="84" t="str">
        <f>RIGHT(INDEX($D$9:$D$47,MATCH('EEPROM-Contents'!T16,$B$9:$B$47,0)),2)</f>
        <v>27</v>
      </c>
      <c r="S22" s="84" t="str">
        <f>RIGHT(INDEX($D$9:$D$47,MATCH('EEPROM-Contents'!U16,$B$9:$B$47,0)),2)</f>
        <v>0F</v>
      </c>
      <c r="T22" s="84" t="str">
        <f>RIGHT(INDEX($D$9:$D$47,MATCH('EEPROM-Contents'!V16,$B$9:$B$47,0)),2)</f>
        <v>00</v>
      </c>
      <c r="U22" s="84" t="str">
        <f>RIGHT(INDEX($D$9:$D$47,MATCH('EEPROM-Contents'!W16,$B$9:$B$47,0)),2)</f>
        <v>00</v>
      </c>
      <c r="V22" s="84" t="str">
        <f>RIGHT(INDEX($D$9:$D$47,MATCH('EEPROM-Contents'!X16,$B$9:$B$47,0)),2)</f>
        <v>00</v>
      </c>
      <c r="W22" s="84" t="str">
        <f>RIGHT(INDEX($D$9:$D$47,MATCH('EEPROM-Contents'!Y16,$B$9:$B$47,0)),2)</f>
        <v>00</v>
      </c>
      <c r="X22" s="84" t="str">
        <f>RIGHT(INDEX($D$9:$D$47,MATCH('EEPROM-Contents'!Z16,$B$9:$B$47,0)),2)</f>
        <v>00</v>
      </c>
      <c r="Y22" s="84" t="str">
        <f>RIGHT(INDEX($D$9:$D$47,MATCH('EEPROM-Contents'!AA16,$B$9:$B$47,0)),2)</f>
        <v>00</v>
      </c>
      <c r="Z22" s="84" t="str">
        <f>RIGHT(INDEX($D$9:$D$47,MATCH('EEPROM-Contents'!AB16,$B$9:$B$47,0)),2)</f>
        <v>00</v>
      </c>
      <c r="AA22" s="84" t="str">
        <f>RIGHT(INDEX($D$9:$D$47,MATCH('EEPROM-Contents'!AC16,$B$9:$B$47,0)),2)</f>
        <v>00</v>
      </c>
      <c r="AB22" s="84" t="str">
        <f>RIGHT(INDEX($D$9:$D$47,MATCH('EEPROM-Contents'!AD16,$B$9:$B$47,0)),2)</f>
        <v>FF</v>
      </c>
      <c r="AC22" s="84" t="str">
        <f>RIGHT(INDEX($D$9:$D$47,MATCH('EEPROM-Contents'!AE16,$B$9:$B$47,0)),2)</f>
        <v>64</v>
      </c>
      <c r="AD22" s="84" t="str">
        <f>RIGHT(INDEX($D$9:$D$47,MATCH('EEPROM-Contents'!AF16,$B$9:$B$47,0)),2)</f>
        <v>64</v>
      </c>
      <c r="AF22" s="81" t="str">
        <f t="shared" si="3"/>
        <v>1200CD7C0A0000000000F50000270F0000000000000000FF646400</v>
      </c>
    </row>
    <row r="23" spans="2:32" x14ac:dyDescent="0.3">
      <c r="B23" s="85">
        <f>'EEPROM-Contents'!B96</f>
        <v>92</v>
      </c>
      <c r="C23" s="77">
        <f t="shared" ref="C23:C46" si="4">HEX2DEC(D23)</f>
        <v>205</v>
      </c>
      <c r="D23" s="77" t="str">
        <f>LEFT(RIGHT($E$5,6),2)</f>
        <v>CD</v>
      </c>
      <c r="E23" s="69" t="str">
        <f>'EEPROM-Contents'!L96</f>
        <v>Device ID</v>
      </c>
      <c r="F23" s="70"/>
      <c r="G23" s="73"/>
      <c r="N23" s="78" t="s">
        <v>355</v>
      </c>
      <c r="O23" s="84" t="str">
        <f ca="1">RIGHT(INDEX($D$9:$D$47,MATCH('EEPROM-Contents'!Q17,$B$9:$B$47,0)),2)</f>
        <v>23</v>
      </c>
      <c r="P23" s="79" t="str">
        <f>RIGHT(INDEX('EEPROM-Contents'!$K$4:'EEPROM-Contents'!$K$141,MATCH('EEPROM-Contents'!R17,'EEPROM-Contents'!$I$4:'EEPROM-Contents'!$I$141,0)),2)</f>
        <v>05</v>
      </c>
      <c r="Q23" s="84" t="str">
        <f>RIGHT(INDEX($D$9:$D$47,MATCH('EEPROM-Contents'!S17,$B$9:$B$47,0)),2)</f>
        <v>89</v>
      </c>
      <c r="R23" s="84" t="str">
        <f ca="1">RIGHT(INDEX($D$9:$D$47,MATCH('EEPROM-Contents'!T17,$B$9:$B$47,0)),2)</f>
        <v>07</v>
      </c>
      <c r="S23" s="84" t="str">
        <f ca="1">RIGHT(INDEX($D$9:$D$47,MATCH('EEPROM-Contents'!U17,$B$9:$B$47,0)),2)</f>
        <v>01</v>
      </c>
      <c r="T23" s="84" t="str">
        <f ca="1">RIGHT(INDEX($D$9:$D$47,MATCH('EEPROM-Contents'!V17,$B$9:$B$47,0)),2)</f>
        <v>03</v>
      </c>
      <c r="U23" s="84" t="str">
        <f>RIGHT(INDEX($D$9:$D$47,MATCH('EEPROM-Contents'!W17,$B$9:$B$47,0)),2)</f>
        <v>03</v>
      </c>
      <c r="V23" s="84" t="str">
        <f>RIGHT(INDEX($D$9:$D$47,MATCH('EEPROM-Contents'!X17,$B$9:$B$47,0)),2)</f>
        <v>F5</v>
      </c>
      <c r="W23" s="84" t="str">
        <f>RIGHT(INDEX($D$9:$D$47,MATCH('EEPROM-Contents'!Y17,$B$9:$B$47,0)),2)</f>
        <v>00</v>
      </c>
      <c r="X23" s="84" t="str">
        <f>RIGHT(INDEX($D$9:$D$47,MATCH('EEPROM-Contents'!Z17,$B$9:$B$47,0)),2)</f>
        <v>00</v>
      </c>
      <c r="Y23" s="84" t="str">
        <f>RIGHT(INDEX($D$9:$D$47,MATCH('EEPROM-Contents'!AA17,$B$9:$B$47,0)),2)</f>
        <v>27</v>
      </c>
      <c r="Z23" s="84" t="str">
        <f>RIGHT(INDEX($D$9:$D$47,MATCH('EEPROM-Contents'!AB17,$B$9:$B$47,0)),2)</f>
        <v>0F</v>
      </c>
      <c r="AA23" s="84" t="str">
        <f>RIGHT(INDEX($D$9:$D$47,MATCH('EEPROM-Contents'!AC17,$B$9:$B$47,0)),2)</f>
        <v>00</v>
      </c>
      <c r="AB23" s="84" t="str">
        <f>RIGHT(INDEX($D$9:$D$47,MATCH('EEPROM-Contents'!AD17,$B$9:$B$47,0)),2)</f>
        <v>00</v>
      </c>
      <c r="AC23" s="84" t="str">
        <f>RIGHT(INDEX($D$9:$D$47,MATCH('EEPROM-Contents'!AE17,$B$9:$B$47,0)),2)</f>
        <v>00</v>
      </c>
      <c r="AD23" s="84" t="str">
        <f>RIGHT(INDEX($D$9:$D$47,MATCH('EEPROM-Contents'!AF17,$B$9:$B$47,0)),2)</f>
        <v>00</v>
      </c>
      <c r="AF23" s="81" t="str">
        <f t="shared" ca="1" si="3"/>
        <v>1200CD7C0A000000000023058907010303F50000270F0000000000</v>
      </c>
    </row>
    <row r="24" spans="2:32" x14ac:dyDescent="0.3">
      <c r="B24" s="85">
        <f>'EEPROM-Contents'!B97</f>
        <v>93</v>
      </c>
      <c r="C24" s="77">
        <f t="shared" si="4"/>
        <v>124</v>
      </c>
      <c r="D24" s="77" t="str">
        <f>LEFT(RIGHT($E$5,4),2)</f>
        <v>7C</v>
      </c>
      <c r="E24" s="69" t="str">
        <f>'EEPROM-Contents'!L97</f>
        <v>Device ID</v>
      </c>
      <c r="F24" s="70"/>
      <c r="G24" s="73"/>
      <c r="N24" s="78" t="s">
        <v>356</v>
      </c>
      <c r="O24" s="84" t="str">
        <f>RIGHT(INDEX($D$9:$D$47,MATCH('EEPROM-Contents'!Q18,$B$9:$B$47,0)),2)</f>
        <v>00</v>
      </c>
      <c r="P24" s="84" t="str">
        <f>RIGHT(INDEX($D$9:$D$47,MATCH('EEPROM-Contents'!R18,$B$9:$B$47,0)),2)</f>
        <v>00</v>
      </c>
      <c r="Q24" s="84" t="str">
        <f>RIGHT(INDEX($D$9:$D$47,MATCH('EEPROM-Contents'!S18,$B$9:$B$47,0)),2)</f>
        <v>00</v>
      </c>
      <c r="R24" s="84" t="str">
        <f>RIGHT(INDEX($D$9:$D$47,MATCH('EEPROM-Contents'!T18,$B$9:$B$47,0)),2)</f>
        <v>00</v>
      </c>
      <c r="S24" s="84" t="str">
        <f>RIGHT(INDEX($D$9:$D$47,MATCH('EEPROM-Contents'!U18,$B$9:$B$47,0)),2)</f>
        <v>FF</v>
      </c>
      <c r="T24" s="84" t="str">
        <f>RIGHT(INDEX($D$9:$D$47,MATCH('EEPROM-Contents'!V18,$B$9:$B$47,0)),2)</f>
        <v>64</v>
      </c>
      <c r="U24" s="84" t="str">
        <f>RIGHT(INDEX($D$9:$D$47,MATCH('EEPROM-Contents'!W18,$B$9:$B$47,0)),2)</f>
        <v>64</v>
      </c>
      <c r="V24" s="84" t="str">
        <f ca="1">RIGHT(INDEX($D$9:$D$47,MATCH('EEPROM-Contents'!X18,$B$9:$B$47,0)),2)</f>
        <v>23</v>
      </c>
      <c r="W24" s="79" t="str">
        <f>RIGHT(INDEX('EEPROM-Contents'!$K$4:'EEPROM-Contents'!$K$141,MATCH('EEPROM-Contents'!Y18,'EEPROM-Contents'!$I$4:'EEPROM-Contents'!$I$141,0)),2)</f>
        <v>06</v>
      </c>
      <c r="X24" s="84" t="str">
        <f>RIGHT(INDEX($D$9:$D$47,MATCH('EEPROM-Contents'!Z18,$B$9:$B$47,0)),2)</f>
        <v>89</v>
      </c>
      <c r="Y24" s="84" t="str">
        <f ca="1">RIGHT(INDEX($D$9:$D$47,MATCH('EEPROM-Contents'!AA18,$B$9:$B$47,0)),2)</f>
        <v>07</v>
      </c>
      <c r="Z24" s="84" t="str">
        <f ca="1">RIGHT(INDEX($D$9:$D$47,MATCH('EEPROM-Contents'!AB18,$B$9:$B$47,0)),2)</f>
        <v>01</v>
      </c>
      <c r="AA24" s="84" t="str">
        <f ca="1">RIGHT(INDEX($D$9:$D$47,MATCH('EEPROM-Contents'!AC18,$B$9:$B$47,0)),2)</f>
        <v>03</v>
      </c>
      <c r="AB24" s="84" t="str">
        <f>RIGHT(INDEX($D$9:$D$47,MATCH('EEPROM-Contents'!AD18,$B$9:$B$47,0)),2)</f>
        <v>03</v>
      </c>
      <c r="AC24" s="84" t="str">
        <f>RIGHT(INDEX($D$9:$D$47,MATCH('EEPROM-Contents'!AE18,$B$9:$B$47,0)),2)</f>
        <v>F5</v>
      </c>
      <c r="AD24" s="84" t="str">
        <f>RIGHT(INDEX($D$9:$D$47,MATCH('EEPROM-Contents'!AF18,$B$9:$B$47,0)),2)</f>
        <v>00</v>
      </c>
      <c r="AF24" s="81" t="str">
        <f t="shared" ca="1" si="3"/>
        <v>1200CD7C0A000000000000000000FF646423068907010303F50000</v>
      </c>
    </row>
    <row r="25" spans="2:32" x14ac:dyDescent="0.3">
      <c r="B25" s="85">
        <f>'EEPROM-Contents'!B98</f>
        <v>94</v>
      </c>
      <c r="C25" s="77">
        <f t="shared" si="4"/>
        <v>10</v>
      </c>
      <c r="D25" s="77" t="str">
        <f>LEFT(RIGHT($E$5,2),2)</f>
        <v>0A</v>
      </c>
      <c r="E25" s="69" t="str">
        <f>'EEPROM-Contents'!L98</f>
        <v>Device ID</v>
      </c>
      <c r="F25" s="70"/>
      <c r="G25" s="73"/>
      <c r="N25" s="78" t="s">
        <v>357</v>
      </c>
      <c r="O25" s="84" t="str">
        <f>RIGHT(INDEX($D$9:$D$47,MATCH('EEPROM-Contents'!Q19,$B$9:$B$47,0)),2)</f>
        <v>00</v>
      </c>
      <c r="P25" s="84" t="str">
        <f>RIGHT(INDEX($D$9:$D$47,MATCH('EEPROM-Contents'!R19,$B$9:$B$47,0)),2)</f>
        <v>27</v>
      </c>
      <c r="Q25" s="84" t="str">
        <f>RIGHT(INDEX($D$9:$D$47,MATCH('EEPROM-Contents'!S19,$B$9:$B$47,0)),2)</f>
        <v>0F</v>
      </c>
      <c r="R25" s="84" t="str">
        <f>RIGHT(INDEX($D$9:$D$47,MATCH('EEPROM-Contents'!T19,$B$9:$B$47,0)),2)</f>
        <v>00</v>
      </c>
      <c r="S25" s="84" t="str">
        <f>RIGHT(INDEX($D$9:$D$47,MATCH('EEPROM-Contents'!U19,$B$9:$B$47,0)),2)</f>
        <v>00</v>
      </c>
      <c r="T25" s="84" t="str">
        <f>RIGHT(INDEX($D$9:$D$47,MATCH('EEPROM-Contents'!V19,$B$9:$B$47,0)),2)</f>
        <v>00</v>
      </c>
      <c r="U25" s="84" t="str">
        <f>RIGHT(INDEX($D$9:$D$47,MATCH('EEPROM-Contents'!W19,$B$9:$B$47,0)),2)</f>
        <v>00</v>
      </c>
      <c r="V25" s="84" t="str">
        <f>RIGHT(INDEX($D$9:$D$47,MATCH('EEPROM-Contents'!X19,$B$9:$B$47,0)),2)</f>
        <v>00</v>
      </c>
      <c r="W25" s="84" t="str">
        <f>RIGHT(INDEX($D$9:$D$47,MATCH('EEPROM-Contents'!Y19,$B$9:$B$47,0)),2)</f>
        <v>00</v>
      </c>
      <c r="X25" s="84" t="str">
        <f>RIGHT(INDEX($D$9:$D$47,MATCH('EEPROM-Contents'!Z19,$B$9:$B$47,0)),2)</f>
        <v>00</v>
      </c>
      <c r="Y25" s="84" t="str">
        <f>RIGHT(INDEX($D$9:$D$47,MATCH('EEPROM-Contents'!AA19,$B$9:$B$47,0)),2)</f>
        <v>00</v>
      </c>
      <c r="Z25" s="84" t="str">
        <f>RIGHT(INDEX($D$9:$D$47,MATCH('EEPROM-Contents'!AB19,$B$9:$B$47,0)),2)</f>
        <v>FF</v>
      </c>
      <c r="AA25" s="84" t="str">
        <f>RIGHT(INDEX($D$9:$D$47,MATCH('EEPROM-Contents'!AC19,$B$9:$B$47,0)),2)</f>
        <v>64</v>
      </c>
      <c r="AB25" s="84" t="str">
        <f>RIGHT(INDEX($D$9:$D$47,MATCH('EEPROM-Contents'!AD19,$B$9:$B$47,0)),2)</f>
        <v>64</v>
      </c>
      <c r="AC25" s="84" t="str">
        <f ca="1">RIGHT(INDEX($D$9:$D$47,MATCH('EEPROM-Contents'!AE19,$B$9:$B$47,0)),2)</f>
        <v>23</v>
      </c>
      <c r="AD25" s="79" t="str">
        <f>RIGHT(INDEX('EEPROM-Contents'!$K$4:'EEPROM-Contents'!$K$141,MATCH('EEPROM-Contents'!AF19,'EEPROM-Contents'!$I$4:'EEPROM-Contents'!$I$141,0)),2)</f>
        <v>07</v>
      </c>
      <c r="AF25" s="81" t="str">
        <f t="shared" ca="1" si="3"/>
        <v>1200CD7C0A000000000000270F0000000000000000FF6464230700</v>
      </c>
    </row>
    <row r="26" spans="2:32" x14ac:dyDescent="0.3">
      <c r="B26" s="85">
        <f>'EEPROM-Contents'!B99</f>
        <v>95</v>
      </c>
      <c r="C26" s="75">
        <f t="shared" si="4"/>
        <v>137</v>
      </c>
      <c r="D26" s="75">
        <f>L5</f>
        <v>89</v>
      </c>
      <c r="E26" s="66" t="str">
        <f>'EEPROM-Contents'!L99</f>
        <v>8X=ASIC 1204, 0X= ASIC 1010</v>
      </c>
      <c r="F26" s="67"/>
      <c r="G26" s="68"/>
      <c r="N26" s="78" t="s">
        <v>358</v>
      </c>
      <c r="O26" s="84" t="str">
        <f>RIGHT(INDEX($D$9:$D$47,MATCH('EEPROM-Contents'!Q20,$B$9:$B$47,0)),2)</f>
        <v>89</v>
      </c>
      <c r="P26" s="84" t="str">
        <f ca="1">RIGHT(INDEX($D$9:$D$47,MATCH('EEPROM-Contents'!R20,$B$9:$B$47,0)),2)</f>
        <v>07</v>
      </c>
      <c r="Q26" s="84" t="str">
        <f ca="1">RIGHT(INDEX($D$9:$D$47,MATCH('EEPROM-Contents'!S20,$B$9:$B$47,0)),2)</f>
        <v>01</v>
      </c>
      <c r="R26" s="84" t="str">
        <f ca="1">RIGHT(INDEX($D$9:$D$47,MATCH('EEPROM-Contents'!T20,$B$9:$B$47,0)),2)</f>
        <v>03</v>
      </c>
      <c r="S26" s="84" t="str">
        <f>RIGHT(INDEX($D$9:$D$47,MATCH('EEPROM-Contents'!U20,$B$9:$B$47,0)),2)</f>
        <v>03</v>
      </c>
      <c r="T26" s="84" t="str">
        <f>RIGHT(INDEX($D$9:$D$47,MATCH('EEPROM-Contents'!V20,$B$9:$B$47,0)),2)</f>
        <v>F5</v>
      </c>
      <c r="U26" s="84" t="str">
        <f>RIGHT(INDEX($D$9:$D$47,MATCH('EEPROM-Contents'!W20,$B$9:$B$47,0)),2)</f>
        <v>00</v>
      </c>
      <c r="V26" s="84" t="str">
        <f>RIGHT(INDEX($D$9:$D$47,MATCH('EEPROM-Contents'!X20,$B$9:$B$47,0)),2)</f>
        <v>00</v>
      </c>
      <c r="W26" s="84" t="str">
        <f>RIGHT(INDEX($D$9:$D$47,MATCH('EEPROM-Contents'!Y20,$B$9:$B$47,0)),2)</f>
        <v>27</v>
      </c>
      <c r="X26" s="84" t="str">
        <f>RIGHT(INDEX($D$9:$D$47,MATCH('EEPROM-Contents'!Z20,$B$9:$B$47,0)),2)</f>
        <v>0F</v>
      </c>
      <c r="Y26" s="84" t="str">
        <f>RIGHT(INDEX($D$9:$D$47,MATCH('EEPROM-Contents'!AA20,$B$9:$B$47,0)),2)</f>
        <v>00</v>
      </c>
      <c r="Z26" s="84" t="str">
        <f>RIGHT(INDEX($D$9:$D$47,MATCH('EEPROM-Contents'!AB20,$B$9:$B$47,0)),2)</f>
        <v>00</v>
      </c>
      <c r="AA26" s="84" t="str">
        <f>RIGHT(INDEX($D$9:$D$47,MATCH('EEPROM-Contents'!AC20,$B$9:$B$47,0)),2)</f>
        <v>00</v>
      </c>
      <c r="AB26" s="84" t="str">
        <f>RIGHT(INDEX($D$9:$D$47,MATCH('EEPROM-Contents'!AD20,$B$9:$B$47,0)),2)</f>
        <v>00</v>
      </c>
      <c r="AC26" s="84" t="str">
        <f>RIGHT(INDEX($D$9:$D$47,MATCH('EEPROM-Contents'!AE20,$B$9:$B$47,0)),2)</f>
        <v>00</v>
      </c>
      <c r="AD26" s="84" t="str">
        <f>RIGHT(INDEX($D$9:$D$47,MATCH('EEPROM-Contents'!AF20,$B$9:$B$47,0)),2)</f>
        <v>00</v>
      </c>
      <c r="AF26" s="81" t="str">
        <f t="shared" ca="1" si="3"/>
        <v>1200CD7C0A00000000008907010303F50000270F00000000000000</v>
      </c>
    </row>
    <row r="27" spans="2:32" x14ac:dyDescent="0.3">
      <c r="B27" s="85">
        <f>'EEPROM-Contents'!B100</f>
        <v>96</v>
      </c>
      <c r="C27" s="75">
        <f t="shared" ca="1" si="4"/>
        <v>7</v>
      </c>
      <c r="D27" s="75" t="str">
        <f ca="1">F5</f>
        <v>07</v>
      </c>
      <c r="E27" s="66" t="str">
        <f>'EEPROM-Contents'!L100</f>
        <v>Year</v>
      </c>
      <c r="F27" s="67"/>
      <c r="G27" s="68"/>
      <c r="N27" s="78" t="s">
        <v>359</v>
      </c>
      <c r="O27" s="84" t="str">
        <f>RIGHT(INDEX($D$9:$D$47,MATCH('EEPROM-Contents'!Q21,$B$9:$B$47,0)),2)</f>
        <v>00</v>
      </c>
      <c r="P27" s="84" t="str">
        <f>RIGHT(INDEX($D$9:$D$47,MATCH('EEPROM-Contents'!R21,$B$9:$B$47,0)),2)</f>
        <v>00</v>
      </c>
      <c r="Q27" s="84" t="str">
        <f>RIGHT(INDEX($D$9:$D$47,MATCH('EEPROM-Contents'!S21,$B$9:$B$47,0)),2)</f>
        <v>FF</v>
      </c>
      <c r="R27" s="84" t="str">
        <f>RIGHT(INDEX($D$9:$D$47,MATCH('EEPROM-Contents'!T21,$B$9:$B$47,0)),2)</f>
        <v>64</v>
      </c>
      <c r="S27" s="84" t="str">
        <f>RIGHT(INDEX($D$9:$D$47,MATCH('EEPROM-Contents'!U21,$B$9:$B$47,0)),2)</f>
        <v>64</v>
      </c>
      <c r="T27" s="84" t="str">
        <f ca="1">RIGHT(INDEX($D$9:$D$47,MATCH('EEPROM-Contents'!V21,$B$9:$B$47,0)),2)</f>
        <v>23</v>
      </c>
      <c r="U27" s="79" t="str">
        <f>RIGHT(INDEX('EEPROM-Contents'!$K$4:'EEPROM-Contents'!$K$141,MATCH('EEPROM-Contents'!W21,'EEPROM-Contents'!$I$4:'EEPROM-Contents'!$I$141,0)),2)</f>
        <v>08</v>
      </c>
      <c r="V27" s="84" t="str">
        <f>RIGHT(INDEX($D$9:$D$47,MATCH('EEPROM-Contents'!X21,$B$9:$B$47,0)),2)</f>
        <v>89</v>
      </c>
      <c r="W27" s="84" t="str">
        <f ca="1">RIGHT(INDEX($D$9:$D$47,MATCH('EEPROM-Contents'!Y21,$B$9:$B$47,0)),2)</f>
        <v>07</v>
      </c>
      <c r="X27" s="84" t="str">
        <f ca="1">RIGHT(INDEX($D$9:$D$47,MATCH('EEPROM-Contents'!Z21,$B$9:$B$47,0)),2)</f>
        <v>01</v>
      </c>
      <c r="Y27" s="84" t="str">
        <f ca="1">RIGHT(INDEX($D$9:$D$47,MATCH('EEPROM-Contents'!AA21,$B$9:$B$47,0)),2)</f>
        <v>03</v>
      </c>
      <c r="Z27" s="84" t="str">
        <f>RIGHT(INDEX($D$9:$D$47,MATCH('EEPROM-Contents'!AB21,$B$9:$B$47,0)),2)</f>
        <v>03</v>
      </c>
      <c r="AA27" s="84" t="str">
        <f>RIGHT(INDEX($D$9:$D$47,MATCH('EEPROM-Contents'!AC21,$B$9:$B$47,0)),2)</f>
        <v>F5</v>
      </c>
      <c r="AB27" s="84" t="str">
        <f>RIGHT(INDEX($D$9:$D$47,MATCH('EEPROM-Contents'!AD21,$B$9:$B$47,0)),2)</f>
        <v>00</v>
      </c>
      <c r="AC27" s="84" t="str">
        <f>RIGHT(INDEX($D$9:$D$47,MATCH('EEPROM-Contents'!AE21,$B$9:$B$47,0)),2)</f>
        <v>00</v>
      </c>
      <c r="AD27" s="84" t="str">
        <f>RIGHT(INDEX($D$9:$D$47,MATCH('EEPROM-Contents'!AF21,$B$9:$B$47,0)),2)</f>
        <v>27</v>
      </c>
      <c r="AF27" s="81" t="str">
        <f t="shared" ca="1" si="3"/>
        <v>1200CD7C0A00000000000000FF646423088907010303F500002700</v>
      </c>
    </row>
    <row r="28" spans="2:32" x14ac:dyDescent="0.3">
      <c r="B28" s="85">
        <f>'EEPROM-Contents'!B101</f>
        <v>97</v>
      </c>
      <c r="C28" s="75">
        <f t="shared" ca="1" si="4"/>
        <v>1</v>
      </c>
      <c r="D28" s="75" t="str">
        <f ca="1">G5</f>
        <v>01</v>
      </c>
      <c r="E28" s="66" t="str">
        <f>'EEPROM-Contents'!L101</f>
        <v>Month</v>
      </c>
      <c r="F28" s="67"/>
      <c r="G28" s="68"/>
      <c r="N28" s="78" t="s">
        <v>360</v>
      </c>
      <c r="O28" s="84" t="str">
        <f>RIGHT(INDEX($D$9:$D$47,MATCH('EEPROM-Contents'!Q22,$B$9:$B$47,0)),2)</f>
        <v>0F</v>
      </c>
      <c r="P28" s="84" t="str">
        <f>RIGHT(INDEX($D$9:$D$47,MATCH('EEPROM-Contents'!R22,$B$9:$B$47,0)),2)</f>
        <v>00</v>
      </c>
      <c r="Q28" s="84" t="str">
        <f>RIGHT(INDEX($D$9:$D$47,MATCH('EEPROM-Contents'!S22,$B$9:$B$47,0)),2)</f>
        <v>00</v>
      </c>
      <c r="R28" s="84" t="str">
        <f>RIGHT(INDEX($D$9:$D$47,MATCH('EEPROM-Contents'!T22,$B$9:$B$47,0)),2)</f>
        <v>00</v>
      </c>
      <c r="S28" s="84" t="str">
        <f>RIGHT(INDEX($D$9:$D$47,MATCH('EEPROM-Contents'!U22,$B$9:$B$47,0)),2)</f>
        <v>00</v>
      </c>
      <c r="T28" s="84" t="str">
        <f>RIGHT(INDEX($D$9:$D$47,MATCH('EEPROM-Contents'!V22,$B$9:$B$47,0)),2)</f>
        <v>00</v>
      </c>
      <c r="U28" s="84" t="str">
        <f>RIGHT(INDEX($D$9:$D$47,MATCH('EEPROM-Contents'!W22,$B$9:$B$47,0)),2)</f>
        <v>00</v>
      </c>
      <c r="V28" s="84" t="str">
        <f>RIGHT(INDEX($D$9:$D$47,MATCH('EEPROM-Contents'!X22,$B$9:$B$47,0)),2)</f>
        <v>00</v>
      </c>
      <c r="W28" s="84" t="str">
        <f>RIGHT(INDEX($D$9:$D$47,MATCH('EEPROM-Contents'!Y22,$B$9:$B$47,0)),2)</f>
        <v>00</v>
      </c>
      <c r="X28" s="84" t="str">
        <f>RIGHT(INDEX($D$9:$D$47,MATCH('EEPROM-Contents'!Z22,$B$9:$B$47,0)),2)</f>
        <v>FF</v>
      </c>
      <c r="Y28" s="84" t="str">
        <f>RIGHT(INDEX($D$9:$D$47,MATCH('EEPROM-Contents'!AA22,$B$9:$B$47,0)),2)</f>
        <v>64</v>
      </c>
      <c r="Z28" s="84" t="str">
        <f>RIGHT(INDEX($D$9:$D$47,MATCH('EEPROM-Contents'!AB22,$B$9:$B$47,0)),2)</f>
        <v>64</v>
      </c>
      <c r="AA28" s="84" t="str">
        <f ca="1">RIGHT(INDEX($D$9:$D$47,MATCH('EEPROM-Contents'!AC22,$B$9:$B$47,0)),2)</f>
        <v>23</v>
      </c>
      <c r="AB28" s="79" t="str">
        <f>RIGHT(INDEX('EEPROM-Contents'!$K$4:'EEPROM-Contents'!$K$141,MATCH('EEPROM-Contents'!AD22,'EEPROM-Contents'!$I$4:'EEPROM-Contents'!$I$141,0)),2)</f>
        <v>09</v>
      </c>
      <c r="AC28" s="84" t="str">
        <f>RIGHT(INDEX($D$9:$D$47,MATCH('EEPROM-Contents'!AE22,$B$9:$B$47,0)),2)</f>
        <v>89</v>
      </c>
      <c r="AD28" s="84" t="str">
        <f ca="1">RIGHT(INDEX($D$9:$D$47,MATCH('EEPROM-Contents'!AF22,$B$9:$B$47,0)),2)</f>
        <v>07</v>
      </c>
      <c r="AF28" s="81" t="str">
        <f t="shared" ca="1" si="3"/>
        <v>1200CD7C0A00000000000F0000000000000000FF64642309890700</v>
      </c>
    </row>
    <row r="29" spans="2:32" x14ac:dyDescent="0.3">
      <c r="B29" s="85">
        <f>'EEPROM-Contents'!B102</f>
        <v>98</v>
      </c>
      <c r="C29" s="75">
        <f t="shared" ca="1" si="4"/>
        <v>3</v>
      </c>
      <c r="D29" s="75" t="str">
        <f ca="1">H5</f>
        <v>03</v>
      </c>
      <c r="E29" s="66" t="str">
        <f>'EEPROM-Contents'!L102</f>
        <v>Day</v>
      </c>
      <c r="F29" s="67"/>
      <c r="G29" s="68"/>
      <c r="N29" s="78" t="s">
        <v>361</v>
      </c>
      <c r="O29" s="84" t="str">
        <f ca="1">RIGHT(INDEX($D$9:$D$47,MATCH('EEPROM-Contents'!Q23,$B$9:$B$47,0)),2)</f>
        <v>01</v>
      </c>
      <c r="P29" s="84" t="str">
        <f ca="1">RIGHT(INDEX($D$9:$D$47,MATCH('EEPROM-Contents'!R23,$B$9:$B$47,0)),2)</f>
        <v>03</v>
      </c>
      <c r="Q29" s="84" t="str">
        <f>RIGHT(INDEX($D$9:$D$47,MATCH('EEPROM-Contents'!S23,$B$9:$B$47,0)),2)</f>
        <v>03</v>
      </c>
      <c r="R29" s="84" t="str">
        <f>RIGHT(INDEX($D$9:$D$47,MATCH('EEPROM-Contents'!T23,$B$9:$B$47,0)),2)</f>
        <v>F5</v>
      </c>
      <c r="S29" s="84" t="str">
        <f>RIGHT(INDEX($D$9:$D$47,MATCH('EEPROM-Contents'!U23,$B$9:$B$47,0)),2)</f>
        <v>00</v>
      </c>
      <c r="T29" s="84" t="str">
        <f>RIGHT(INDEX($D$9:$D$47,MATCH('EEPROM-Contents'!V23,$B$9:$B$47,0)),2)</f>
        <v>00</v>
      </c>
      <c r="U29" s="84" t="str">
        <f>RIGHT(INDEX($D$9:$D$47,MATCH('EEPROM-Contents'!W23,$B$9:$B$47,0)),2)</f>
        <v>27</v>
      </c>
      <c r="V29" s="84" t="str">
        <f>RIGHT(INDEX($D$9:$D$47,MATCH('EEPROM-Contents'!X23,$B$9:$B$47,0)),2)</f>
        <v>0F</v>
      </c>
      <c r="W29" s="84" t="str">
        <f>RIGHT(INDEX($D$9:$D$47,MATCH('EEPROM-Contents'!Y23,$B$9:$B$47,0)),2)</f>
        <v>00</v>
      </c>
      <c r="X29" s="84" t="str">
        <f>RIGHT(INDEX($D$9:$D$47,MATCH('EEPROM-Contents'!Z23,$B$9:$B$47,0)),2)</f>
        <v>00</v>
      </c>
      <c r="Y29" s="84" t="str">
        <f>RIGHT(INDEX($D$9:$D$47,MATCH('EEPROM-Contents'!AA23,$B$9:$B$47,0)),2)</f>
        <v>00</v>
      </c>
      <c r="Z29" s="84" t="str">
        <f>RIGHT(INDEX($D$9:$D$47,MATCH('EEPROM-Contents'!AB23,$B$9:$B$47,0)),2)</f>
        <v>00</v>
      </c>
      <c r="AA29" s="84" t="str">
        <f>RIGHT(INDEX($D$9:$D$47,MATCH('EEPROM-Contents'!AC23,$B$9:$B$47,0)),2)</f>
        <v>00</v>
      </c>
      <c r="AB29" s="84" t="str">
        <f>RIGHT(INDEX($D$9:$D$47,MATCH('EEPROM-Contents'!AD23,$B$9:$B$47,0)),2)</f>
        <v>00</v>
      </c>
      <c r="AC29" s="84" t="str">
        <f>RIGHT(INDEX($D$9:$D$47,MATCH('EEPROM-Contents'!AE23,$B$9:$B$47,0)),2)</f>
        <v>00</v>
      </c>
      <c r="AD29" s="84" t="str">
        <f>RIGHT(INDEX($D$9:$D$47,MATCH('EEPROM-Contents'!AF23,$B$9:$B$47,0)),2)</f>
        <v>00</v>
      </c>
      <c r="AF29" s="81" t="str">
        <f t="shared" ca="1" si="3"/>
        <v>1200CD7C0A0000000000010303F50000270F000000000000000000</v>
      </c>
    </row>
    <row r="30" spans="2:32" x14ac:dyDescent="0.3">
      <c r="B30" s="85">
        <f>'EEPROM-Contents'!B103</f>
        <v>99</v>
      </c>
      <c r="C30" s="75">
        <f t="shared" si="4"/>
        <v>3</v>
      </c>
      <c r="D30" s="75" t="str">
        <f>LEFT(RIGHT($B$5,4),2)</f>
        <v>03</v>
      </c>
      <c r="E30" s="66" t="str">
        <f>'EEPROM-Contents'!L103</f>
        <v>Device Type</v>
      </c>
      <c r="F30" s="67"/>
      <c r="G30" s="68"/>
      <c r="N30" s="78" t="s">
        <v>362</v>
      </c>
      <c r="O30" s="84" t="str">
        <f>RIGHT(INDEX($D$9:$D$47,MATCH('EEPROM-Contents'!Q24,$B$9:$B$47,0)),2)</f>
        <v>FF</v>
      </c>
      <c r="P30" s="84" t="str">
        <f>RIGHT(INDEX($D$9:$D$47,MATCH('EEPROM-Contents'!R24,$B$9:$B$47,0)),2)</f>
        <v>64</v>
      </c>
      <c r="Q30" s="84" t="str">
        <f>RIGHT(INDEX($D$9:$D$47,MATCH('EEPROM-Contents'!S24,$B$9:$B$47,0)),2)</f>
        <v>64</v>
      </c>
      <c r="R30" s="84" t="str">
        <f ca="1">RIGHT(INDEX($D$9:$D$47,MATCH('EEPROM-Contents'!T24,$B$9:$B$47,0)),2)</f>
        <v>23</v>
      </c>
      <c r="S30" s="79" t="str">
        <f>RIGHT(INDEX('EEPROM-Contents'!$K$4:'EEPROM-Contents'!$K$141,MATCH('EEPROM-Contents'!U24,'EEPROM-Contents'!$I$4:'EEPROM-Contents'!$I$141,0)),2)</f>
        <v>0A</v>
      </c>
      <c r="T30" s="84" t="str">
        <f>RIGHT(INDEX($D$9:$D$47,MATCH('EEPROM-Contents'!V24,$B$9:$B$47,0)),2)</f>
        <v>89</v>
      </c>
      <c r="U30" s="84" t="str">
        <f ca="1">RIGHT(INDEX($D$9:$D$47,MATCH('EEPROM-Contents'!W24,$B$9:$B$47,0)),2)</f>
        <v>07</v>
      </c>
      <c r="V30" s="84" t="str">
        <f ca="1">RIGHT(INDEX($D$9:$D$47,MATCH('EEPROM-Contents'!X24,$B$9:$B$47,0)),2)</f>
        <v>01</v>
      </c>
      <c r="W30" s="84" t="str">
        <f ca="1">RIGHT(INDEX($D$9:$D$47,MATCH('EEPROM-Contents'!Y24,$B$9:$B$47,0)),2)</f>
        <v>03</v>
      </c>
      <c r="X30" s="84" t="str">
        <f>RIGHT(INDEX($D$9:$D$47,MATCH('EEPROM-Contents'!Z24,$B$9:$B$47,0)),2)</f>
        <v>03</v>
      </c>
      <c r="Y30" s="84" t="str">
        <f>RIGHT(INDEX($D$9:$D$47,MATCH('EEPROM-Contents'!AA24,$B$9:$B$47,0)),2)</f>
        <v>F5</v>
      </c>
      <c r="Z30" s="84" t="str">
        <f>RIGHT(INDEX($D$9:$D$47,MATCH('EEPROM-Contents'!AB24,$B$9:$B$47,0)),2)</f>
        <v>00</v>
      </c>
      <c r="AA30" s="84" t="str">
        <f>RIGHT(INDEX($D$9:$D$47,MATCH('EEPROM-Contents'!AC24,$B$9:$B$47,0)),2)</f>
        <v>00</v>
      </c>
      <c r="AB30" s="84" t="str">
        <f>RIGHT(INDEX($D$9:$D$47,MATCH('EEPROM-Contents'!AD24,$B$9:$B$47,0)),2)</f>
        <v>27</v>
      </c>
      <c r="AC30" s="84" t="str">
        <f>RIGHT(INDEX($D$9:$D$47,MATCH('EEPROM-Contents'!AE24,$B$9:$B$47,0)),2)</f>
        <v>0F</v>
      </c>
      <c r="AD30" s="84" t="str">
        <f>RIGHT(INDEX($D$9:$D$47,MATCH('EEPROM-Contents'!AF24,$B$9:$B$47,0)),2)</f>
        <v>00</v>
      </c>
      <c r="AF30" s="81" t="str">
        <f t="shared" ca="1" si="3"/>
        <v>1200CD7C0A0000000000FF6464230A8907010303F50000270F0000</v>
      </c>
    </row>
    <row r="31" spans="2:32" x14ac:dyDescent="0.3">
      <c r="B31" s="85">
        <f>'EEPROM-Contents'!B104</f>
        <v>100</v>
      </c>
      <c r="C31" s="75">
        <f t="shared" si="4"/>
        <v>245</v>
      </c>
      <c r="D31" s="75" t="str">
        <f>LEFT(RIGHT($B$5,2),2)</f>
        <v>F5</v>
      </c>
      <c r="E31" s="66" t="str">
        <f>'EEPROM-Contents'!L104</f>
        <v>Device Type</v>
      </c>
      <c r="F31" s="67"/>
      <c r="G31" s="68"/>
      <c r="N31" s="78" t="s">
        <v>363</v>
      </c>
      <c r="O31" s="84" t="str">
        <f>RIGHT(INDEX($D$9:$D$47,MATCH('EEPROM-Contents'!Q25,$B$9:$B$47,0)),2)</f>
        <v>00</v>
      </c>
      <c r="P31" s="84" t="str">
        <f>RIGHT(INDEX($D$9:$D$47,MATCH('EEPROM-Contents'!R25,$B$9:$B$47,0)),2)</f>
        <v>00</v>
      </c>
      <c r="Q31" s="84" t="str">
        <f>RIGHT(INDEX($D$9:$D$47,MATCH('EEPROM-Contents'!S25,$B$9:$B$47,0)),2)</f>
        <v>00</v>
      </c>
      <c r="R31" s="84" t="str">
        <f>RIGHT(INDEX($D$9:$D$47,MATCH('EEPROM-Contents'!T25,$B$9:$B$47,0)),2)</f>
        <v>00</v>
      </c>
      <c r="S31" s="84" t="str">
        <f>RIGHT(INDEX($D$9:$D$47,MATCH('EEPROM-Contents'!U25,$B$9:$B$47,0)),2)</f>
        <v>00</v>
      </c>
      <c r="T31" s="84" t="str">
        <f>RIGHT(INDEX($D$9:$D$47,MATCH('EEPROM-Contents'!V25,$B$9:$B$47,0)),2)</f>
        <v>00</v>
      </c>
      <c r="U31" s="84" t="str">
        <f>RIGHT(INDEX($D$9:$D$47,MATCH('EEPROM-Contents'!W25,$B$9:$B$47,0)),2)</f>
        <v>00</v>
      </c>
      <c r="V31" s="84" t="str">
        <f>RIGHT(INDEX($D$9:$D$47,MATCH('EEPROM-Contents'!X25,$B$9:$B$47,0)),2)</f>
        <v>FF</v>
      </c>
      <c r="W31" s="84" t="str">
        <f>RIGHT(INDEX($D$9:$D$47,MATCH('EEPROM-Contents'!Y25,$B$9:$B$47,0)),2)</f>
        <v>64</v>
      </c>
      <c r="X31" s="84" t="str">
        <f>RIGHT(INDEX($D$9:$D$47,MATCH('EEPROM-Contents'!Z25,$B$9:$B$47,0)),2)</f>
        <v>64</v>
      </c>
      <c r="Y31" s="84" t="str">
        <f ca="1">RIGHT(INDEX($D$9:$D$47,MATCH('EEPROM-Contents'!AA25,$B$9:$B$47,0)),2)</f>
        <v>23</v>
      </c>
      <c r="Z31" s="79" t="str">
        <f>RIGHT(INDEX('EEPROM-Contents'!$K$4:'EEPROM-Contents'!$K$141,MATCH('EEPROM-Contents'!AB25,'EEPROM-Contents'!$I$4:'EEPROM-Contents'!$I$141,0)),2)</f>
        <v>0B</v>
      </c>
      <c r="AA31" s="84" t="str">
        <f>RIGHT(INDEX($D$9:$D$47,MATCH('EEPROM-Contents'!AC25,$B$9:$B$47,0)),2)</f>
        <v>89</v>
      </c>
      <c r="AB31" s="84" t="str">
        <f ca="1">RIGHT(INDEX($D$9:$D$47,MATCH('EEPROM-Contents'!AD25,$B$9:$B$47,0)),2)</f>
        <v>07</v>
      </c>
      <c r="AC31" s="84" t="str">
        <f ca="1">RIGHT(INDEX($D$9:$D$47,MATCH('EEPROM-Contents'!AE25,$B$9:$B$47,0)),2)</f>
        <v>01</v>
      </c>
      <c r="AD31" s="84" t="str">
        <f ca="1">RIGHT(INDEX($D$9:$D$47,MATCH('EEPROM-Contents'!AF25,$B$9:$B$47,0)),2)</f>
        <v>03</v>
      </c>
      <c r="AF31" s="81" t="str">
        <f t="shared" ca="1" si="3"/>
        <v>1200CD7C0A000000000000000000000000FF6464230B8907010300</v>
      </c>
    </row>
    <row r="32" spans="2:32" x14ac:dyDescent="0.3">
      <c r="B32" s="85">
        <f>'EEPROM-Contents'!B105</f>
        <v>101</v>
      </c>
      <c r="C32" s="75">
        <f t="shared" si="4"/>
        <v>0</v>
      </c>
      <c r="D32" s="75" t="str">
        <f>LEFT(RIGHT($D$5,8),2)</f>
        <v>00</v>
      </c>
      <c r="E32" s="66" t="str">
        <f>'EEPROM-Contents'!L105</f>
        <v>Manufacturer / Lot ID</v>
      </c>
      <c r="F32" s="67"/>
      <c r="G32" s="68"/>
      <c r="N32" s="78" t="s">
        <v>364</v>
      </c>
      <c r="O32" s="84" t="str">
        <f>RIGHT(INDEX($D$9:$D$47,MATCH('EEPROM-Contents'!Q26,$B$9:$B$47,0)),2)</f>
        <v>03</v>
      </c>
      <c r="P32" s="84" t="str">
        <f>RIGHT(INDEX($D$9:$D$47,MATCH('EEPROM-Contents'!R26,$B$9:$B$47,0)),2)</f>
        <v>F5</v>
      </c>
      <c r="Q32" s="84" t="str">
        <f>RIGHT(INDEX($D$9:$D$47,MATCH('EEPROM-Contents'!S26,$B$9:$B$47,0)),2)</f>
        <v>00</v>
      </c>
      <c r="R32" s="84" t="str">
        <f>RIGHT(INDEX($D$9:$D$47,MATCH('EEPROM-Contents'!T26,$B$9:$B$47,0)),2)</f>
        <v>00</v>
      </c>
      <c r="S32" s="84" t="str">
        <f>RIGHT(INDEX($D$9:$D$47,MATCH('EEPROM-Contents'!U26,$B$9:$B$47,0)),2)</f>
        <v>27</v>
      </c>
      <c r="T32" s="84" t="str">
        <f>RIGHT(INDEX($D$9:$D$47,MATCH('EEPROM-Contents'!V26,$B$9:$B$47,0)),2)</f>
        <v>0F</v>
      </c>
      <c r="U32" s="84" t="str">
        <f>RIGHT(INDEX($D$9:$D$47,MATCH('EEPROM-Contents'!W26,$B$9:$B$47,0)),2)</f>
        <v>00</v>
      </c>
      <c r="V32" s="84" t="str">
        <f>RIGHT(INDEX($D$9:$D$47,MATCH('EEPROM-Contents'!X26,$B$9:$B$47,0)),2)</f>
        <v>00</v>
      </c>
      <c r="W32" s="84" t="str">
        <f>RIGHT(INDEX($D$9:$D$47,MATCH('EEPROM-Contents'!Y26,$B$9:$B$47,0)),2)</f>
        <v>00</v>
      </c>
      <c r="X32" s="84" t="str">
        <f>RIGHT(INDEX($D$9:$D$47,MATCH('EEPROM-Contents'!Z26,$B$9:$B$47,0)),2)</f>
        <v>00</v>
      </c>
      <c r="Y32" s="84" t="str">
        <f>RIGHT(INDEX($D$9:$D$47,MATCH('EEPROM-Contents'!AA26,$B$9:$B$47,0)),2)</f>
        <v>00</v>
      </c>
      <c r="Z32" s="84" t="str">
        <f>RIGHT(INDEX($D$9:$D$47,MATCH('EEPROM-Contents'!AB26,$B$9:$B$47,0)),2)</f>
        <v>00</v>
      </c>
      <c r="AA32" s="84" t="str">
        <f>RIGHT(INDEX($D$9:$D$47,MATCH('EEPROM-Contents'!AC26,$B$9:$B$47,0)),2)</f>
        <v>00</v>
      </c>
      <c r="AB32" s="84" t="str">
        <f>RIGHT(INDEX($D$9:$D$47,MATCH('EEPROM-Contents'!AD26,$B$9:$B$47,0)),2)</f>
        <v>00</v>
      </c>
      <c r="AC32" s="84" t="str">
        <f>RIGHT(INDEX($D$9:$D$47,MATCH('EEPROM-Contents'!AE26,$B$9:$B$47,0)),2)</f>
        <v>FF</v>
      </c>
      <c r="AD32" s="84" t="str">
        <f>RIGHT(INDEX($D$9:$D$47,MATCH('EEPROM-Contents'!AF26,$B$9:$B$47,0)),2)</f>
        <v>64</v>
      </c>
      <c r="AF32" s="81" t="str">
        <f t="shared" si="3"/>
        <v>1200CD7C0A000000000003F50000270F0000000000000000FF6400</v>
      </c>
    </row>
    <row r="33" spans="2:32" x14ac:dyDescent="0.3">
      <c r="B33" s="85">
        <f>'EEPROM-Contents'!B106</f>
        <v>102</v>
      </c>
      <c r="C33" s="75">
        <f t="shared" si="4"/>
        <v>0</v>
      </c>
      <c r="D33" s="75" t="str">
        <f>LEFT(RIGHT($D$5,6),2)</f>
        <v>00</v>
      </c>
      <c r="E33" s="66" t="str">
        <f>'EEPROM-Contents'!L106</f>
        <v>Manufacturer / Lot ID</v>
      </c>
      <c r="F33" s="67"/>
      <c r="G33" s="68"/>
      <c r="N33" s="78" t="s">
        <v>365</v>
      </c>
      <c r="O33" s="84" t="str">
        <f>RIGHT(INDEX($D$9:$D$47,MATCH('EEPROM-Contents'!Q27,$B$9:$B$47,0)),2)</f>
        <v>64</v>
      </c>
      <c r="P33" s="84" t="str">
        <f ca="1">RIGHT(INDEX($D$9:$D$47,MATCH('EEPROM-Contents'!R27,$B$9:$B$47,0)),2)</f>
        <v>23</v>
      </c>
      <c r="Q33" s="79" t="str">
        <f>RIGHT(INDEX('EEPROM-Contents'!$K$4:'EEPROM-Contents'!$K$141,MATCH('EEPROM-Contents'!S27,'EEPROM-Contents'!$I$4:'EEPROM-Contents'!$I$141,0)),2)</f>
        <v>0C</v>
      </c>
      <c r="R33" s="84" t="str">
        <f>RIGHT(INDEX($D$9:$D$47,MATCH('EEPROM-Contents'!T27,$B$9:$B$47,0)),2)</f>
        <v>89</v>
      </c>
      <c r="S33" s="84" t="str">
        <f ca="1">RIGHT(INDEX($D$9:$D$47,MATCH('EEPROM-Contents'!U27,$B$9:$B$47,0)),2)</f>
        <v>07</v>
      </c>
      <c r="T33" s="84" t="str">
        <f ca="1">RIGHT(INDEX($D$9:$D$47,MATCH('EEPROM-Contents'!V27,$B$9:$B$47,0)),2)</f>
        <v>01</v>
      </c>
      <c r="U33" s="84" t="str">
        <f ca="1">RIGHT(INDEX($D$9:$D$47,MATCH('EEPROM-Contents'!W27,$B$9:$B$47,0)),2)</f>
        <v>03</v>
      </c>
      <c r="V33" s="84" t="str">
        <f>RIGHT(INDEX($D$9:$D$47,MATCH('EEPROM-Contents'!X27,$B$9:$B$47,0)),2)</f>
        <v>03</v>
      </c>
      <c r="W33" s="84" t="str">
        <f>RIGHT(INDEX($D$9:$D$47,MATCH('EEPROM-Contents'!Y27,$B$9:$B$47,0)),2)</f>
        <v>F5</v>
      </c>
      <c r="X33" s="84" t="str">
        <f>RIGHT(INDEX($D$9:$D$47,MATCH('EEPROM-Contents'!Z27,$B$9:$B$47,0)),2)</f>
        <v>00</v>
      </c>
      <c r="Y33" s="84" t="str">
        <f>RIGHT(INDEX($D$9:$D$47,MATCH('EEPROM-Contents'!AA27,$B$9:$B$47,0)),2)</f>
        <v>00</v>
      </c>
      <c r="Z33" s="84" t="str">
        <f>RIGHT(INDEX($D$9:$D$47,MATCH('EEPROM-Contents'!AB27,$B$9:$B$47,0)),2)</f>
        <v>27</v>
      </c>
      <c r="AA33" s="84" t="str">
        <f>RIGHT(INDEX($D$9:$D$47,MATCH('EEPROM-Contents'!AC27,$B$9:$B$47,0)),2)</f>
        <v>0F</v>
      </c>
      <c r="AB33" s="84" t="str">
        <f>RIGHT(INDEX($D$9:$D$47,MATCH('EEPROM-Contents'!AD27,$B$9:$B$47,0)),2)</f>
        <v>00</v>
      </c>
      <c r="AC33" s="84" t="str">
        <f>RIGHT(INDEX($D$9:$D$47,MATCH('EEPROM-Contents'!AE27,$B$9:$B$47,0)),2)</f>
        <v>00</v>
      </c>
      <c r="AD33" s="84" t="str">
        <f>RIGHT(INDEX($D$9:$D$47,MATCH('EEPROM-Contents'!AF27,$B$9:$B$47,0)),2)</f>
        <v>00</v>
      </c>
      <c r="AF33" s="81" t="str">
        <f t="shared" ca="1" si="3"/>
        <v>1200CD7C0A000000000064230C8907010303F50000270F00000000</v>
      </c>
    </row>
    <row r="34" spans="2:32" x14ac:dyDescent="0.3">
      <c r="B34" s="85">
        <f>'EEPROM-Contents'!B107</f>
        <v>103</v>
      </c>
      <c r="C34" s="75">
        <f t="shared" si="4"/>
        <v>39</v>
      </c>
      <c r="D34" s="75" t="str">
        <f>LEFT(RIGHT($D$5,4),2)</f>
        <v>27</v>
      </c>
      <c r="E34" s="66" t="str">
        <f>'EEPROM-Contents'!L107</f>
        <v>Manufacturer / Lot ID</v>
      </c>
      <c r="F34" s="67"/>
      <c r="G34" s="68"/>
      <c r="N34" s="78" t="s">
        <v>366</v>
      </c>
      <c r="O34" s="84" t="str">
        <f>RIGHT(INDEX($D$9:$D$47,MATCH('EEPROM-Contents'!Q28,$B$9:$B$47,0)),2)</f>
        <v>00</v>
      </c>
      <c r="P34" s="84" t="str">
        <f>RIGHT(INDEX($D$9:$D$47,MATCH('EEPROM-Contents'!R28,$B$9:$B$47,0)),2)</f>
        <v>00</v>
      </c>
      <c r="Q34" s="84" t="str">
        <f>RIGHT(INDEX($D$9:$D$47,MATCH('EEPROM-Contents'!S28,$B$9:$B$47,0)),2)</f>
        <v>00</v>
      </c>
      <c r="R34" s="84" t="str">
        <f>RIGHT(INDEX($D$9:$D$47,MATCH('EEPROM-Contents'!T28,$B$9:$B$47,0)),2)</f>
        <v>00</v>
      </c>
      <c r="S34" s="84" t="str">
        <f>RIGHT(INDEX($D$9:$D$47,MATCH('EEPROM-Contents'!U28,$B$9:$B$47,0)),2)</f>
        <v>00</v>
      </c>
      <c r="T34" s="84" t="str">
        <f>RIGHT(INDEX($D$9:$D$47,MATCH('EEPROM-Contents'!V28,$B$9:$B$47,0)),2)</f>
        <v>FF</v>
      </c>
      <c r="U34" s="84" t="str">
        <f>RIGHT(INDEX($D$9:$D$47,MATCH('EEPROM-Contents'!W28,$B$9:$B$47,0)),2)</f>
        <v>64</v>
      </c>
      <c r="V34" s="84" t="str">
        <f>RIGHT(INDEX($D$9:$D$47,MATCH('EEPROM-Contents'!X28,$B$9:$B$47,0)),2)</f>
        <v>64</v>
      </c>
      <c r="W34" s="84" t="str">
        <f ca="1">RIGHT(INDEX($D$9:$D$47,MATCH('EEPROM-Contents'!Y28,$B$9:$B$47,0)),2)</f>
        <v>23</v>
      </c>
      <c r="X34" s="79" t="str">
        <f>RIGHT(INDEX('EEPROM-Contents'!$K$4:'EEPROM-Contents'!$K$141,MATCH('EEPROM-Contents'!Z28,'EEPROM-Contents'!$I$4:'EEPROM-Contents'!$I$141,0)),2)</f>
        <v>0D</v>
      </c>
      <c r="Y34" s="84" t="str">
        <f>RIGHT(INDEX($D$9:$D$47,MATCH('EEPROM-Contents'!AA28,$B$9:$B$47,0)),2)</f>
        <v>89</v>
      </c>
      <c r="Z34" s="84" t="str">
        <f ca="1">RIGHT(INDEX($D$9:$D$47,MATCH('EEPROM-Contents'!AB28,$B$9:$B$47,0)),2)</f>
        <v>07</v>
      </c>
      <c r="AA34" s="84" t="str">
        <f ca="1">RIGHT(INDEX($D$9:$D$47,MATCH('EEPROM-Contents'!AC28,$B$9:$B$47,0)),2)</f>
        <v>01</v>
      </c>
      <c r="AB34" s="84" t="str">
        <f ca="1">RIGHT(INDEX($D$9:$D$47,MATCH('EEPROM-Contents'!AD28,$B$9:$B$47,0)),2)</f>
        <v>03</v>
      </c>
      <c r="AC34" s="84" t="str">
        <f>RIGHT(INDEX($D$9:$D$47,MATCH('EEPROM-Contents'!AE28,$B$9:$B$47,0)),2)</f>
        <v>03</v>
      </c>
      <c r="AD34" s="84" t="str">
        <f>RIGHT(INDEX($D$9:$D$47,MATCH('EEPROM-Contents'!AF28,$B$9:$B$47,0)),2)</f>
        <v>F5</v>
      </c>
      <c r="AF34" s="81" t="str">
        <f t="shared" ca="1" si="3"/>
        <v>1200CD7C0A00000000000000000000FF6464230D8907010303F500</v>
      </c>
    </row>
    <row r="35" spans="2:32" x14ac:dyDescent="0.3">
      <c r="B35" s="85">
        <f>'EEPROM-Contents'!B108</f>
        <v>104</v>
      </c>
      <c r="C35" s="75">
        <f t="shared" si="4"/>
        <v>15</v>
      </c>
      <c r="D35" s="75" t="str">
        <f>LEFT(RIGHT($D$5,2),2)</f>
        <v>0F</v>
      </c>
      <c r="E35" s="66" t="str">
        <f>'EEPROM-Contents'!L108</f>
        <v>Manufacturer / Lot ID</v>
      </c>
      <c r="F35" s="67"/>
      <c r="G35" s="68"/>
      <c r="N35" s="78" t="s">
        <v>367</v>
      </c>
      <c r="O35" s="84" t="str">
        <f>RIGHT(INDEX($D$9:$D$47,MATCH('EEPROM-Contents'!Q29,$B$9:$B$47,0)),2)</f>
        <v>00</v>
      </c>
      <c r="P35" s="84" t="str">
        <f>RIGHT(INDEX($D$9:$D$47,MATCH('EEPROM-Contents'!R29,$B$9:$B$47,0)),2)</f>
        <v>00</v>
      </c>
      <c r="Q35" s="84" t="str">
        <f>RIGHT(INDEX($D$9:$D$47,MATCH('EEPROM-Contents'!S29,$B$9:$B$47,0)),2)</f>
        <v>27</v>
      </c>
      <c r="R35" s="84" t="str">
        <f>RIGHT(INDEX($D$9:$D$47,MATCH('EEPROM-Contents'!T29,$B$9:$B$47,0)),2)</f>
        <v>0F</v>
      </c>
      <c r="S35" s="84" t="str">
        <f>RIGHT(INDEX($D$9:$D$47,MATCH('EEPROM-Contents'!U29,$B$9:$B$47,0)),2)</f>
        <v>00</v>
      </c>
      <c r="T35" s="84" t="str">
        <f>RIGHT(INDEX($D$9:$D$47,MATCH('EEPROM-Contents'!V29,$B$9:$B$47,0)),2)</f>
        <v>00</v>
      </c>
      <c r="U35" s="84" t="str">
        <f>RIGHT(INDEX($D$9:$D$47,MATCH('EEPROM-Contents'!W29,$B$9:$B$47,0)),2)</f>
        <v>00</v>
      </c>
      <c r="V35" s="84" t="str">
        <f>RIGHT(INDEX($D$9:$D$47,MATCH('EEPROM-Contents'!X29,$B$9:$B$47,0)),2)</f>
        <v>00</v>
      </c>
      <c r="W35" s="84" t="str">
        <f>RIGHT(INDEX($D$9:$D$47,MATCH('EEPROM-Contents'!Y29,$B$9:$B$47,0)),2)</f>
        <v>00</v>
      </c>
      <c r="X35" s="84" t="str">
        <f>RIGHT(INDEX($D$9:$D$47,MATCH('EEPROM-Contents'!Z29,$B$9:$B$47,0)),2)</f>
        <v>00</v>
      </c>
      <c r="Y35" s="84" t="str">
        <f>RIGHT(INDEX($D$9:$D$47,MATCH('EEPROM-Contents'!AA29,$B$9:$B$47,0)),2)</f>
        <v>00</v>
      </c>
      <c r="Z35" s="84" t="str">
        <f>RIGHT(INDEX($D$9:$D$47,MATCH('EEPROM-Contents'!AB29,$B$9:$B$47,0)),2)</f>
        <v>00</v>
      </c>
      <c r="AA35" s="84" t="str">
        <f>RIGHT(INDEX($D$9:$D$47,MATCH('EEPROM-Contents'!AC29,$B$9:$B$47,0)),2)</f>
        <v>FF</v>
      </c>
      <c r="AB35" s="84" t="str">
        <f>RIGHT(INDEX($D$9:$D$47,MATCH('EEPROM-Contents'!AD29,$B$9:$B$47,0)),2)</f>
        <v>64</v>
      </c>
      <c r="AC35" s="84" t="str">
        <f>RIGHT(INDEX($D$9:$D$47,MATCH('EEPROM-Contents'!AE29,$B$9:$B$47,0)),2)</f>
        <v>64</v>
      </c>
      <c r="AD35" s="84" t="str">
        <f ca="1">RIGHT(INDEX($D$9:$D$47,MATCH('EEPROM-Contents'!AF29,$B$9:$B$47,0)),2)</f>
        <v>23</v>
      </c>
      <c r="AF35" s="81" t="str">
        <f t="shared" ca="1" si="3"/>
        <v>1200CD7C0A00000000000000270F0000000000000000FF64642300</v>
      </c>
    </row>
    <row r="36" spans="2:32" x14ac:dyDescent="0.3">
      <c r="B36" s="85">
        <f>'EEPROM-Contents'!B109</f>
        <v>105</v>
      </c>
      <c r="C36" s="75">
        <f t="shared" si="4"/>
        <v>0</v>
      </c>
      <c r="D36" s="76" t="str">
        <f>$I$5</f>
        <v>00</v>
      </c>
      <c r="E36" s="66" t="str">
        <f>'EEPROM-Contents'!L109</f>
        <v>Accelerometer Cal</v>
      </c>
      <c r="F36" s="67"/>
      <c r="G36" s="68"/>
      <c r="N36" s="78" t="s">
        <v>368</v>
      </c>
      <c r="O36" s="79" t="str">
        <f>RIGHT(INDEX('EEPROM-Contents'!$K$4:'EEPROM-Contents'!$K$141,MATCH('EEPROM-Contents'!Q30,'EEPROM-Contents'!$I$4:'EEPROM-Contents'!$I$141,0)),2)</f>
        <v>0E</v>
      </c>
      <c r="P36" s="84" t="str">
        <f>RIGHT(INDEX($D$9:$D$47,MATCH('EEPROM-Contents'!R30,$B$9:$B$47,0)),2)</f>
        <v>89</v>
      </c>
      <c r="Q36" s="84" t="str">
        <f ca="1">RIGHT(INDEX($D$9:$D$47,MATCH('EEPROM-Contents'!S30,$B$9:$B$47,0)),2)</f>
        <v>07</v>
      </c>
      <c r="R36" s="84" t="str">
        <f ca="1">RIGHT(INDEX($D$9:$D$47,MATCH('EEPROM-Contents'!T30,$B$9:$B$47,0)),2)</f>
        <v>01</v>
      </c>
      <c r="S36" s="84" t="str">
        <f ca="1">RIGHT(INDEX($D$9:$D$47,MATCH('EEPROM-Contents'!U30,$B$9:$B$47,0)),2)</f>
        <v>03</v>
      </c>
      <c r="T36" s="84" t="str">
        <f>RIGHT(INDEX($D$9:$D$47,MATCH('EEPROM-Contents'!V30,$B$9:$B$47,0)),2)</f>
        <v>03</v>
      </c>
      <c r="U36" s="84" t="str">
        <f>RIGHT(INDEX($D$9:$D$47,MATCH('EEPROM-Contents'!W30,$B$9:$B$47,0)),2)</f>
        <v>F5</v>
      </c>
      <c r="V36" s="84" t="str">
        <f>RIGHT(INDEX($D$9:$D$47,MATCH('EEPROM-Contents'!X30,$B$9:$B$47,0)),2)</f>
        <v>00</v>
      </c>
      <c r="W36" s="84" t="str">
        <f>RIGHT(INDEX($D$9:$D$47,MATCH('EEPROM-Contents'!Y30,$B$9:$B$47,0)),2)</f>
        <v>00</v>
      </c>
      <c r="X36" s="84" t="str">
        <f>RIGHT(INDEX($D$9:$D$47,MATCH('EEPROM-Contents'!Z30,$B$9:$B$47,0)),2)</f>
        <v>27</v>
      </c>
      <c r="Y36" s="84" t="str">
        <f>RIGHT(INDEX($D$9:$D$47,MATCH('EEPROM-Contents'!AA30,$B$9:$B$47,0)),2)</f>
        <v>0F</v>
      </c>
      <c r="Z36" s="84" t="str">
        <f>RIGHT(INDEX($D$9:$D$47,MATCH('EEPROM-Contents'!AB30,$B$9:$B$47,0)),2)</f>
        <v>00</v>
      </c>
      <c r="AA36" s="84" t="str">
        <f>RIGHT(INDEX($D$9:$D$47,MATCH('EEPROM-Contents'!AC30,$B$9:$B$47,0)),2)</f>
        <v>00</v>
      </c>
      <c r="AB36" s="84" t="str">
        <f>RIGHT(INDEX($D$9:$D$47,MATCH('EEPROM-Contents'!AD30,$B$9:$B$47,0)),2)</f>
        <v>00</v>
      </c>
      <c r="AC36" s="84" t="str">
        <f>RIGHT(INDEX($D$9:$D$47,MATCH('EEPROM-Contents'!AE30,$B$9:$B$47,0)),2)</f>
        <v>00</v>
      </c>
      <c r="AD36" s="84" t="str">
        <f>RIGHT(INDEX($D$9:$D$47,MATCH('EEPROM-Contents'!AF30,$B$9:$B$47,0)),2)</f>
        <v>00</v>
      </c>
      <c r="AF36" s="81" t="str">
        <f t="shared" ca="1" si="3"/>
        <v>1200CD7C0A00000000000E8907010303F50000270F000000000000</v>
      </c>
    </row>
    <row r="37" spans="2:32" x14ac:dyDescent="0.3">
      <c r="B37" s="85">
        <f>'EEPROM-Contents'!B110</f>
        <v>106</v>
      </c>
      <c r="C37" s="75">
        <f t="shared" si="4"/>
        <v>0</v>
      </c>
      <c r="D37" s="76" t="str">
        <f t="shared" ref="D37:D43" si="5">$I$5</f>
        <v>00</v>
      </c>
      <c r="E37" s="66" t="str">
        <f>'EEPROM-Contents'!L110</f>
        <v>Accelerometer Cal</v>
      </c>
      <c r="F37" s="67"/>
      <c r="G37" s="68"/>
      <c r="N37" s="78" t="s">
        <v>369</v>
      </c>
      <c r="O37" s="84" t="str">
        <f>RIGHT(INDEX($D$9:$D$47,MATCH('EEPROM-Contents'!Q31,$B$9:$B$47,0)),2)</f>
        <v>00</v>
      </c>
      <c r="P37" s="84" t="str">
        <f>RIGHT(INDEX($D$9:$D$47,MATCH('EEPROM-Contents'!R31,$B$9:$B$47,0)),2)</f>
        <v>00</v>
      </c>
      <c r="Q37" s="84" t="str">
        <f>RIGHT(INDEX($D$9:$D$47,MATCH('EEPROM-Contents'!S31,$B$9:$B$47,0)),2)</f>
        <v>00</v>
      </c>
      <c r="R37" s="84" t="str">
        <f>RIGHT(INDEX($D$9:$D$47,MATCH('EEPROM-Contents'!T31,$B$9:$B$47,0)),2)</f>
        <v>FF</v>
      </c>
      <c r="S37" s="84" t="str">
        <f>RIGHT(INDEX($D$9:$D$47,MATCH('EEPROM-Contents'!U31,$B$9:$B$47,0)),2)</f>
        <v>64</v>
      </c>
      <c r="T37" s="84" t="str">
        <f>RIGHT(INDEX($D$9:$D$47,MATCH('EEPROM-Contents'!V31,$B$9:$B$47,0)),2)</f>
        <v>64</v>
      </c>
      <c r="U37" s="84" t="str">
        <f ca="1">RIGHT(INDEX($D$9:$D$47,MATCH('EEPROM-Contents'!W31,$B$9:$B$47,0)),2)</f>
        <v>23</v>
      </c>
      <c r="V37" s="79" t="str">
        <f>RIGHT(INDEX('EEPROM-Contents'!$K$4:'EEPROM-Contents'!$K$141,MATCH('EEPROM-Contents'!X31,'EEPROM-Contents'!$I$4:'EEPROM-Contents'!$I$141,0)),2)</f>
        <v>0F</v>
      </c>
      <c r="W37" s="84" t="str">
        <f>RIGHT(INDEX($D$9:$D$47,MATCH('EEPROM-Contents'!Y31,$B$9:$B$47,0)),2)</f>
        <v>89</v>
      </c>
      <c r="X37" s="84" t="str">
        <f ca="1">RIGHT(INDEX($D$9:$D$47,MATCH('EEPROM-Contents'!Z31,$B$9:$B$47,0)),2)</f>
        <v>07</v>
      </c>
      <c r="Y37" s="84" t="str">
        <f ca="1">RIGHT(INDEX($D$9:$D$47,MATCH('EEPROM-Contents'!AA31,$B$9:$B$47,0)),2)</f>
        <v>01</v>
      </c>
      <c r="Z37" s="84" t="str">
        <f ca="1">RIGHT(INDEX($D$9:$D$47,MATCH('EEPROM-Contents'!AB31,$B$9:$B$47,0)),2)</f>
        <v>03</v>
      </c>
      <c r="AA37" s="84" t="str">
        <f>RIGHT(INDEX($D$9:$D$47,MATCH('EEPROM-Contents'!AC31,$B$9:$B$47,0)),2)</f>
        <v>03</v>
      </c>
      <c r="AB37" s="84" t="str">
        <f>RIGHT(INDEX($D$9:$D$47,MATCH('EEPROM-Contents'!AD31,$B$9:$B$47,0)),2)</f>
        <v>F5</v>
      </c>
      <c r="AC37" s="84" t="str">
        <f>RIGHT(INDEX($D$9:$D$47,MATCH('EEPROM-Contents'!AE31,$B$9:$B$47,0)),2)</f>
        <v>00</v>
      </c>
      <c r="AD37" s="84" t="str">
        <f>RIGHT(INDEX($D$9:$D$47,MATCH('EEPROM-Contents'!AF31,$B$9:$B$47,0)),2)</f>
        <v>00</v>
      </c>
      <c r="AF37" s="81" t="str">
        <f t="shared" ca="1" si="3"/>
        <v>1200CD7C0A0000000000000000FF6464230F8907010303F5000000</v>
      </c>
    </row>
    <row r="38" spans="2:32" x14ac:dyDescent="0.3">
      <c r="B38" s="85">
        <f>'EEPROM-Contents'!B111</f>
        <v>107</v>
      </c>
      <c r="C38" s="75">
        <f t="shared" si="4"/>
        <v>0</v>
      </c>
      <c r="D38" s="76" t="str">
        <f t="shared" si="5"/>
        <v>00</v>
      </c>
      <c r="E38" s="66" t="str">
        <f>'EEPROM-Contents'!L111</f>
        <v>Accelerometer Cal</v>
      </c>
      <c r="F38" s="67"/>
      <c r="G38" s="68"/>
      <c r="N38" s="78" t="s">
        <v>370</v>
      </c>
      <c r="O38" s="84" t="str">
        <f>RIGHT(INDEX($D$9:$D$47,MATCH('EEPROM-Contents'!Q32,$B$9:$B$47,0)),2)</f>
        <v>27</v>
      </c>
      <c r="P38" s="84" t="str">
        <f>RIGHT(INDEX($D$9:$D$47,MATCH('EEPROM-Contents'!R32,$B$9:$B$47,0)),2)</f>
        <v>0F</v>
      </c>
      <c r="Q38" s="84" t="str">
        <f>RIGHT(INDEX($D$9:$D$47,MATCH('EEPROM-Contents'!S32,$B$9:$B$47,0)),2)</f>
        <v>00</v>
      </c>
      <c r="R38" s="84" t="str">
        <f>RIGHT(INDEX($D$9:$D$47,MATCH('EEPROM-Contents'!T32,$B$9:$B$47,0)),2)</f>
        <v>00</v>
      </c>
      <c r="S38" s="84" t="str">
        <f>RIGHT(INDEX($D$9:$D$47,MATCH('EEPROM-Contents'!U32,$B$9:$B$47,0)),2)</f>
        <v>00</v>
      </c>
      <c r="T38" s="84" t="str">
        <f>RIGHT(INDEX($D$9:$D$47,MATCH('EEPROM-Contents'!V32,$B$9:$B$47,0)),2)</f>
        <v>00</v>
      </c>
      <c r="U38" s="84" t="str">
        <f>RIGHT(INDEX($D$9:$D$47,MATCH('EEPROM-Contents'!W32,$B$9:$B$47,0)),2)</f>
        <v>00</v>
      </c>
      <c r="V38" s="84" t="str">
        <f>RIGHT(INDEX($D$9:$D$47,MATCH('EEPROM-Contents'!X32,$B$9:$B$47,0)),2)</f>
        <v>00</v>
      </c>
      <c r="W38" s="84" t="str">
        <f>RIGHT(INDEX($D$9:$D$47,MATCH('EEPROM-Contents'!Y32,$B$9:$B$47,0)),2)</f>
        <v>00</v>
      </c>
      <c r="X38" s="84" t="str">
        <f>RIGHT(INDEX($D$9:$D$47,MATCH('EEPROM-Contents'!Z32,$B$9:$B$47,0)),2)</f>
        <v>00</v>
      </c>
      <c r="Y38" s="84" t="str">
        <f>RIGHT(INDEX($D$9:$D$47,MATCH('EEPROM-Contents'!AA32,$B$9:$B$47,0)),2)</f>
        <v>FF</v>
      </c>
      <c r="Z38" s="84" t="str">
        <f>RIGHT(INDEX($D$9:$D$47,MATCH('EEPROM-Contents'!AB32,$B$9:$B$47,0)),2)</f>
        <v>64</v>
      </c>
      <c r="AA38" s="84" t="str">
        <f>RIGHT(INDEX($D$9:$D$47,MATCH('EEPROM-Contents'!AC32,$B$9:$B$47,0)),2)</f>
        <v>64</v>
      </c>
      <c r="AB38" s="84" t="str">
        <f ca="1">RIGHT(INDEX($D$9:$D$47,MATCH('EEPROM-Contents'!AD32,$B$9:$B$47,0)),2)</f>
        <v>23</v>
      </c>
      <c r="AC38" s="79" t="str">
        <f>RIGHT(INDEX('EEPROM-Contents'!$K$4:'EEPROM-Contents'!$K$141,MATCH('EEPROM-Contents'!AE32,'EEPROM-Contents'!$I$4:'EEPROM-Contents'!$I$141,0)),2)</f>
        <v>10</v>
      </c>
      <c r="AD38" s="84" t="str">
        <f>RIGHT(INDEX($D$9:$D$47,MATCH('EEPROM-Contents'!AF32,$B$9:$B$47,0)),2)</f>
        <v>89</v>
      </c>
      <c r="AF38" s="81" t="str">
        <f t="shared" ca="1" si="3"/>
        <v>1200CD7C0A0000000000270F0000000000000000FF646423108900</v>
      </c>
    </row>
    <row r="39" spans="2:32" x14ac:dyDescent="0.3">
      <c r="B39" s="85">
        <f>'EEPROM-Contents'!B112</f>
        <v>108</v>
      </c>
      <c r="C39" s="75">
        <f t="shared" si="4"/>
        <v>0</v>
      </c>
      <c r="D39" s="76" t="str">
        <f t="shared" si="5"/>
        <v>00</v>
      </c>
      <c r="E39" s="66" t="str">
        <f>'EEPROM-Contents'!L112</f>
        <v>Accelerometer Cal</v>
      </c>
      <c r="F39" s="67"/>
      <c r="G39" s="68"/>
      <c r="N39" s="78" t="s">
        <v>371</v>
      </c>
      <c r="O39" s="84" t="str">
        <f ca="1">RIGHT(INDEX($D$9:$D$47,MATCH('EEPROM-Contents'!Q33,$B$9:$B$47,0)),2)</f>
        <v>07</v>
      </c>
      <c r="P39" s="84" t="str">
        <f ca="1">RIGHT(INDEX($D$9:$D$47,MATCH('EEPROM-Contents'!R33,$B$9:$B$47,0)),2)</f>
        <v>01</v>
      </c>
      <c r="Q39" s="84" t="str">
        <f ca="1">RIGHT(INDEX($D$9:$D$47,MATCH('EEPROM-Contents'!S33,$B$9:$B$47,0)),2)</f>
        <v>03</v>
      </c>
      <c r="R39" s="84" t="str">
        <f>RIGHT(INDEX($D$9:$D$47,MATCH('EEPROM-Contents'!T33,$B$9:$B$47,0)),2)</f>
        <v>03</v>
      </c>
      <c r="S39" s="84" t="str">
        <f>RIGHT(INDEX($D$9:$D$47,MATCH('EEPROM-Contents'!U33,$B$9:$B$47,0)),2)</f>
        <v>F5</v>
      </c>
      <c r="T39" s="84" t="str">
        <f>RIGHT(INDEX($D$9:$D$47,MATCH('EEPROM-Contents'!V33,$B$9:$B$47,0)),2)</f>
        <v>00</v>
      </c>
      <c r="U39" s="84" t="str">
        <f>RIGHT(INDEX($D$9:$D$47,MATCH('EEPROM-Contents'!W33,$B$9:$B$47,0)),2)</f>
        <v>00</v>
      </c>
      <c r="V39" s="84" t="str">
        <f>RIGHT(INDEX($D$9:$D$47,MATCH('EEPROM-Contents'!X33,$B$9:$B$47,0)),2)</f>
        <v>27</v>
      </c>
      <c r="W39" s="84" t="str">
        <f>RIGHT(INDEX($D$9:$D$47,MATCH('EEPROM-Contents'!Y33,$B$9:$B$47,0)),2)</f>
        <v>0F</v>
      </c>
      <c r="X39" s="84" t="str">
        <f>RIGHT(INDEX($D$9:$D$47,MATCH('EEPROM-Contents'!Z33,$B$9:$B$47,0)),2)</f>
        <v>00</v>
      </c>
      <c r="Y39" s="84" t="str">
        <f>RIGHT(INDEX($D$9:$D$47,MATCH('EEPROM-Contents'!AA33,$B$9:$B$47,0)),2)</f>
        <v>00</v>
      </c>
      <c r="Z39" s="84" t="str">
        <f>RIGHT(INDEX($D$9:$D$47,MATCH('EEPROM-Contents'!AB33,$B$9:$B$47,0)),2)</f>
        <v>00</v>
      </c>
      <c r="AA39" s="84" t="str">
        <f>RIGHT(INDEX($D$9:$D$47,MATCH('EEPROM-Contents'!AC33,$B$9:$B$47,0)),2)</f>
        <v>00</v>
      </c>
      <c r="AB39" s="84" t="str">
        <f>RIGHT(INDEX($D$9:$D$47,MATCH('EEPROM-Contents'!AD33,$B$9:$B$47,0)),2)</f>
        <v>00</v>
      </c>
      <c r="AC39" s="84" t="str">
        <f>RIGHT(INDEX($D$9:$D$47,MATCH('EEPROM-Contents'!AE33,$B$9:$B$47,0)),2)</f>
        <v>00</v>
      </c>
      <c r="AD39" s="84" t="str">
        <f>RIGHT(INDEX($D$9:$D$47,MATCH('EEPROM-Contents'!AF33,$B$9:$B$47,0)),2)</f>
        <v>00</v>
      </c>
      <c r="AF39" s="81" t="str">
        <f t="shared" ca="1" si="3"/>
        <v>1200CD7C0A000000000007010303F50000270F0000000000000000</v>
      </c>
    </row>
    <row r="40" spans="2:32" x14ac:dyDescent="0.3">
      <c r="B40" s="85">
        <f>'EEPROM-Contents'!B113</f>
        <v>109</v>
      </c>
      <c r="C40" s="75">
        <f t="shared" si="4"/>
        <v>0</v>
      </c>
      <c r="D40" s="76" t="str">
        <f t="shared" si="5"/>
        <v>00</v>
      </c>
      <c r="E40" s="66" t="str">
        <f>'EEPROM-Contents'!L113</f>
        <v>Cal Factor for CondyleA 16mm</v>
      </c>
      <c r="F40" s="67"/>
      <c r="G40" s="68"/>
      <c r="N40" s="78" t="s">
        <v>372</v>
      </c>
      <c r="O40" s="84" t="str">
        <f>RIGHT(INDEX($D$9:$D$47,MATCH('EEPROM-Contents'!Q34,$B$9:$B$47,0)),2)</f>
        <v>00</v>
      </c>
      <c r="P40" s="84" t="str">
        <f>RIGHT(INDEX($D$9:$D$47,MATCH('EEPROM-Contents'!R34,$B$9:$B$47,0)),2)</f>
        <v>FF</v>
      </c>
      <c r="Q40" s="84" t="str">
        <f>RIGHT(INDEX($D$9:$D$47,MATCH('EEPROM-Contents'!S34,$B$9:$B$47,0)),2)</f>
        <v>64</v>
      </c>
      <c r="R40" s="84" t="str">
        <f>RIGHT(INDEX($D$9:$D$47,MATCH('EEPROM-Contents'!T34,$B$9:$B$47,0)),2)</f>
        <v>64</v>
      </c>
      <c r="S40" s="84" t="str">
        <f ca="1">RIGHT(INDEX($D$9:$D$47,MATCH('EEPROM-Contents'!U34,$B$9:$B$47,0)),2)</f>
        <v>23</v>
      </c>
      <c r="T40" s="79" t="str">
        <f>RIGHT(INDEX('EEPROM-Contents'!$K$4:'EEPROM-Contents'!$K$141,MATCH('EEPROM-Contents'!V34,'EEPROM-Contents'!$I$4:'EEPROM-Contents'!$I$141,0)),2)</f>
        <v>11</v>
      </c>
      <c r="U40" s="84" t="str">
        <f>RIGHT(INDEX($D$9:$D$47,MATCH('EEPROM-Contents'!W34,$B$9:$B$47,0)),2)</f>
        <v>89</v>
      </c>
      <c r="V40" s="84" t="str">
        <f ca="1">RIGHT(INDEX($D$9:$D$47,MATCH('EEPROM-Contents'!X34,$B$9:$B$47,0)),2)</f>
        <v>07</v>
      </c>
      <c r="W40" s="84" t="str">
        <f ca="1">RIGHT(INDEX($D$9:$D$47,MATCH('EEPROM-Contents'!Y34,$B$9:$B$47,0)),2)</f>
        <v>01</v>
      </c>
      <c r="X40" s="84" t="str">
        <f ca="1">RIGHT(INDEX($D$9:$D$47,MATCH('EEPROM-Contents'!Z34,$B$9:$B$47,0)),2)</f>
        <v>03</v>
      </c>
      <c r="Y40" s="84" t="str">
        <f>RIGHT(INDEX($D$9:$D$47,MATCH('EEPROM-Contents'!AA34,$B$9:$B$47,0)),2)</f>
        <v>03</v>
      </c>
      <c r="Z40" s="84" t="str">
        <f>RIGHT(INDEX($D$9:$D$47,MATCH('EEPROM-Contents'!AB34,$B$9:$B$47,0)),2)</f>
        <v>F5</v>
      </c>
      <c r="AA40" s="84" t="str">
        <f>RIGHT(INDEX($D$9:$D$47,MATCH('EEPROM-Contents'!AC34,$B$9:$B$47,0)),2)</f>
        <v>00</v>
      </c>
      <c r="AB40" s="84" t="str">
        <f>RIGHT(INDEX($D$9:$D$47,MATCH('EEPROM-Contents'!AD34,$B$9:$B$47,0)),2)</f>
        <v>00</v>
      </c>
      <c r="AC40" s="84" t="str">
        <f>RIGHT(INDEX($D$9:$D$47,MATCH('EEPROM-Contents'!AE34,$B$9:$B$47,0)),2)</f>
        <v>27</v>
      </c>
      <c r="AD40" s="84" t="str">
        <f>RIGHT(INDEX($D$9:$D$47,MATCH('EEPROM-Contents'!AF34,$B$9:$B$47,0)),2)</f>
        <v>0F</v>
      </c>
      <c r="AF40" s="81" t="str">
        <f t="shared" ca="1" si="3"/>
        <v>1200CD7C0A000000000000FF646423118907010303F50000270F00</v>
      </c>
    </row>
    <row r="41" spans="2:32" ht="15" thickBot="1" x14ac:dyDescent="0.35">
      <c r="B41" s="85">
        <f>'EEPROM-Contents'!B114</f>
        <v>110</v>
      </c>
      <c r="C41" s="75">
        <f t="shared" si="4"/>
        <v>0</v>
      </c>
      <c r="D41" s="76" t="str">
        <f t="shared" si="5"/>
        <v>00</v>
      </c>
      <c r="E41" s="66" t="str">
        <f>'EEPROM-Contents'!L114</f>
        <v>Cal Factor for CondyleB 16mm</v>
      </c>
      <c r="F41" s="67"/>
      <c r="G41" s="68"/>
      <c r="N41" s="78" t="s">
        <v>373</v>
      </c>
      <c r="O41" s="84" t="str">
        <f>RIGHT(INDEX($D$9:$D$47,MATCH('EEPROM-Contents'!Q35,$B$9:$B$47,0)),2)</f>
        <v>00</v>
      </c>
      <c r="P41" s="84" t="str">
        <f>RIGHT(INDEX($D$9:$D$47,MATCH('EEPROM-Contents'!R35,$B$9:$B$47,0)),2)</f>
        <v>00</v>
      </c>
      <c r="Q41" s="84" t="str">
        <f>RIGHT(INDEX($D$9:$D$47,MATCH('EEPROM-Contents'!S35,$B$9:$B$47,0)),2)</f>
        <v>00</v>
      </c>
      <c r="R41" s="84" t="str">
        <f>RIGHT(INDEX($D$9:$D$47,MATCH('EEPROM-Contents'!T35,$B$9:$B$47,0)),2)</f>
        <v>00</v>
      </c>
      <c r="S41" s="84" t="str">
        <f>RIGHT(INDEX($D$9:$D$47,MATCH('EEPROM-Contents'!U35,$B$9:$B$47,0)),2)</f>
        <v>00</v>
      </c>
      <c r="T41" s="84" t="str">
        <f>RIGHT(INDEX($D$9:$D$47,MATCH('EEPROM-Contents'!V35,$B$9:$B$47,0)),2)</f>
        <v>00</v>
      </c>
      <c r="U41" s="84" t="str">
        <f>RIGHT(INDEX($D$9:$D$47,MATCH('EEPROM-Contents'!W35,$B$9:$B$47,0)),2)</f>
        <v>00</v>
      </c>
      <c r="V41" s="84" t="str">
        <f>RIGHT(INDEX($D$9:$D$47,MATCH('EEPROM-Contents'!X35,$B$9:$B$47,0)),2)</f>
        <v>00</v>
      </c>
      <c r="W41" s="84" t="str">
        <f>RIGHT(INDEX($D$9:$D$47,MATCH('EEPROM-Contents'!Y35,$B$9:$B$47,0)),2)</f>
        <v>FF</v>
      </c>
      <c r="X41" s="84" t="str">
        <f>RIGHT(INDEX($D$9:$D$47,MATCH('EEPROM-Contents'!Z35,$B$9:$B$47,0)),2)</f>
        <v>64</v>
      </c>
      <c r="Y41" s="84" t="str">
        <f>RIGHT(INDEX($D$9:$D$47,MATCH('EEPROM-Contents'!AA35,$B$9:$B$47,0)),2)</f>
        <v>64</v>
      </c>
      <c r="Z41" s="84" t="str">
        <f ca="1">RIGHT(INDEX($D$9:$D$47,MATCH('EEPROM-Contents'!AB35,$B$9:$B$47,0)),2)</f>
        <v>23</v>
      </c>
      <c r="AA41" s="79" t="str">
        <f>RIGHT(INDEX('EEPROM-Contents'!$K$4:'EEPROM-Contents'!$K$141,MATCH('EEPROM-Contents'!AC35,'EEPROM-Contents'!$I$4:'EEPROM-Contents'!$I$141,0)),2)</f>
        <v>12</v>
      </c>
      <c r="AB41" s="79" t="str">
        <f>RIGHT(INDEX('EEPROM-Contents'!$K$4:'EEPROM-Contents'!$K$141,MATCH('EEPROM-Contents'!AD35,'EEPROM-Contents'!$I$4:'EEPROM-Contents'!$I$141,0)),2)</f>
        <v>80</v>
      </c>
      <c r="AC41" s="79" t="str">
        <f>RIGHT(INDEX('EEPROM-Contents'!$K$4:'EEPROM-Contents'!$K$141,MATCH('EEPROM-Contents'!AE35,'EEPROM-Contents'!$I$4:'EEPROM-Contents'!$I$141,0)),2)</f>
        <v>00</v>
      </c>
      <c r="AD41" s="79" t="str">
        <f>RIGHT(INDEX('EEPROM-Contents'!$K$4:'EEPROM-Contents'!$K$141,MATCH('EEPROM-Contents'!AF35,'EEPROM-Contents'!$I$4:'EEPROM-Contents'!$I$141,0)),2)</f>
        <v>00</v>
      </c>
      <c r="AF41" s="82" t="str">
        <f t="shared" ca="1" si="3"/>
        <v>1200CD7C0A00000000000000000000000000FF6464231280000000</v>
      </c>
    </row>
    <row r="42" spans="2:32" x14ac:dyDescent="0.3">
      <c r="B42" s="85">
        <f>'EEPROM-Contents'!B115</f>
        <v>111</v>
      </c>
      <c r="C42" s="75">
        <f t="shared" si="4"/>
        <v>0</v>
      </c>
      <c r="D42" s="76" t="str">
        <f t="shared" si="5"/>
        <v>00</v>
      </c>
      <c r="E42" s="66" t="str">
        <f>'EEPROM-Contents'!L115</f>
        <v>Voltage H Cal 3.1V</v>
      </c>
      <c r="F42" s="67"/>
      <c r="G42" s="68"/>
    </row>
    <row r="43" spans="2:32" x14ac:dyDescent="0.3">
      <c r="B43" s="85">
        <f>'EEPROM-Contents'!B116</f>
        <v>112</v>
      </c>
      <c r="C43" s="75">
        <f t="shared" si="4"/>
        <v>0</v>
      </c>
      <c r="D43" s="76" t="str">
        <f t="shared" si="5"/>
        <v>00</v>
      </c>
      <c r="E43" s="66" t="str">
        <f>'EEPROM-Contents'!L116</f>
        <v>Voltage L Cal 3.1V</v>
      </c>
      <c r="F43" s="67"/>
      <c r="G43" s="68"/>
    </row>
    <row r="44" spans="2:32" x14ac:dyDescent="0.3">
      <c r="B44" s="85">
        <f>'EEPROM-Contents'!B117</f>
        <v>113</v>
      </c>
      <c r="C44" s="75">
        <f>HEX2DEC(D44)</f>
        <v>255</v>
      </c>
      <c r="D44" s="75" t="str">
        <f>F4</f>
        <v>FF</v>
      </c>
      <c r="E44" s="66" t="str">
        <f>'EEPROM-Contents'!L117</f>
        <v>Operating Side</v>
      </c>
      <c r="F44" s="67"/>
      <c r="G44" s="68"/>
    </row>
    <row r="45" spans="2:32" x14ac:dyDescent="0.3">
      <c r="B45" s="85">
        <f>'EEPROM-Contents'!B118</f>
        <v>114</v>
      </c>
      <c r="C45" s="75">
        <f t="shared" si="4"/>
        <v>100</v>
      </c>
      <c r="D45" s="75" t="str">
        <f>J5</f>
        <v>64</v>
      </c>
      <c r="E45" s="66" t="str">
        <f>'EEPROM-Contents'!L118</f>
        <v>Cal Factor for CondyleA 10mm</v>
      </c>
      <c r="F45" s="67"/>
      <c r="G45" s="68"/>
    </row>
    <row r="46" spans="2:32" x14ac:dyDescent="0.3">
      <c r="B46" s="85">
        <f>'EEPROM-Contents'!B119</f>
        <v>115</v>
      </c>
      <c r="C46" s="75">
        <f t="shared" si="4"/>
        <v>100</v>
      </c>
      <c r="D46" s="75" t="str">
        <f>K5</f>
        <v>64</v>
      </c>
      <c r="E46" s="66" t="str">
        <f>'EEPROM-Contents'!L119</f>
        <v>Cal Factor for CondyleB 10mm</v>
      </c>
      <c r="F46" s="67"/>
      <c r="G46" s="68"/>
    </row>
    <row r="47" spans="2:32" x14ac:dyDescent="0.3">
      <c r="B47" s="85">
        <f>'EEPROM-Contents'!B120</f>
        <v>116</v>
      </c>
      <c r="C47" s="75">
        <f ca="1">255-HEX2DEC(RIGHT(DEC2HEX(SUM(C22:C46)),2))</f>
        <v>35</v>
      </c>
      <c r="D47" s="75" t="str">
        <f ca="1">DEC2HEX($C$47,2)</f>
        <v>23</v>
      </c>
      <c r="E47" s="66" t="str">
        <f>'EEPROM-Contents'!L120</f>
        <v>Checksum</v>
      </c>
      <c r="F47" s="67"/>
      <c r="G47" s="68"/>
    </row>
    <row r="49" spans="2:12" x14ac:dyDescent="0.3">
      <c r="B49" s="442" t="s">
        <v>403</v>
      </c>
      <c r="C49" s="443"/>
      <c r="D49" s="443"/>
      <c r="E49" s="443"/>
      <c r="F49" s="443"/>
      <c r="G49" s="443"/>
      <c r="H49" s="443"/>
      <c r="I49" s="443"/>
      <c r="J49" s="444"/>
    </row>
    <row r="50" spans="2:12" x14ac:dyDescent="0.3">
      <c r="B50" s="110" t="s">
        <v>222</v>
      </c>
      <c r="C50" s="110" t="s">
        <v>223</v>
      </c>
      <c r="D50" s="110" t="s">
        <v>224</v>
      </c>
      <c r="E50" s="110" t="s">
        <v>225</v>
      </c>
      <c r="F50" s="110" t="s">
        <v>226</v>
      </c>
      <c r="G50" s="110" t="s">
        <v>227</v>
      </c>
      <c r="H50" s="110" t="s">
        <v>228</v>
      </c>
      <c r="I50" s="110" t="s">
        <v>229</v>
      </c>
      <c r="J50" s="110" t="s">
        <v>230</v>
      </c>
    </row>
    <row r="51" spans="2:12" x14ac:dyDescent="0.3">
      <c r="B51" s="36">
        <v>0</v>
      </c>
      <c r="C51" s="23"/>
      <c r="D51" s="23"/>
      <c r="E51" s="23"/>
      <c r="F51" s="23"/>
      <c r="G51" s="23"/>
      <c r="H51" s="23"/>
      <c r="I51" s="23"/>
      <c r="J51" s="23"/>
    </row>
    <row r="53" spans="2:12" x14ac:dyDescent="0.3">
      <c r="B53" s="439" t="s">
        <v>404</v>
      </c>
      <c r="C53" s="440"/>
      <c r="D53" s="440"/>
      <c r="E53" s="440"/>
      <c r="F53" s="440"/>
      <c r="G53" s="112" t="s">
        <v>409</v>
      </c>
      <c r="H53" s="112">
        <f>'FTS-Initialization'!$AE$27</f>
        <v>15000</v>
      </c>
      <c r="I53" s="112" t="s">
        <v>410</v>
      </c>
      <c r="J53" s="112">
        <f>'FTS-Initialization'!$AE$26</f>
        <v>52000</v>
      </c>
      <c r="L53" s="90" t="s">
        <v>413</v>
      </c>
    </row>
    <row r="54" spans="2:12" x14ac:dyDescent="0.3">
      <c r="B54" s="110" t="s">
        <v>230</v>
      </c>
      <c r="C54" s="110">
        <f>J51</f>
        <v>0</v>
      </c>
      <c r="I54" s="110" t="s">
        <v>406</v>
      </c>
      <c r="J54" s="110" t="b">
        <f>IF(AND(C54&gt;=H53,C54&lt;=J53),TRUE,FALSE)</f>
        <v>0</v>
      </c>
      <c r="L54" s="90">
        <f>IF(J54,0,IF(C54&lt;H53,'FTS-Initialization'!N72,IF(C54&gt;J53,'FTS-Initialization'!N73,0)))</f>
        <v>35</v>
      </c>
    </row>
    <row r="56" spans="2:12" x14ac:dyDescent="0.3">
      <c r="B56" s="439" t="s">
        <v>405</v>
      </c>
      <c r="C56" s="440"/>
      <c r="D56" s="440"/>
      <c r="E56" s="440"/>
      <c r="F56" s="440"/>
      <c r="G56" s="440"/>
      <c r="H56" s="440"/>
      <c r="I56" s="125" t="s">
        <v>206</v>
      </c>
      <c r="J56" s="125">
        <f>'FTS-Initialization'!$AE$28</f>
        <v>64500</v>
      </c>
      <c r="L56" s="90" t="s">
        <v>413</v>
      </c>
    </row>
    <row r="57" spans="2:12" x14ac:dyDescent="0.3">
      <c r="B57" s="124" t="s">
        <v>411</v>
      </c>
      <c r="C57" s="124">
        <f>MAX($C$51:$I$51)</f>
        <v>0</v>
      </c>
      <c r="I57" s="124" t="s">
        <v>406</v>
      </c>
      <c r="J57" s="124" t="b">
        <f>IF($C$57&lt;=$J$56,TRUE,FALSE)</f>
        <v>1</v>
      </c>
      <c r="L57" s="90">
        <f>IF(J57,0,'FTS-Initialization'!$N$75)</f>
        <v>0</v>
      </c>
    </row>
    <row r="60" spans="2:12" x14ac:dyDescent="0.3">
      <c r="B60" s="439"/>
      <c r="C60" s="440"/>
      <c r="D60" s="440"/>
      <c r="E60" s="440"/>
      <c r="F60" s="440"/>
      <c r="G60" s="440"/>
      <c r="H60" s="440"/>
      <c r="I60" s="112"/>
      <c r="J60" s="89"/>
    </row>
    <row r="61" spans="2:12" x14ac:dyDescent="0.3">
      <c r="B61" s="110"/>
      <c r="C61" s="110"/>
      <c r="D61" s="110"/>
      <c r="E61" s="110"/>
      <c r="F61" s="110"/>
      <c r="G61" s="110"/>
      <c r="H61" s="110"/>
      <c r="I61" s="110"/>
      <c r="J61" s="110"/>
      <c r="L61" s="90"/>
    </row>
    <row r="62" spans="2:12" x14ac:dyDescent="0.3">
      <c r="B62" s="86"/>
      <c r="C62" s="87"/>
      <c r="D62" s="87"/>
      <c r="E62" s="87"/>
      <c r="F62" s="87"/>
      <c r="G62" s="87"/>
      <c r="H62" s="87"/>
      <c r="I62" s="87"/>
      <c r="J62" s="110"/>
      <c r="L62" s="90"/>
    </row>
    <row r="64" spans="2:12" x14ac:dyDescent="0.3">
      <c r="B64" s="439"/>
      <c r="C64" s="440"/>
      <c r="D64" s="440"/>
      <c r="E64" s="440"/>
      <c r="F64" s="440"/>
      <c r="G64" s="440"/>
      <c r="H64" s="440"/>
      <c r="I64" s="440"/>
      <c r="J64" s="441"/>
    </row>
    <row r="65" spans="2:12" x14ac:dyDescent="0.3">
      <c r="B65" s="110"/>
      <c r="C65" s="112"/>
      <c r="D65" s="110"/>
      <c r="I65" s="110"/>
      <c r="J65" s="110"/>
    </row>
    <row r="66" spans="2:12" x14ac:dyDescent="0.3">
      <c r="B66" s="110"/>
      <c r="C66" s="93"/>
      <c r="D66" s="110"/>
      <c r="I66" s="97"/>
      <c r="J66" s="98"/>
    </row>
    <row r="68" spans="2:12" x14ac:dyDescent="0.3">
      <c r="B68" s="439"/>
      <c r="C68" s="440"/>
      <c r="D68" s="440"/>
      <c r="E68" s="440"/>
      <c r="F68" s="440"/>
      <c r="G68" s="440"/>
      <c r="H68" s="440"/>
      <c r="I68" s="440"/>
      <c r="J68" s="441"/>
    </row>
    <row r="69" spans="2:12" x14ac:dyDescent="0.3">
      <c r="B69" s="112"/>
      <c r="C69" s="110"/>
      <c r="D69" s="110"/>
      <c r="E69" s="110"/>
      <c r="F69" s="110"/>
      <c r="G69" s="110"/>
      <c r="H69" s="110"/>
      <c r="I69" s="110"/>
      <c r="J69" s="110"/>
      <c r="L69" s="90"/>
    </row>
    <row r="70" spans="2:12" x14ac:dyDescent="0.3">
      <c r="B70" s="93"/>
      <c r="C70" s="99"/>
      <c r="D70" s="99"/>
      <c r="E70" s="99"/>
      <c r="F70" s="99"/>
      <c r="G70" s="99"/>
      <c r="H70" s="99"/>
      <c r="I70" s="99"/>
      <c r="J70" s="110"/>
      <c r="L70" s="90"/>
    </row>
    <row r="73" spans="2:12" x14ac:dyDescent="0.3">
      <c r="B73" s="439"/>
      <c r="C73" s="440"/>
      <c r="D73" s="440"/>
      <c r="E73" s="440"/>
      <c r="F73" s="440"/>
      <c r="G73" s="440"/>
      <c r="H73" s="440"/>
      <c r="I73" s="112"/>
      <c r="J73" s="89"/>
    </row>
    <row r="74" spans="2:12" x14ac:dyDescent="0.3">
      <c r="B74" s="110"/>
      <c r="C74" s="110"/>
      <c r="D74" s="110"/>
      <c r="E74" s="110"/>
      <c r="F74" s="110"/>
      <c r="J74" s="110"/>
      <c r="L74" s="90"/>
    </row>
    <row r="75" spans="2:12" x14ac:dyDescent="0.3">
      <c r="B75" s="86"/>
      <c r="C75" s="87"/>
      <c r="D75" s="87"/>
      <c r="E75" s="87"/>
      <c r="F75" s="87"/>
      <c r="J75" s="110"/>
      <c r="L75" s="90"/>
    </row>
    <row r="77" spans="2:12" x14ac:dyDescent="0.3">
      <c r="B77" s="439"/>
      <c r="C77" s="440"/>
      <c r="D77" s="440"/>
      <c r="E77" s="440"/>
      <c r="F77" s="440"/>
      <c r="G77" s="440"/>
      <c r="H77" s="440"/>
      <c r="I77" s="440"/>
      <c r="J77" s="441"/>
    </row>
    <row r="78" spans="2:12" x14ac:dyDescent="0.3">
      <c r="B78" s="110"/>
      <c r="C78" s="112"/>
      <c r="D78" s="110"/>
      <c r="I78" s="110"/>
      <c r="J78" s="110"/>
    </row>
    <row r="79" spans="2:12" x14ac:dyDescent="0.3">
      <c r="B79" s="110"/>
      <c r="C79" s="93"/>
      <c r="D79" s="110"/>
      <c r="I79" s="97"/>
      <c r="J79" s="98"/>
    </row>
    <row r="81" spans="2:12" x14ac:dyDescent="0.3">
      <c r="B81" s="439"/>
      <c r="C81" s="440"/>
      <c r="D81" s="440"/>
      <c r="E81" s="440"/>
      <c r="F81" s="440"/>
      <c r="G81" s="440"/>
      <c r="H81" s="440"/>
      <c r="I81" s="440"/>
      <c r="J81" s="441"/>
    </row>
    <row r="82" spans="2:12" x14ac:dyDescent="0.3">
      <c r="B82" s="112"/>
      <c r="C82" s="110"/>
      <c r="D82" s="110"/>
      <c r="E82" s="110"/>
      <c r="F82" s="110"/>
      <c r="J82" s="110"/>
      <c r="L82" s="90"/>
    </row>
    <row r="83" spans="2:12" x14ac:dyDescent="0.3">
      <c r="B83" s="93"/>
      <c r="C83" s="99"/>
      <c r="D83" s="99"/>
      <c r="E83" s="99"/>
      <c r="F83" s="99"/>
      <c r="J83" s="110"/>
      <c r="L83" s="90"/>
    </row>
    <row r="88" spans="2:12" x14ac:dyDescent="0.3">
      <c r="B88" s="438" t="s">
        <v>414</v>
      </c>
      <c r="C88" s="438"/>
      <c r="D88" s="438"/>
      <c r="E88" s="438"/>
    </row>
    <row r="89" spans="2:12" x14ac:dyDescent="0.3">
      <c r="B89" s="91" t="s">
        <v>415</v>
      </c>
      <c r="C89" s="111">
        <f>L54</f>
        <v>35</v>
      </c>
      <c r="D89" s="91" t="s">
        <v>73</v>
      </c>
      <c r="E89" s="111" t="str">
        <f>F4</f>
        <v>FF</v>
      </c>
      <c r="F89" t="s">
        <v>469</v>
      </c>
    </row>
  </sheetData>
  <mergeCells count="11">
    <mergeCell ref="B88:E88"/>
    <mergeCell ref="B2:L2"/>
    <mergeCell ref="B49:J49"/>
    <mergeCell ref="B53:F53"/>
    <mergeCell ref="B56:H56"/>
    <mergeCell ref="B60:H60"/>
    <mergeCell ref="B64:J64"/>
    <mergeCell ref="B68:J68"/>
    <mergeCell ref="B73:H73"/>
    <mergeCell ref="B77:J77"/>
    <mergeCell ref="B81:J8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AF851"/>
  <sheetViews>
    <sheetView tabSelected="1" topLeftCell="A194" workbookViewId="0">
      <selection activeCell="G220" sqref="G220"/>
    </sheetView>
  </sheetViews>
  <sheetFormatPr defaultColWidth="8.5546875" defaultRowHeight="14.4" x14ac:dyDescent="0.3"/>
  <cols>
    <col min="1" max="1" width="3" customWidth="1"/>
    <col min="2" max="11" width="13.44140625" customWidth="1"/>
    <col min="12" max="12" width="17.44140625" customWidth="1"/>
    <col min="13" max="13" width="15.33203125" customWidth="1"/>
    <col min="14" max="14" width="10.44140625" customWidth="1"/>
    <col min="15" max="15" width="17.44140625" customWidth="1"/>
    <col min="16" max="16" width="13.44140625" customWidth="1"/>
    <col min="17" max="17" width="9.5546875" customWidth="1"/>
    <col min="18" max="18" width="10.5546875" customWidth="1"/>
    <col min="19" max="19" width="10.44140625" customWidth="1"/>
    <col min="20" max="21" width="13.44140625" customWidth="1"/>
    <col min="22" max="22" width="10.88671875" customWidth="1"/>
    <col min="23" max="23" width="12.44140625" customWidth="1"/>
    <col min="24" max="24" width="15.44140625" bestFit="1" customWidth="1"/>
    <col min="25" max="26" width="13.44140625" customWidth="1"/>
    <col min="27" max="27" width="9.44140625" customWidth="1"/>
    <col min="28" max="28" width="10.44140625" customWidth="1"/>
    <col min="29" max="29" width="5.44140625" customWidth="1"/>
    <col min="30" max="31" width="13.44140625" customWidth="1"/>
    <col min="32" max="32" width="64.44140625" bestFit="1" customWidth="1"/>
  </cols>
  <sheetData>
    <row r="2" spans="2:32" x14ac:dyDescent="0.3">
      <c r="B2" s="437" t="s">
        <v>295</v>
      </c>
      <c r="C2" s="437"/>
      <c r="D2" s="437"/>
      <c r="E2" s="437"/>
      <c r="F2" s="437"/>
      <c r="G2" s="437"/>
      <c r="H2" s="437"/>
      <c r="I2" s="437"/>
      <c r="J2" s="437"/>
      <c r="K2" s="437"/>
      <c r="L2" s="437"/>
    </row>
    <row r="3" spans="2:32" x14ac:dyDescent="0.3">
      <c r="B3" s="61" t="s">
        <v>197</v>
      </c>
      <c r="C3" s="61" t="s">
        <v>296</v>
      </c>
      <c r="D3" s="61" t="s">
        <v>297</v>
      </c>
      <c r="E3" s="61" t="s">
        <v>298</v>
      </c>
      <c r="F3" s="61" t="s">
        <v>585</v>
      </c>
      <c r="G3" s="61" t="s">
        <v>299</v>
      </c>
      <c r="H3" s="61" t="s">
        <v>300</v>
      </c>
      <c r="I3" s="61" t="s">
        <v>301</v>
      </c>
      <c r="J3" s="61" t="s">
        <v>199</v>
      </c>
      <c r="K3" s="61" t="s">
        <v>200</v>
      </c>
      <c r="L3" s="25" t="s">
        <v>182</v>
      </c>
    </row>
    <row r="4" spans="2:32" ht="15" customHeight="1" x14ac:dyDescent="0.3">
      <c r="B4" s="221">
        <f>'1204-Initial'!B4</f>
        <v>1013</v>
      </c>
      <c r="C4" s="221">
        <f>'1204-Initial'!C4</f>
        <v>5</v>
      </c>
      <c r="D4" s="221">
        <f>'1204-Initial'!D4</f>
        <v>9999</v>
      </c>
      <c r="E4" s="320">
        <f>'1204-Initial'!E4</f>
        <v>13466634</v>
      </c>
      <c r="F4" s="221" t="str">
        <f>'1204-Initial'!F4</f>
        <v>FF</v>
      </c>
      <c r="G4" s="226">
        <f>INDEX('FTS-Initialization'!$W$20:$W$32,MATCH(FLOOR($B$4,1000),'FTS-Initialization'!$V$20:$V$32,0))</f>
        <v>84</v>
      </c>
      <c r="H4" s="226" t="str">
        <f>INDEX('FTS-Initialization'!$X$20:$X$32,MATCH(FLOOR($B$4,1000),'FTS-Initialization'!$V$20:$V$32,0))</f>
        <v>TKA</v>
      </c>
      <c r="I4" s="227">
        <f ca="1">TODAY()</f>
        <v>42738</v>
      </c>
      <c r="J4" s="175">
        <f>'FTS-Initialization'!$AA$29</f>
        <v>100</v>
      </c>
      <c r="K4" s="175">
        <f>'FTS-Initialization'!$AA$29</f>
        <v>100</v>
      </c>
      <c r="L4" s="175"/>
      <c r="N4" t="s">
        <v>462</v>
      </c>
    </row>
    <row r="5" spans="2:32" x14ac:dyDescent="0.3">
      <c r="B5" s="179" t="str">
        <f>DEC2HEX(B4,4)</f>
        <v>03F5</v>
      </c>
      <c r="C5" s="179" t="str">
        <f>DEC2HEX(C4*2,2)</f>
        <v>0A</v>
      </c>
      <c r="D5" s="179" t="str">
        <f>DEC2HEX(D4,8)</f>
        <v>0000270F</v>
      </c>
      <c r="E5" s="179" t="str">
        <f>DEC2HEX(E4,8)</f>
        <v>00CD7C0A</v>
      </c>
      <c r="F5" s="180" t="str">
        <f ca="1">DEC2HEX(YEAR($I$4)-2010,2)</f>
        <v>07</v>
      </c>
      <c r="G5" s="179" t="str">
        <f ca="1">DEC2HEX(MONTH($I$4),2)</f>
        <v>01</v>
      </c>
      <c r="H5" s="179" t="str">
        <f ca="1">DEC2HEX(DAY($I$4),2)</f>
        <v>03</v>
      </c>
      <c r="I5" s="179" t="str">
        <f>DEC2HEX('FTS-Initialization'!$AA$31,2)</f>
        <v>00</v>
      </c>
      <c r="J5" s="179" t="str">
        <f t="shared" ref="J5:K5" si="0">DEC2HEX(J4)</f>
        <v>64</v>
      </c>
      <c r="K5" s="179" t="str">
        <f t="shared" si="0"/>
        <v>64</v>
      </c>
      <c r="L5" s="179">
        <f>'1204-Initial'!L5</f>
        <v>89</v>
      </c>
      <c r="N5" s="221">
        <v>13466634</v>
      </c>
      <c r="O5" s="79">
        <v>12</v>
      </c>
      <c r="P5" s="79" t="str">
        <f>MID(DEC2HEX($N$5,8),1,2)</f>
        <v>00</v>
      </c>
      <c r="Q5" s="79" t="str">
        <f>MID(DEC2HEX($N$5,8),3,2)</f>
        <v>CD</v>
      </c>
      <c r="R5" s="79" t="str">
        <f>MID(DEC2HEX($N$5,8),5,2)</f>
        <v>7C</v>
      </c>
      <c r="S5" s="79" t="str">
        <f>MID(DEC2HEX($N$5,8),7,2)</f>
        <v>0A</v>
      </c>
      <c r="T5" s="123" t="s">
        <v>458</v>
      </c>
      <c r="U5" s="123" t="s">
        <v>458</v>
      </c>
      <c r="V5" s="123" t="s">
        <v>458</v>
      </c>
      <c r="W5" s="123" t="s">
        <v>458</v>
      </c>
      <c r="X5" s="123" t="s">
        <v>458</v>
      </c>
    </row>
    <row r="6" spans="2:32" x14ac:dyDescent="0.3">
      <c r="B6" s="61" t="str">
        <f>B3</f>
        <v>DevType</v>
      </c>
      <c r="C6" s="61" t="str">
        <f t="shared" ref="C6:E6" si="1">C3</f>
        <v>Channel</v>
      </c>
      <c r="D6" s="61" t="str">
        <f t="shared" si="1"/>
        <v>Lot #</v>
      </c>
      <c r="E6" s="61" t="str">
        <f t="shared" si="1"/>
        <v>Serial #</v>
      </c>
      <c r="F6" s="61" t="s">
        <v>185</v>
      </c>
      <c r="G6" s="61" t="s">
        <v>183</v>
      </c>
      <c r="H6" s="61" t="s">
        <v>184</v>
      </c>
      <c r="I6" s="61" t="s">
        <v>323</v>
      </c>
      <c r="J6" s="61" t="s">
        <v>199</v>
      </c>
      <c r="K6" s="61" t="s">
        <v>200</v>
      </c>
      <c r="L6" s="25" t="s">
        <v>322</v>
      </c>
      <c r="N6" s="78" t="s">
        <v>18</v>
      </c>
      <c r="O6" s="79">
        <v>12</v>
      </c>
      <c r="P6" s="79" t="str">
        <f>D22</f>
        <v>00</v>
      </c>
      <c r="Q6" s="79" t="str">
        <f>D23</f>
        <v>CD</v>
      </c>
      <c r="R6" s="79" t="str">
        <f>D24</f>
        <v>7C</v>
      </c>
      <c r="S6" s="79" t="str">
        <f>D25</f>
        <v>0A</v>
      </c>
      <c r="T6" s="79" t="s">
        <v>458</v>
      </c>
      <c r="U6" s="79" t="s">
        <v>458</v>
      </c>
      <c r="V6" s="79" t="s">
        <v>458</v>
      </c>
      <c r="W6" s="79" t="s">
        <v>458</v>
      </c>
      <c r="X6" s="79" t="s">
        <v>458</v>
      </c>
    </row>
    <row r="8" spans="2:32" ht="15" thickBot="1" x14ac:dyDescent="0.35">
      <c r="B8" t="s">
        <v>416</v>
      </c>
      <c r="N8" t="s">
        <v>401</v>
      </c>
      <c r="AF8" t="s">
        <v>402</v>
      </c>
    </row>
    <row r="9" spans="2:32" x14ac:dyDescent="0.3">
      <c r="B9" s="85">
        <f>'EEPROM-Contents'!B33</f>
        <v>29</v>
      </c>
      <c r="C9" s="74">
        <f t="shared" ref="C9:C19" ca="1" si="2">HEX2DEC(D9)</f>
        <v>2</v>
      </c>
      <c r="D9" s="77" t="str">
        <f ca="1">DEC2HEX(OFFSET('FTS-Initialization'!AC37,0,MATCH(H4,'FTS-Initialization'!$AD$36:$AE$36,0)),2)</f>
        <v>02</v>
      </c>
      <c r="E9" s="69" t="str">
        <f>'EEPROM-Contents'!L33</f>
        <v>SEN(0) X</v>
      </c>
      <c r="F9" s="70"/>
      <c r="G9" s="73"/>
      <c r="I9" s="27"/>
      <c r="J9" s="27"/>
      <c r="K9" s="101" t="s">
        <v>199</v>
      </c>
      <c r="L9" s="101" t="s">
        <v>200</v>
      </c>
      <c r="N9" s="78" t="s">
        <v>325</v>
      </c>
      <c r="O9" s="78" t="s">
        <v>326</v>
      </c>
      <c r="P9" s="78" t="s">
        <v>327</v>
      </c>
      <c r="Q9" s="78" t="s">
        <v>328</v>
      </c>
      <c r="R9" s="78" t="s">
        <v>329</v>
      </c>
      <c r="S9" s="78" t="s">
        <v>330</v>
      </c>
      <c r="T9" s="78" t="s">
        <v>331</v>
      </c>
      <c r="U9" s="78" t="s">
        <v>332</v>
      </c>
      <c r="V9" s="78" t="s">
        <v>333</v>
      </c>
      <c r="W9" s="78" t="s">
        <v>334</v>
      </c>
      <c r="X9" s="78" t="s">
        <v>335</v>
      </c>
      <c r="Y9" s="78" t="s">
        <v>336</v>
      </c>
      <c r="Z9" s="78" t="s">
        <v>337</v>
      </c>
      <c r="AA9" s="78" t="s">
        <v>338</v>
      </c>
      <c r="AB9" s="78" t="s">
        <v>339</v>
      </c>
      <c r="AC9" s="78" t="s">
        <v>340</v>
      </c>
      <c r="AD9" s="78" t="s">
        <v>341</v>
      </c>
      <c r="AF9" s="80" t="str">
        <f>CONCATENATE($O$5,$P$5,$Q$5,$R$5,$S$5,"A5AAAAAAAAAAAAAAAAAAAAAAAAAAAAAAAAAAAAAAAAAA")</f>
        <v>1200CD7C0AA5AAAAAAAAAAAAAAAAAAAAAAAAAAAAAAAAAAAAAAAAAA</v>
      </c>
    </row>
    <row r="10" spans="2:32" x14ac:dyDescent="0.3">
      <c r="B10" s="85">
        <f>'EEPROM-Contents'!B34</f>
        <v>30</v>
      </c>
      <c r="C10" s="74">
        <f t="shared" ca="1" si="2"/>
        <v>2</v>
      </c>
      <c r="D10" s="77" t="str">
        <f ca="1">DEC2HEX(OFFSET('FTS-Initialization'!AC38,0,MATCH($H$4,'FTS-Initialization'!$AD$36:$AE$36,0)),2)</f>
        <v>02</v>
      </c>
      <c r="E10" s="69" t="str">
        <f>'EEPROM-Contents'!L34</f>
        <v>SEN(1) Y</v>
      </c>
      <c r="F10" s="70"/>
      <c r="G10" s="73"/>
      <c r="I10" s="27"/>
      <c r="J10" s="27"/>
      <c r="K10" s="191" t="e">
        <f>E137</f>
        <v>#DIV/0!</v>
      </c>
      <c r="L10" s="191" t="e">
        <f>G137</f>
        <v>#DIV/0!</v>
      </c>
      <c r="N10" s="78" t="s">
        <v>326</v>
      </c>
      <c r="O10" s="79" t="str">
        <f>RIGHT(INDEX('EEPROM-Contents'!$K$4:'EEPROM-Contents'!$K$141,MATCH('EEPROM-Contents'!Q4,'EEPROM-Contents'!$I$4:'EEPROM-Contents'!$I$141,0)),2)</f>
        <v>1B</v>
      </c>
      <c r="P10" s="79" t="str">
        <f>RIGHT(INDEX('EEPROM-Contents'!$K$4:'EEPROM-Contents'!$K$141,MATCH('EEPROM-Contents'!R4,'EEPROM-Contents'!$I$4:'EEPROM-Contents'!$I$141,0)),2)</f>
        <v>00</v>
      </c>
      <c r="Q10" s="79" t="str">
        <f>RIGHT(INDEX('EEPROM-Contents'!$K$4:'EEPROM-Contents'!$K$141,MATCH('EEPROM-Contents'!S4,'EEPROM-Contents'!$I$4:'EEPROM-Contents'!$I$141,0)),2)</f>
        <v>00</v>
      </c>
      <c r="R10" s="79" t="str">
        <f>RIGHT(INDEX('EEPROM-Contents'!$K$4:'EEPROM-Contents'!$K$141,MATCH('EEPROM-Contents'!T4,'EEPROM-Contents'!$I$4:'EEPROM-Contents'!$I$141,0)),2)</f>
        <v>00</v>
      </c>
      <c r="S10" s="79" t="str">
        <f>RIGHT(INDEX('EEPROM-Contents'!$K$4:'EEPROM-Contents'!$K$141,MATCH('EEPROM-Contents'!U4,'EEPROM-Contents'!$I$4:'EEPROM-Contents'!$I$141,0)),2)</f>
        <v>00</v>
      </c>
      <c r="T10" s="79" t="str">
        <f>RIGHT(INDEX('EEPROM-Contents'!$K$4:'EEPROM-Contents'!$K$141,MATCH('EEPROM-Contents'!V4,'EEPROM-Contents'!$I$4:'EEPROM-Contents'!$I$141,0)),2)</f>
        <v>00</v>
      </c>
      <c r="U10" s="79" t="str">
        <f>RIGHT(INDEX('EEPROM-Contents'!$K$4:'EEPROM-Contents'!$K$141,MATCH('EEPROM-Contents'!W4,'EEPROM-Contents'!$I$4:'EEPROM-Contents'!$I$141,0)),2)</f>
        <v>00</v>
      </c>
      <c r="V10" s="79" t="str">
        <f>RIGHT(INDEX('EEPROM-Contents'!$K$4:'EEPROM-Contents'!$K$141,MATCH('EEPROM-Contents'!X4,'EEPROM-Contents'!$I$4:'EEPROM-Contents'!$I$141,0)),2)</f>
        <v>00</v>
      </c>
      <c r="W10" s="79" t="str">
        <f>RIGHT(INDEX('EEPROM-Contents'!$K$4:'EEPROM-Contents'!$K$141,MATCH('EEPROM-Contents'!Y4,'EEPROM-Contents'!$I$4:'EEPROM-Contents'!$I$141,0)),2)</f>
        <v>00</v>
      </c>
      <c r="X10" s="79" t="str">
        <f>RIGHT(INDEX('EEPROM-Contents'!$K$4:'EEPROM-Contents'!$K$141,MATCH('EEPROM-Contents'!Z4,'EEPROM-Contents'!$I$4:'EEPROM-Contents'!$I$141,0)),2)</f>
        <v>00</v>
      </c>
      <c r="Y10" s="79" t="str">
        <f>RIGHT(INDEX('EEPROM-Contents'!$K$4:'EEPROM-Contents'!$K$141,MATCH('EEPROM-Contents'!AA4,'EEPROM-Contents'!$I$4:'EEPROM-Contents'!$I$141,0)),2)</f>
        <v>01</v>
      </c>
      <c r="Z10" s="79" t="str">
        <f>RIGHT(INDEX('EEPROM-Contents'!$K$4:'EEPROM-Contents'!$K$141,MATCH('EEPROM-Contents'!AB4,'EEPROM-Contents'!$I$4:'EEPROM-Contents'!$I$141,0)),2)</f>
        <v>38</v>
      </c>
      <c r="AA10" s="79" t="str">
        <f>RIGHT(INDEX('EEPROM-Contents'!$K$4:'EEPROM-Contents'!$K$141,MATCH('EEPROM-Contents'!AC4,'EEPROM-Contents'!$I$4:'EEPROM-Contents'!$I$141,0)),2)</f>
        <v>21</v>
      </c>
      <c r="AB10" s="79" t="str">
        <f>RIGHT(INDEX('EEPROM-Contents'!$K$4:'EEPROM-Contents'!$K$141,MATCH('EEPROM-Contents'!AD4,'EEPROM-Contents'!$I$4:'EEPROM-Contents'!$I$141,0)),2)</f>
        <v>50</v>
      </c>
      <c r="AC10" s="79" t="str">
        <f>RIGHT(INDEX('EEPROM-Contents'!$K$4:'EEPROM-Contents'!$K$141,MATCH('EEPROM-Contents'!AE4,'EEPROM-Contents'!$I$4:'EEPROM-Contents'!$I$141,0)),2)</f>
        <v>FF</v>
      </c>
      <c r="AD10" s="79" t="str">
        <f>RIGHT(INDEX('EEPROM-Contents'!$K$4:'EEPROM-Contents'!$K$141,MATCH('EEPROM-Contents'!AF4,'EEPROM-Contents'!$I$4:'EEPROM-Contents'!$I$141,0)),2)</f>
        <v>EF</v>
      </c>
      <c r="AF10" s="81" t="str">
        <f>CONCATENATE($O$5,$P$5,$Q$5,$R$5,$S$5,$T$5,$U$5,$V$5,$W$5,$X$5,O10,P10,Q10,R10,S10,T10,U10,V10,W10,X10,Y10,Z10,AA10,AB10,AC10,AD10,"00")</f>
        <v>1200CD7C0A00000000001B00000000000000000001382150FFEF00</v>
      </c>
    </row>
    <row r="11" spans="2:32" x14ac:dyDescent="0.3">
      <c r="B11" s="85">
        <f>'EEPROM-Contents'!B35</f>
        <v>31</v>
      </c>
      <c r="C11" s="74">
        <f t="shared" ca="1" si="2"/>
        <v>4</v>
      </c>
      <c r="D11" s="77" t="str">
        <f ca="1">DEC2HEX(OFFSET('FTS-Initialization'!AC39,0,MATCH($H$4,'FTS-Initialization'!$AD$36:$AE$36,0)),2)</f>
        <v>04</v>
      </c>
      <c r="E11" s="69" t="str">
        <f>'EEPROM-Contents'!L35</f>
        <v>SEN(2) Z</v>
      </c>
      <c r="F11" s="70"/>
      <c r="G11" s="73"/>
      <c r="I11" s="101" t="s">
        <v>454</v>
      </c>
      <c r="J11" s="101" t="s">
        <v>446</v>
      </c>
      <c r="K11" s="101" t="s">
        <v>447</v>
      </c>
      <c r="L11" s="101" t="s">
        <v>448</v>
      </c>
      <c r="N11" s="78" t="s">
        <v>342</v>
      </c>
      <c r="O11" s="79" t="str">
        <f>RIGHT(INDEX('EEPROM-Contents'!$K$4:'EEPROM-Contents'!$K$141,MATCH('EEPROM-Contents'!Q5,'EEPROM-Contents'!$I$4:'EEPROM-Contents'!$I$141,0)),2)</f>
        <v>F0</v>
      </c>
      <c r="P11" s="79" t="str">
        <f>RIGHT(INDEX('EEPROM-Contents'!$K$4:'EEPROM-Contents'!$K$141,MATCH('EEPROM-Contents'!R5,'EEPROM-Contents'!$I$4:'EEPROM-Contents'!$I$141,0)),2)</f>
        <v>5D</v>
      </c>
      <c r="Q11" s="79" t="str">
        <f>RIGHT(INDEX('EEPROM-Contents'!$K$4:'EEPROM-Contents'!$K$141,MATCH('EEPROM-Contents'!S5,'EEPROM-Contents'!$I$4:'EEPROM-Contents'!$I$141,0)),2)</f>
        <v>01</v>
      </c>
      <c r="R11" s="79" t="str">
        <f>RIGHT(INDEX('EEPROM-Contents'!$K$4:'EEPROM-Contents'!$K$141,MATCH('EEPROM-Contents'!T5,'EEPROM-Contents'!$I$4:'EEPROM-Contents'!$I$141,0)),2)</f>
        <v>00</v>
      </c>
      <c r="S11" s="79" t="str">
        <f>RIGHT(INDEX('EEPROM-Contents'!$K$4:'EEPROM-Contents'!$K$141,MATCH('EEPROM-Contents'!U5,'EEPROM-Contents'!$I$4:'EEPROM-Contents'!$I$141,0)),2)</f>
        <v>00</v>
      </c>
      <c r="T11" s="79" t="str">
        <f>RIGHT(INDEX('EEPROM-Contents'!$K$4:'EEPROM-Contents'!$K$141,MATCH('EEPROM-Contents'!V5,'EEPROM-Contents'!$I$4:'EEPROM-Contents'!$I$141,0)),2)</f>
        <v>00</v>
      </c>
      <c r="U11" s="79" t="str">
        <f>RIGHT(INDEX('EEPROM-Contents'!$K$4:'EEPROM-Contents'!$K$141,MATCH('EEPROM-Contents'!W5,'EEPROM-Contents'!$I$4:'EEPROM-Contents'!$I$141,0)),2)</f>
        <v>06</v>
      </c>
      <c r="V11" s="79" t="str">
        <f>RIGHT(INDEX('EEPROM-Contents'!$K$4:'EEPROM-Contents'!$K$141,MATCH('EEPROM-Contents'!X5,'EEPROM-Contents'!$I$4:'EEPROM-Contents'!$I$141,0)),2)</f>
        <v>01</v>
      </c>
      <c r="W11" s="79" t="str">
        <f>RIGHT(INDEX('EEPROM-Contents'!$K$4:'EEPROM-Contents'!$K$141,MATCH('EEPROM-Contents'!Y5,'EEPROM-Contents'!$I$4:'EEPROM-Contents'!$I$141,0)),2)</f>
        <v>01</v>
      </c>
      <c r="X11" s="79" t="str">
        <f>RIGHT(INDEX('EEPROM-Contents'!$K$4:'EEPROM-Contents'!$K$141,MATCH('EEPROM-Contents'!Z5,'EEPROM-Contents'!$I$4:'EEPROM-Contents'!$I$141,0)),2)</f>
        <v>A5</v>
      </c>
      <c r="Y11" s="79" t="str">
        <f>RIGHT(INDEX('EEPROM-Contents'!$K$4:'EEPROM-Contents'!$K$141,MATCH('EEPROM-Contents'!AA5,'EEPROM-Contents'!$I$4:'EEPROM-Contents'!$I$141,0)),2)</f>
        <v>10</v>
      </c>
      <c r="Z11" s="79" t="str">
        <f>RIGHT(INDEX('EEPROM-Contents'!$K$4:'EEPROM-Contents'!$K$141,MATCH('EEPROM-Contents'!AB5,'EEPROM-Contents'!$I$4:'EEPROM-Contents'!$I$141,0)),2)</f>
        <v>00</v>
      </c>
      <c r="AA11" s="79" t="str">
        <f>RIGHT(INDEX('EEPROM-Contents'!$K$4:'EEPROM-Contents'!$K$141,MATCH('EEPROM-Contents'!AC5,'EEPROM-Contents'!$I$4:'EEPROM-Contents'!$I$141,0)),2)</f>
        <v>00</v>
      </c>
      <c r="AB11" s="84" t="str">
        <f ca="1">RIGHT(INDEX($D$9:$D$47,MATCH('EEPROM-Contents'!AD5,$B$9:$B$47,0)),2)</f>
        <v>02</v>
      </c>
      <c r="AC11" s="84" t="str">
        <f ca="1">RIGHT(INDEX($D$9:$D$47,MATCH('EEPROM-Contents'!AE5,$B$9:$B$47,0)),2)</f>
        <v>02</v>
      </c>
      <c r="AD11" s="84" t="str">
        <f ca="1">RIGHT(INDEX($D$9:$D$47,MATCH('EEPROM-Contents'!AF5,$B$9:$B$47,0)),2)</f>
        <v>04</v>
      </c>
      <c r="AF11" s="81" t="str">
        <f ca="1">CONCATENATE($O$5,$P$5,$Q$5,$R$5,$S$5,$T$5,$U$5,$V$5,$W$5,$X$5,O11,P11,Q11,R11,S11,T11,U11,V11,W11,X11,Y11,Z11,AA11,AB11,AC11,AD11,"00")</f>
        <v>1200CD7C0A0000000000F05D01000000060101A510000002020400</v>
      </c>
    </row>
    <row r="12" spans="2:32" x14ac:dyDescent="0.3">
      <c r="B12" s="85">
        <f>'EEPROM-Contents'!B36</f>
        <v>32</v>
      </c>
      <c r="C12" s="74">
        <f t="shared" ca="1" si="2"/>
        <v>4</v>
      </c>
      <c r="D12" s="77" t="str">
        <f ca="1">DEC2HEX(OFFSET('FTS-Initialization'!AC40,0,MATCH($H$4,'FTS-Initialization'!$AD$36:$AE$36,0)),2)</f>
        <v>04</v>
      </c>
      <c r="E12" s="69" t="str">
        <f>'EEPROM-Contents'!L36</f>
        <v>SEN(3) SP6B</v>
      </c>
      <c r="F12" s="70"/>
      <c r="G12" s="73"/>
      <c r="I12" s="101">
        <v>0</v>
      </c>
      <c r="J12" s="101">
        <v>0</v>
      </c>
      <c r="K12" s="103" t="e">
        <f>$J12*K$10/100</f>
        <v>#DIV/0!</v>
      </c>
      <c r="L12" s="103" t="e">
        <f>$J12*L$10/100</f>
        <v>#DIV/0!</v>
      </c>
      <c r="N12" s="78" t="s">
        <v>343</v>
      </c>
      <c r="O12" s="84" t="str">
        <f ca="1">RIGHT(INDEX($D$9:$D$47,MATCH('EEPROM-Contents'!Q6,$B$9:$B$47,0)),2)</f>
        <v>04</v>
      </c>
      <c r="P12" s="84" t="str">
        <f ca="1">RIGHT(INDEX($D$9:$D$47,MATCH('EEPROM-Contents'!R6,$B$9:$B$47,0)),2)</f>
        <v>04</v>
      </c>
      <c r="Q12" s="84" t="str">
        <f ca="1">RIGHT(INDEX($D$9:$D$47,MATCH('EEPROM-Contents'!S6,$B$9:$B$47,0)),2)</f>
        <v>04</v>
      </c>
      <c r="R12" s="84" t="str">
        <f ca="1">RIGHT(INDEX($D$9:$D$47,MATCH('EEPROM-Contents'!T6,$B$9:$B$47,0)),2)</f>
        <v>04</v>
      </c>
      <c r="S12" s="84" t="str">
        <f ca="1">RIGHT(INDEX($D$9:$D$47,MATCH('EEPROM-Contents'!U6,$B$9:$B$47,0)),2)</f>
        <v>04</v>
      </c>
      <c r="T12" s="84" t="str">
        <f ca="1">RIGHT(INDEX($D$9:$D$47,MATCH('EEPROM-Contents'!V6,$B$9:$B$47,0)),2)</f>
        <v>04</v>
      </c>
      <c r="U12" s="84" t="str">
        <f ca="1">RIGHT(INDEX($D$9:$D$47,MATCH('EEPROM-Contents'!W6,$B$9:$B$47,0)),2)</f>
        <v>04</v>
      </c>
      <c r="V12" s="79" t="str">
        <f>RIGHT(INDEX('EEPROM-Contents'!$K$4:'EEPROM-Contents'!$K$141,MATCH('EEPROM-Contents'!X6,'EEPROM-Contents'!$I$4:'EEPROM-Contents'!$I$141,0)),2)</f>
        <v>00</v>
      </c>
      <c r="W12" s="79" t="str">
        <f>RIGHT(INDEX('EEPROM-Contents'!$K$4:'EEPROM-Contents'!$K$141,MATCH('EEPROM-Contents'!Y6,'EEPROM-Contents'!$I$4:'EEPROM-Contents'!$I$141,0)),2)</f>
        <v>21</v>
      </c>
      <c r="X12" s="79" t="str">
        <f>RIGHT(INDEX('EEPROM-Contents'!$K$4:'EEPROM-Contents'!$K$141,MATCH('EEPROM-Contents'!Z6,'EEPROM-Contents'!$I$4:'EEPROM-Contents'!$I$141,0)),2)</f>
        <v>BF</v>
      </c>
      <c r="Y12" s="79" t="str">
        <f>RIGHT(INDEX('EEPROM-Contents'!$K$4:'EEPROM-Contents'!$K$141,MATCH('EEPROM-Contents'!AA6,'EEPROM-Contents'!$I$4:'EEPROM-Contents'!$I$141,0)),2)</f>
        <v>88</v>
      </c>
      <c r="Z12" s="79" t="str">
        <f>RIGHT(INDEX('EEPROM-Contents'!$K$4:'EEPROM-Contents'!$K$141,MATCH('EEPROM-Contents'!AB6,'EEPROM-Contents'!$I$4:'EEPROM-Contents'!$I$141,0)),2)</f>
        <v>02</v>
      </c>
      <c r="AA12" s="79" t="str">
        <f>RIGHT(INDEX('EEPROM-Contents'!$K$4:'EEPROM-Contents'!$K$141,MATCH('EEPROM-Contents'!AC6,'EEPROM-Contents'!$I$4:'EEPROM-Contents'!$I$141,0)),2)</f>
        <v>20</v>
      </c>
      <c r="AB12" s="79" t="str">
        <f>RIGHT(INDEX('EEPROM-Contents'!$K$4:'EEPROM-Contents'!$K$141,MATCH('EEPROM-Contents'!AD6,'EEPROM-Contents'!$I$4:'EEPROM-Contents'!$I$141,0)),2)</f>
        <v>20</v>
      </c>
      <c r="AC12" s="79" t="str">
        <f>RIGHT(INDEX('EEPROM-Contents'!$K$4:'EEPROM-Contents'!$K$141,MATCH('EEPROM-Contents'!AE6,'EEPROM-Contents'!$I$4:'EEPROM-Contents'!$I$141,0)),2)</f>
        <v>A0</v>
      </c>
      <c r="AD12" s="84" t="str">
        <f>RIGHT(INDEX($D$9:$D$47,MATCH('EEPROM-Contents'!AF6,$B$9:$B$47,0)),2)</f>
        <v>84</v>
      </c>
      <c r="AF12" s="81" t="str">
        <f ca="1">CONCATENATE($O$5,$P$5,$Q$5,$R$5,$S$5,$T$5,$U$5,$V$5,$W$5,$X$5,O12,P12,Q12,R12,S12,T12,U12,V12,W12,X12,Y12,Z12,AA12,AB12,AC12,AD12,"00")</f>
        <v>1200CD7C0A0000000000040404040404040021BF88022020A08400</v>
      </c>
    </row>
    <row r="13" spans="2:32" x14ac:dyDescent="0.3">
      <c r="B13" s="85">
        <f>'EEPROM-Contents'!B37</f>
        <v>33</v>
      </c>
      <c r="C13" s="74">
        <f t="shared" ca="1" si="2"/>
        <v>4</v>
      </c>
      <c r="D13" s="77" t="str">
        <f ca="1">DEC2HEX(OFFSET('FTS-Initialization'!AC41,0,MATCH($H$4,'FTS-Initialization'!$AD$36:$AE$36,0)),2)</f>
        <v>04</v>
      </c>
      <c r="E13" s="69" t="str">
        <f>'EEPROM-Contents'!L37</f>
        <v>SEN(4) SP5B</v>
      </c>
      <c r="F13" s="70"/>
      <c r="G13" s="73"/>
      <c r="I13" s="101">
        <v>5</v>
      </c>
      <c r="J13" s="101">
        <v>250</v>
      </c>
      <c r="K13" s="103" t="e">
        <f t="shared" ref="K13:L17" si="3">$J13*K$10/100</f>
        <v>#DIV/0!</v>
      </c>
      <c r="L13" s="103" t="e">
        <f t="shared" si="3"/>
        <v>#DIV/0!</v>
      </c>
      <c r="N13" s="78" t="s">
        <v>344</v>
      </c>
      <c r="O13" s="79" t="str">
        <f>RIGHT(INDEX('EEPROM-Contents'!$K$4:'EEPROM-Contents'!$K$141,MATCH('EEPROM-Contents'!Q7,'EEPROM-Contents'!$I$4:'EEPROM-Contents'!$I$141,0)),2)</f>
        <v>00</v>
      </c>
      <c r="P13" s="79" t="str">
        <f>RIGHT(INDEX('EEPROM-Contents'!$K$4:'EEPROM-Contents'!$K$141,MATCH('EEPROM-Contents'!R7,'EEPROM-Contents'!$I$4:'EEPROM-Contents'!$I$141,0)),2)</f>
        <v>06</v>
      </c>
      <c r="Q13" s="79" t="str">
        <f>RIGHT(INDEX('EEPROM-Contents'!$K$4:'EEPROM-Contents'!$K$141,MATCH('EEPROM-Contents'!S7,'EEPROM-Contents'!$I$4:'EEPROM-Contents'!$I$141,0)),2)</f>
        <v>2E</v>
      </c>
      <c r="R13" s="79" t="str">
        <f>RIGHT(INDEX('EEPROM-Contents'!$K$4:'EEPROM-Contents'!$K$141,MATCH('EEPROM-Contents'!T7,'EEPROM-Contents'!$I$4:'EEPROM-Contents'!$I$141,0)),2)</f>
        <v>2F</v>
      </c>
      <c r="S13" s="79" t="str">
        <f>RIGHT(INDEX('EEPROM-Contents'!$K$4:'EEPROM-Contents'!$K$141,MATCH('EEPROM-Contents'!U7,'EEPROM-Contents'!$I$4:'EEPROM-Contents'!$I$141,0)),2)</f>
        <v>07</v>
      </c>
      <c r="T13" s="79" t="str">
        <f>RIGHT(INDEX('EEPROM-Contents'!$K$4:'EEPROM-Contents'!$K$141,MATCH('EEPROM-Contents'!V7,'EEPROM-Contents'!$I$4:'EEPROM-Contents'!$I$141,0)),2)</f>
        <v>D3</v>
      </c>
      <c r="U13" s="79" t="str">
        <f>RIGHT(INDEX('EEPROM-Contents'!$K$4:'EEPROM-Contents'!$K$141,MATCH('EEPROM-Contents'!W7,'EEPROM-Contents'!$I$4:'EEPROM-Contents'!$I$141,0)),2)</f>
        <v>91</v>
      </c>
      <c r="V13" s="79" t="str">
        <f>RIGHT(INDEX('EEPROM-Contents'!$K$4:'EEPROM-Contents'!$K$141,MATCH('EEPROM-Contents'!X7,'EEPROM-Contents'!$I$4:'EEPROM-Contents'!$I$141,0)),2)</f>
        <v>1B</v>
      </c>
      <c r="W13" s="79" t="str">
        <f>RIGHT(INDEX('EEPROM-Contents'!$K$4:'EEPROM-Contents'!$K$141,MATCH('EEPROM-Contents'!Y7,'EEPROM-Contents'!$I$4:'EEPROM-Contents'!$I$141,0)),2)</f>
        <v>28</v>
      </c>
      <c r="X13" s="79" t="str">
        <f>RIGHT(INDEX('EEPROM-Contents'!$K$4:'EEPROM-Contents'!$K$141,MATCH('EEPROM-Contents'!Z7,'EEPROM-Contents'!$I$4:'EEPROM-Contents'!$I$141,0)),2)</f>
        <v>44</v>
      </c>
      <c r="Y13" s="79" t="str">
        <f>RIGHT(INDEX('EEPROM-Contents'!$K$4:'EEPROM-Contents'!$K$141,MATCH('EEPROM-Contents'!AA7,'EEPROM-Contents'!$I$4:'EEPROM-Contents'!$I$141,0)),2)</f>
        <v>00</v>
      </c>
      <c r="Z13" s="84" t="str">
        <f>RIGHT(INDEX($D$9:$D$47,MATCH('EEPROM-Contents'!AB7,$B$9:$B$47,0)),2)</f>
        <v>0A</v>
      </c>
      <c r="AA13" s="79" t="str">
        <f>RIGHT(INDEX('EEPROM-Contents'!$K$4:'EEPROM-Contents'!$K$141,MATCH('EEPROM-Contents'!AC7,'EEPROM-Contents'!$I$4:'EEPROM-Contents'!$I$141,0)),2)</f>
        <v>0F</v>
      </c>
      <c r="AB13" s="79" t="str">
        <f>RIGHT(INDEX('EEPROM-Contents'!$K$4:'EEPROM-Contents'!$K$141,MATCH('EEPROM-Contents'!AD7,'EEPROM-Contents'!$I$4:'EEPROM-Contents'!$I$141,0)),2)</f>
        <v>00</v>
      </c>
      <c r="AC13" s="79" t="str">
        <f>RIGHT(INDEX('EEPROM-Contents'!$K$4:'EEPROM-Contents'!$K$141,MATCH('EEPROM-Contents'!AE7,'EEPROM-Contents'!$I$4:'EEPROM-Contents'!$I$141,0)),2)</f>
        <v>0F</v>
      </c>
      <c r="AD13" s="79" t="str">
        <f>RIGHT(INDEX('EEPROM-Contents'!$K$4:'EEPROM-Contents'!$K$141,MATCH('EEPROM-Contents'!AF7,'EEPROM-Contents'!$I$4:'EEPROM-Contents'!$I$141,0)),2)</f>
        <v>6C</v>
      </c>
      <c r="AF13" s="81" t="str">
        <f t="shared" ref="AF13:AF32" si="4">CONCATENATE($O$5,$P$5,$Q$5,$R$5,$S$5,$T$5,$U$5,$V$5,$W$5,$X$5,O13,P13,Q13,R13,S13,T13,U13,V13,W13,X13,Y13,Z13,AA13,AB13,AC13,AD13,"00")</f>
        <v>1200CD7C0A000000000000062E2F07D3911B2844000A0F000F6C00</v>
      </c>
    </row>
    <row r="14" spans="2:32" x14ac:dyDescent="0.3">
      <c r="B14" s="85">
        <f>'EEPROM-Contents'!B38</f>
        <v>34</v>
      </c>
      <c r="C14" s="74">
        <f t="shared" ca="1" si="2"/>
        <v>4</v>
      </c>
      <c r="D14" s="77" t="str">
        <f ca="1">DEC2HEX(OFFSET('FTS-Initialization'!AC42,0,MATCH($H$4,'FTS-Initialization'!$AD$36:$AE$36,0)),2)</f>
        <v>04</v>
      </c>
      <c r="E14" s="69" t="str">
        <f>'EEPROM-Contents'!L38</f>
        <v>SEN(5) SP4B</v>
      </c>
      <c r="F14" s="70"/>
      <c r="G14" s="73"/>
      <c r="I14" s="101">
        <v>10</v>
      </c>
      <c r="J14" s="101">
        <v>500</v>
      </c>
      <c r="K14" s="103" t="e">
        <f t="shared" si="3"/>
        <v>#DIV/0!</v>
      </c>
      <c r="L14" s="103" t="e">
        <f t="shared" si="3"/>
        <v>#DIV/0!</v>
      </c>
      <c r="N14" s="78" t="s">
        <v>346</v>
      </c>
      <c r="O14" s="79" t="str">
        <f>RIGHT(INDEX('EEPROM-Contents'!$K$4:'EEPROM-Contents'!$K$141,MATCH('EEPROM-Contents'!Q8,'EEPROM-Contents'!$I$4:'EEPROM-Contents'!$I$141,0)),2)</f>
        <v>CC</v>
      </c>
      <c r="P14" s="79" t="str">
        <f>RIGHT(INDEX('EEPROM-Contents'!$K$4:'EEPROM-Contents'!$K$141,MATCH('EEPROM-Contents'!R8,'EEPROM-Contents'!$I$4:'EEPROM-Contents'!$I$141,0)),2)</f>
        <v>5B</v>
      </c>
      <c r="Q14" s="79" t="str">
        <f>RIGHT(INDEX('EEPROM-Contents'!$K$4:'EEPROM-Contents'!$K$141,MATCH('EEPROM-Contents'!S8,'EEPROM-Contents'!$I$4:'EEPROM-Contents'!$I$141,0)),2)</f>
        <v>F8</v>
      </c>
      <c r="R14" s="79" t="str">
        <f>RIGHT(INDEX('EEPROM-Contents'!$K$4:'EEPROM-Contents'!$K$141,MATCH('EEPROM-Contents'!T8,'EEPROM-Contents'!$I$4:'EEPROM-Contents'!$I$141,0)),2)</f>
        <v>17</v>
      </c>
      <c r="S14" s="79" t="str">
        <f>RIGHT(INDEX('EEPROM-Contents'!$K$4:'EEPROM-Contents'!$K$141,MATCH('EEPROM-Contents'!U8,'EEPROM-Contents'!$I$4:'EEPROM-Contents'!$I$141,0)),2)</f>
        <v>23</v>
      </c>
      <c r="T14" s="79" t="str">
        <f>RIGHT(INDEX('EEPROM-Contents'!$K$4:'EEPROM-Contents'!$K$141,MATCH('EEPROM-Contents'!V8,'EEPROM-Contents'!$I$4:'EEPROM-Contents'!$I$141,0)),2)</f>
        <v>9A</v>
      </c>
      <c r="U14" s="79" t="str">
        <f>RIGHT(INDEX('EEPROM-Contents'!$K$4:'EEPROM-Contents'!$K$141,MATCH('EEPROM-Contents'!W8,'EEPROM-Contents'!$I$4:'EEPROM-Contents'!$I$141,0)),2)</f>
        <v>47</v>
      </c>
      <c r="V14" s="79" t="str">
        <f>RIGHT(INDEX('EEPROM-Contents'!$K$4:'EEPROM-Contents'!$K$141,MATCH('EEPROM-Contents'!X8,'EEPROM-Contents'!$I$4:'EEPROM-Contents'!$I$141,0)),2)</f>
        <v>00</v>
      </c>
      <c r="W14" s="79" t="str">
        <f>RIGHT(INDEX('EEPROM-Contents'!$K$4:'EEPROM-Contents'!$K$141,MATCH('EEPROM-Contents'!Y8,'EEPROM-Contents'!$I$4:'EEPROM-Contents'!$I$141,0)),2)</f>
        <v>30</v>
      </c>
      <c r="X14" s="79" t="str">
        <f>RIGHT(INDEX('EEPROM-Contents'!$K$4:'EEPROM-Contents'!$K$141,MATCH('EEPROM-Contents'!Z8,'EEPROM-Contents'!$I$4:'EEPROM-Contents'!$I$141,0)),2)</f>
        <v>18</v>
      </c>
      <c r="Y14" s="79" t="str">
        <f>RIGHT(INDEX('EEPROM-Contents'!$K$4:'EEPROM-Contents'!$K$141,MATCH('EEPROM-Contents'!AA8,'EEPROM-Contents'!$I$4:'EEPROM-Contents'!$I$141,0)),2)</f>
        <v>16</v>
      </c>
      <c r="Z14" s="79" t="str">
        <f>RIGHT(INDEX('EEPROM-Contents'!$K$4:'EEPROM-Contents'!$K$141,MATCH('EEPROM-Contents'!AB8,'EEPROM-Contents'!$I$4:'EEPROM-Contents'!$I$141,0)),2)</f>
        <v>6C</v>
      </c>
      <c r="AA14" s="79" t="str">
        <f>RIGHT(INDEX('EEPROM-Contents'!$K$4:'EEPROM-Contents'!$K$141,MATCH('EEPROM-Contents'!AC8,'EEPROM-Contents'!$I$4:'EEPROM-Contents'!$I$141,0)),2)</f>
        <v>03</v>
      </c>
      <c r="AB14" s="79" t="str">
        <f>RIGHT(INDEX('EEPROM-Contents'!$K$4:'EEPROM-Contents'!$K$141,MATCH('EEPROM-Contents'!AD8,'EEPROM-Contents'!$I$4:'EEPROM-Contents'!$I$141,0)),2)</f>
        <v>60</v>
      </c>
      <c r="AC14" s="79" t="str">
        <f>RIGHT(INDEX('EEPROM-Contents'!$K$4:'EEPROM-Contents'!$K$141,MATCH('EEPROM-Contents'!AE8,'EEPROM-Contents'!$I$4:'EEPROM-Contents'!$I$141,0)),2)</f>
        <v>91</v>
      </c>
      <c r="AD14" s="79" t="str">
        <f>RIGHT(INDEX('EEPROM-Contents'!$K$4:'EEPROM-Contents'!$K$141,MATCH('EEPROM-Contents'!AF8,'EEPROM-Contents'!$I$4:'EEPROM-Contents'!$I$141,0)),2)</f>
        <v>02</v>
      </c>
      <c r="AF14" s="81" t="str">
        <f t="shared" si="4"/>
        <v>1200CD7C0A0000000000CC5BF817239A47003018166C0360910200</v>
      </c>
    </row>
    <row r="15" spans="2:32" x14ac:dyDescent="0.3">
      <c r="B15" s="85">
        <f>'EEPROM-Contents'!B39</f>
        <v>35</v>
      </c>
      <c r="C15" s="74">
        <f t="shared" ca="1" si="2"/>
        <v>4</v>
      </c>
      <c r="D15" s="77" t="str">
        <f ca="1">DEC2HEX(OFFSET('FTS-Initialization'!AC43,0,MATCH($H$4,'FTS-Initialization'!$AD$36:$AE$36,0)),2)</f>
        <v>04</v>
      </c>
      <c r="E15" s="69" t="str">
        <f>'EEPROM-Contents'!L39</f>
        <v>SEN(6) SP3B</v>
      </c>
      <c r="F15" s="70"/>
      <c r="G15" s="73"/>
      <c r="I15" s="101">
        <v>20</v>
      </c>
      <c r="J15" s="101">
        <v>1000</v>
      </c>
      <c r="K15" s="103" t="e">
        <f t="shared" si="3"/>
        <v>#DIV/0!</v>
      </c>
      <c r="L15" s="103" t="e">
        <f t="shared" si="3"/>
        <v>#DIV/0!</v>
      </c>
      <c r="N15" s="78" t="s">
        <v>347</v>
      </c>
      <c r="O15" s="79" t="str">
        <f>RIGHT(INDEX('EEPROM-Contents'!$K$4:'EEPROM-Contents'!$K$141,MATCH('EEPROM-Contents'!Q9,'EEPROM-Contents'!$I$4:'EEPROM-Contents'!$I$141,0)),2)</f>
        <v>0E</v>
      </c>
      <c r="P15" s="79" t="str">
        <f>RIGHT(INDEX('EEPROM-Contents'!$K$4:'EEPROM-Contents'!$K$141,MATCH('EEPROM-Contents'!R9,'EEPROM-Contents'!$I$4:'EEPROM-Contents'!$I$141,0)),2)</f>
        <v>78</v>
      </c>
      <c r="Q15" s="79" t="str">
        <f>RIGHT(INDEX('EEPROM-Contents'!$K$4:'EEPROM-Contents'!$K$141,MATCH('EEPROM-Contents'!S9,'EEPROM-Contents'!$I$4:'EEPROM-Contents'!$I$141,0)),2)</f>
        <v>56</v>
      </c>
      <c r="R15" s="79" t="str">
        <f>RIGHT(INDEX('EEPROM-Contents'!$K$4:'EEPROM-Contents'!$K$141,MATCH('EEPROM-Contents'!T9,'EEPROM-Contents'!$I$4:'EEPROM-Contents'!$I$141,0)),2)</f>
        <v>10</v>
      </c>
      <c r="S15" s="79" t="str">
        <f>RIGHT(INDEX('EEPROM-Contents'!$K$4:'EEPROM-Contents'!$K$141,MATCH('EEPROM-Contents'!U9,'EEPROM-Contents'!$I$4:'EEPROM-Contents'!$I$141,0)),2)</f>
        <v>EA</v>
      </c>
      <c r="T15" s="79" t="str">
        <f>RIGHT(INDEX('EEPROM-Contents'!$K$4:'EEPROM-Contents'!$K$141,MATCH('EEPROM-Contents'!V9,'EEPROM-Contents'!$I$4:'EEPROM-Contents'!$I$141,0)),2)</f>
        <v>2A</v>
      </c>
      <c r="U15" s="79" t="str">
        <f>RIGHT(INDEX('EEPROM-Contents'!$K$4:'EEPROM-Contents'!$K$141,MATCH('EEPROM-Contents'!W9,'EEPROM-Contents'!$I$4:'EEPROM-Contents'!$I$141,0)),2)</f>
        <v>00</v>
      </c>
      <c r="V15" s="79" t="str">
        <f>RIGHT(INDEX('EEPROM-Contents'!$K$4:'EEPROM-Contents'!$K$141,MATCH('EEPROM-Contents'!X9,'EEPROM-Contents'!$I$4:'EEPROM-Contents'!$I$141,0)),2)</f>
        <v>1F</v>
      </c>
      <c r="W15" s="79" t="str">
        <f>RIGHT(INDEX('EEPROM-Contents'!$K$4:'EEPROM-Contents'!$K$141,MATCH('EEPROM-Contents'!Y9,'EEPROM-Contents'!$I$4:'EEPROM-Contents'!$I$141,0)),2)</f>
        <v>41</v>
      </c>
      <c r="X15" s="79" t="str">
        <f>RIGHT(INDEX('EEPROM-Contents'!$K$4:'EEPROM-Contents'!$K$141,MATCH('EEPROM-Contents'!Z9,'EEPROM-Contents'!$I$4:'EEPROM-Contents'!$I$141,0)),2)</f>
        <v>00</v>
      </c>
      <c r="Y15" s="79" t="str">
        <f>RIGHT(INDEX('EEPROM-Contents'!$K$4:'EEPROM-Contents'!$K$141,MATCH('EEPROM-Contents'!AA9,'EEPROM-Contents'!$I$4:'EEPROM-Contents'!$I$141,0)),2)</f>
        <v>00</v>
      </c>
      <c r="Z15" s="84" t="str">
        <f>RIGHT(INDEX($D$9:$D$47,MATCH('EEPROM-Contents'!AB9,$B$9:$B$47,0)),2)</f>
        <v>00</v>
      </c>
      <c r="AA15" s="84" t="str">
        <f>RIGHT(INDEX($D$9:$D$47,MATCH('EEPROM-Contents'!AC9,$B$9:$B$47,0)),2)</f>
        <v>CD</v>
      </c>
      <c r="AB15" s="84" t="str">
        <f>RIGHT(INDEX($D$9:$D$47,MATCH('EEPROM-Contents'!AD9,$B$9:$B$47,0)),2)</f>
        <v>7C</v>
      </c>
      <c r="AC15" s="84" t="str">
        <f>RIGHT(INDEX($D$9:$D$47,MATCH('EEPROM-Contents'!AE9,$B$9:$B$47,0)),2)</f>
        <v>0A</v>
      </c>
      <c r="AD15" s="84" t="str">
        <f>RIGHT(INDEX($D$9:$D$47,MATCH('EEPROM-Contents'!AF9,$B$9:$B$47,0)),2)</f>
        <v>89</v>
      </c>
      <c r="AF15" s="81" t="str">
        <f t="shared" si="4"/>
        <v>1200CD7C0A00000000000E785610EA2A001F41000000CD7C0A8900</v>
      </c>
    </row>
    <row r="16" spans="2:32" x14ac:dyDescent="0.3">
      <c r="B16" s="85">
        <f>'EEPROM-Contents'!B40</f>
        <v>36</v>
      </c>
      <c r="C16" s="74">
        <f t="shared" ca="1" si="2"/>
        <v>4</v>
      </c>
      <c r="D16" s="77" t="str">
        <f ca="1">DEC2HEX(OFFSET('FTS-Initialization'!AC44,0,MATCH($H$4,'FTS-Initialization'!$AD$36:$AE$36,0)),2)</f>
        <v>04</v>
      </c>
      <c r="E16" s="69" t="str">
        <f>'EEPROM-Contents'!L40</f>
        <v>SEN(7) SP2B</v>
      </c>
      <c r="F16" s="70"/>
      <c r="G16" s="73"/>
      <c r="I16" s="101">
        <v>30</v>
      </c>
      <c r="J16" s="101">
        <v>1500</v>
      </c>
      <c r="K16" s="103" t="e">
        <f t="shared" si="3"/>
        <v>#DIV/0!</v>
      </c>
      <c r="L16" s="103" t="e">
        <f t="shared" si="3"/>
        <v>#DIV/0!</v>
      </c>
      <c r="N16" s="78" t="s">
        <v>348</v>
      </c>
      <c r="O16" s="84" t="str">
        <f ca="1">RIGHT(INDEX($D$9:$D$47,MATCH('EEPROM-Contents'!Q10,$B$9:$B$47,0)),2)</f>
        <v>07</v>
      </c>
      <c r="P16" s="84" t="str">
        <f ca="1">RIGHT(INDEX($D$9:$D$47,MATCH('EEPROM-Contents'!R10,$B$9:$B$47,0)),2)</f>
        <v>01</v>
      </c>
      <c r="Q16" s="84" t="str">
        <f ca="1">RIGHT(INDEX($D$9:$D$47,MATCH('EEPROM-Contents'!S10,$B$9:$B$47,0)),2)</f>
        <v>03</v>
      </c>
      <c r="R16" s="84" t="str">
        <f>RIGHT(INDEX($D$9:$D$47,MATCH('EEPROM-Contents'!T10,$B$9:$B$47,0)),2)</f>
        <v>03</v>
      </c>
      <c r="S16" s="84" t="str">
        <f>RIGHT(INDEX($D$9:$D$47,MATCH('EEPROM-Contents'!U10,$B$9:$B$47,0)),2)</f>
        <v>F5</v>
      </c>
      <c r="T16" s="84" t="str">
        <f>RIGHT(INDEX($D$9:$D$47,MATCH('EEPROM-Contents'!V10,$B$9:$B$47,0)),2)</f>
        <v>00</v>
      </c>
      <c r="U16" s="84" t="str">
        <f>RIGHT(INDEX($D$9:$D$47,MATCH('EEPROM-Contents'!W10,$B$9:$B$47,0)),2)</f>
        <v>00</v>
      </c>
      <c r="V16" s="84" t="str">
        <f>RIGHT(INDEX($D$9:$D$47,MATCH('EEPROM-Contents'!X10,$B$9:$B$47,0)),2)</f>
        <v>27</v>
      </c>
      <c r="W16" s="84" t="str">
        <f>RIGHT(INDEX($D$9:$D$47,MATCH('EEPROM-Contents'!Y10,$B$9:$B$47,0)),2)</f>
        <v>0F</v>
      </c>
      <c r="X16" s="84" t="str">
        <f>RIGHT(INDEX($D$9:$D$47,MATCH('EEPROM-Contents'!Z10,$B$9:$B$47,0)),2)</f>
        <v>80</v>
      </c>
      <c r="Y16" s="84" t="str">
        <f>RIGHT(INDEX($D$9:$D$47,MATCH('EEPROM-Contents'!AA10,$B$9:$B$47,0)),2)</f>
        <v>00</v>
      </c>
      <c r="Z16" s="84" t="str">
        <f>RIGHT(INDEX($D$9:$D$47,MATCH('EEPROM-Contents'!AB10,$B$9:$B$47,0)),2)</f>
        <v>80</v>
      </c>
      <c r="AA16" s="84" t="str">
        <f>RIGHT(INDEX($D$9:$D$47,MATCH('EEPROM-Contents'!AC10,$B$9:$B$47,0)),2)</f>
        <v>00</v>
      </c>
      <c r="AB16" s="84" t="e">
        <f>RIGHT(INDEX($D$9:$D$47,MATCH('EEPROM-Contents'!AD10,$B$9:$B$47,0)),2)</f>
        <v>#DIV/0!</v>
      </c>
      <c r="AC16" s="84" t="e">
        <f>RIGHT(INDEX($D$9:$D$47,MATCH('EEPROM-Contents'!AE10,$B$9:$B$47,0)),2)</f>
        <v>#DIV/0!</v>
      </c>
      <c r="AD16" s="84" t="str">
        <f>RIGHT(INDEX($D$9:$D$47,MATCH('EEPROM-Contents'!AF10,$B$9:$B$47,0)),2)</f>
        <v>00</v>
      </c>
      <c r="AF16" s="81" t="e">
        <f t="shared" ref="AF16:AF21" ca="1" si="5">CONCATENATE($O$5,$P$5,$Q$5,$R$5,$S$5,$T$5,$U$5,$V$5,$W$5,$X$5,O16,P16,Q16,R16,S16,T16,U16,V16,W16,X16,Y16,Z16,AA16,AB16,AC16,AD16,"00")</f>
        <v>#DIV/0!</v>
      </c>
    </row>
    <row r="17" spans="2:32" x14ac:dyDescent="0.3">
      <c r="B17" s="85">
        <f>'EEPROM-Contents'!B41</f>
        <v>37</v>
      </c>
      <c r="C17" s="74">
        <f t="shared" ca="1" si="2"/>
        <v>4</v>
      </c>
      <c r="D17" s="77" t="str">
        <f ca="1">DEC2HEX(OFFSET('FTS-Initialization'!AC45,0,MATCH($H$4,'FTS-Initialization'!$AD$36:$AE$36,0)),2)</f>
        <v>04</v>
      </c>
      <c r="E17" s="69" t="str">
        <f>'EEPROM-Contents'!L41</f>
        <v>SEN(8) SP1B</v>
      </c>
      <c r="F17" s="70"/>
      <c r="G17" s="73"/>
      <c r="I17" s="101">
        <v>40</v>
      </c>
      <c r="J17" s="101">
        <v>2000</v>
      </c>
      <c r="K17" s="103" t="e">
        <f t="shared" si="3"/>
        <v>#DIV/0!</v>
      </c>
      <c r="L17" s="103" t="e">
        <f t="shared" si="3"/>
        <v>#DIV/0!</v>
      </c>
      <c r="N17" s="78" t="s">
        <v>349</v>
      </c>
      <c r="O17" s="84" t="str">
        <f>RIGHT(INDEX($D$9:$D$47,MATCH('EEPROM-Contents'!Q11,$B$9:$B$47,0)),2)</f>
        <v>00</v>
      </c>
      <c r="P17" s="84" t="str">
        <f>RIGHT(INDEX($D$9:$D$47,MATCH('EEPROM-Contents'!R11,$B$9:$B$47,0)),2)</f>
        <v>FF</v>
      </c>
      <c r="Q17" s="84" t="e">
        <f>RIGHT(INDEX($D$9:$D$47,MATCH('EEPROM-Contents'!S11,$B$9:$B$47,0)),2)</f>
        <v>#DIV/0!</v>
      </c>
      <c r="R17" s="84" t="e">
        <f>RIGHT(INDEX($D$9:$D$47,MATCH('EEPROM-Contents'!T11,$B$9:$B$47,0)),2)</f>
        <v>#DIV/0!</v>
      </c>
      <c r="S17" s="84" t="e">
        <f ca="1">RIGHT(INDEX($D$9:$D$47,MATCH('EEPROM-Contents'!U11,$B$9:$B$47,0)),2)</f>
        <v>#DIV/0!</v>
      </c>
      <c r="T17" s="79" t="str">
        <f>RIGHT(INDEX('EEPROM-Contents'!$K$4:'EEPROM-Contents'!$K$141,MATCH('EEPROM-Contents'!V11,'EEPROM-Contents'!$I$4:'EEPROM-Contents'!$I$141,0)),2)</f>
        <v>01</v>
      </c>
      <c r="U17" s="84" t="e">
        <f>RIGHT(INDEX($U$45:$U$66,MATCH('EEPROM-Contents'!W11,$S$45:$S$66,0)),2)</f>
        <v>#DIV/0!</v>
      </c>
      <c r="V17" s="84" t="e">
        <f>RIGHT(INDEX($U$45:$U$66,MATCH('EEPROM-Contents'!X11,$S$45:$S$66,0)),2)</f>
        <v>#DIV/0!</v>
      </c>
      <c r="W17" s="84" t="e">
        <f>RIGHT(INDEX($U$45:$U$66,MATCH('EEPROM-Contents'!Y11,$S$45:$S$66,0)),2)</f>
        <v>#VALUE!</v>
      </c>
      <c r="X17" s="84" t="e">
        <f>RIGHT(INDEX($U$45:$U$66,MATCH('EEPROM-Contents'!Z11,$S$45:$S$66,0)),2)</f>
        <v>#VALUE!</v>
      </c>
      <c r="Y17" s="84" t="e">
        <f>RIGHT(INDEX($U$45:$U$66,MATCH('EEPROM-Contents'!AA11,$S$45:$S$66,0)),2)</f>
        <v>#VALUE!</v>
      </c>
      <c r="Z17" s="84" t="e">
        <f>RIGHT(INDEX($U$45:$U$66,MATCH('EEPROM-Contents'!AB11,$S$45:$S$66,0)),2)</f>
        <v>#VALUE!</v>
      </c>
      <c r="AA17" s="84" t="e">
        <f>RIGHT(INDEX($U$45:$U$66,MATCH('EEPROM-Contents'!AC11,$S$45:$S$66,0)),2)</f>
        <v>#VALUE!</v>
      </c>
      <c r="AB17" s="84" t="e">
        <f>RIGHT(INDEX($U$45:$U$66,MATCH('EEPROM-Contents'!AD11,$S$45:$S$66,0)),2)</f>
        <v>#VALUE!</v>
      </c>
      <c r="AC17" s="84" t="e">
        <f>RIGHT(INDEX($U$45:$U$66,MATCH('EEPROM-Contents'!AE11,$S$45:$S$66,0)),2)</f>
        <v>#VALUE!</v>
      </c>
      <c r="AD17" s="84" t="e">
        <f>RIGHT(INDEX($U$45:$U$66,MATCH('EEPROM-Contents'!AF11,$S$45:$S$66,0)),2)</f>
        <v>#VALUE!</v>
      </c>
      <c r="AF17" s="81" t="e">
        <f t="shared" ca="1" si="5"/>
        <v>#DIV/0!</v>
      </c>
    </row>
    <row r="18" spans="2:32" x14ac:dyDescent="0.3">
      <c r="B18" s="85">
        <f>'EEPROM-Contents'!B42</f>
        <v>38</v>
      </c>
      <c r="C18" s="74">
        <f t="shared" ca="1" si="2"/>
        <v>4</v>
      </c>
      <c r="D18" s="77" t="str">
        <f ca="1">DEC2HEX(OFFSET('FTS-Initialization'!AC46,0,MATCH($H$4,'FTS-Initialization'!$AD$36:$AE$36,0)),2)</f>
        <v>04</v>
      </c>
      <c r="E18" s="69" t="str">
        <f>'EEPROM-Contents'!L42</f>
        <v>SEN(9) CP1B</v>
      </c>
      <c r="F18" s="70"/>
      <c r="G18" s="73"/>
      <c r="I18" s="27"/>
      <c r="J18" s="27"/>
      <c r="K18" s="27"/>
      <c r="L18" s="27"/>
      <c r="N18" s="78" t="s">
        <v>350</v>
      </c>
      <c r="O18" s="84" t="e">
        <f>RIGHT(INDEX($U$45:$U$66,MATCH('EEPROM-Contents'!Q12,$S$45:$S$66,0)),2)</f>
        <v>#VALUE!</v>
      </c>
      <c r="P18" s="84" t="e">
        <f>RIGHT(INDEX($U$45:$U$66,MATCH('EEPROM-Contents'!R12,$S$45:$S$66,0)),2)</f>
        <v>#VALUE!</v>
      </c>
      <c r="Q18" s="84" t="e">
        <f>RIGHT(INDEX($U$45:$U$66,MATCH('EEPROM-Contents'!S12,$S$45:$S$66,0)),2)</f>
        <v>#VALUE!</v>
      </c>
      <c r="R18" s="84" t="e">
        <f>RIGHT(INDEX($U$45:$U$66,MATCH('EEPROM-Contents'!T12,$S$45:$S$66,0)),2)</f>
        <v>#VALUE!</v>
      </c>
      <c r="S18" s="84" t="e">
        <f>RIGHT(INDEX($U$45:$U$66,MATCH('EEPROM-Contents'!U12,$S$45:$S$66,0)),2)</f>
        <v>#VALUE!</v>
      </c>
      <c r="T18" s="84" t="e">
        <f>RIGHT(INDEX($U$45:$U$66,MATCH('EEPROM-Contents'!V12,$S$45:$S$66,0)),2)</f>
        <v>#VALUE!</v>
      </c>
      <c r="U18" s="84" t="e">
        <f>RIGHT(INDEX($U$45:$U$66,MATCH('EEPROM-Contents'!W12,$S$45:$S$66,0)),2)</f>
        <v>#VALUE!</v>
      </c>
      <c r="V18" s="84" t="e">
        <f>RIGHT(INDEX($U$45:$U$66,MATCH('EEPROM-Contents'!X12,$S$45:$S$66,0)),2)</f>
        <v>#VALUE!</v>
      </c>
      <c r="W18" s="84" t="str">
        <f>RIGHT(INDEX($U$45:$U$66,MATCH('EEPROM-Contents'!Y12,$S$45:$S$66,0)),2)</f>
        <v>FF</v>
      </c>
      <c r="X18" s="84" t="e">
        <f>RIGHT(INDEX($U$45:$U$66,MATCH('EEPROM-Contents'!Z12,$S$45:$S$66,0)),2)</f>
        <v>#DIV/0!</v>
      </c>
      <c r="Y18" s="84" t="e">
        <f>RIGHT(INDEX($U$45:$U$66,MATCH('EEPROM-Contents'!AA12,$S$45:$S$66,0)),2)</f>
        <v>#DIV/0!</v>
      </c>
      <c r="Z18" s="84" t="e">
        <f ca="1">RIGHT(INDEX($U$45:$U$66,MATCH('EEPROM-Contents'!AB12,$S$45:$S$66,0)),2)</f>
        <v>#DIV/0!</v>
      </c>
      <c r="AA18" s="79" t="str">
        <f>RIGHT(INDEX('EEPROM-Contents'!$K$4:'EEPROM-Contents'!$K$141,MATCH('EEPROM-Contents'!AC12,'EEPROM-Contents'!$I$4:'EEPROM-Contents'!$I$141,0)),2)</f>
        <v>02</v>
      </c>
      <c r="AB18" s="84" t="e">
        <f>RIGHT(INDEX($U$45:$U$66,MATCH('EEPROM-Contents'!AD12,$S$45:$S$66,0)),2)</f>
        <v>#DIV/0!</v>
      </c>
      <c r="AC18" s="84" t="e">
        <f>RIGHT(INDEX($U$45:$U$66,MATCH('EEPROM-Contents'!AE12,$S$45:$S$66,0)),2)</f>
        <v>#DIV/0!</v>
      </c>
      <c r="AD18" s="84" t="e">
        <f>RIGHT(INDEX($U$45:$U$66,MATCH('EEPROM-Contents'!AF12,$S$45:$S$66,0)),2)</f>
        <v>#VALUE!</v>
      </c>
      <c r="AF18" s="81" t="e">
        <f t="shared" ca="1" si="5"/>
        <v>#VALUE!</v>
      </c>
    </row>
    <row r="19" spans="2:32" x14ac:dyDescent="0.3">
      <c r="B19" s="85">
        <f>'EEPROM-Contents'!I19</f>
        <v>15</v>
      </c>
      <c r="C19" s="77">
        <f t="shared" si="2"/>
        <v>239</v>
      </c>
      <c r="D19" s="77" t="str">
        <f>'FTS-Initialization'!AA32</f>
        <v>EF</v>
      </c>
      <c r="E19" s="69" t="str">
        <f>'EEPROM-Contents'!L19</f>
        <v>GAINC</v>
      </c>
      <c r="F19" s="70"/>
      <c r="G19" s="73"/>
      <c r="I19" s="27"/>
      <c r="J19" s="27"/>
      <c r="K19" s="27"/>
      <c r="L19" s="27"/>
      <c r="N19" s="78" t="s">
        <v>351</v>
      </c>
      <c r="O19" s="84" t="e">
        <f>RIGHT(INDEX($U$45:$U$66,MATCH('EEPROM-Contents'!Q13,$S$45:$S$66,0)),2)</f>
        <v>#VALUE!</v>
      </c>
      <c r="P19" s="84" t="e">
        <f>RIGHT(INDEX($U$45:$U$66,MATCH('EEPROM-Contents'!R13,$S$45:$S$66,0)),2)</f>
        <v>#VALUE!</v>
      </c>
      <c r="Q19" s="84" t="e">
        <f>RIGHT(INDEX($U$45:$U$66,MATCH('EEPROM-Contents'!S13,$S$45:$S$66,0)),2)</f>
        <v>#VALUE!</v>
      </c>
      <c r="R19" s="84" t="e">
        <f>RIGHT(INDEX($U$45:$U$66,MATCH('EEPROM-Contents'!T13,$S$45:$S$66,0)),2)</f>
        <v>#VALUE!</v>
      </c>
      <c r="S19" s="84" t="e">
        <f>RIGHT(INDEX($U$45:$U$66,MATCH('EEPROM-Contents'!U13,$S$45:$S$66,0)),2)</f>
        <v>#VALUE!</v>
      </c>
      <c r="T19" s="84" t="e">
        <f>RIGHT(INDEX($U$45:$U$66,MATCH('EEPROM-Contents'!V13,$S$45:$S$66,0)),2)</f>
        <v>#VALUE!</v>
      </c>
      <c r="U19" s="84" t="e">
        <f>RIGHT(INDEX($U$45:$U$66,MATCH('EEPROM-Contents'!W13,$S$45:$S$66,0)),2)</f>
        <v>#VALUE!</v>
      </c>
      <c r="V19" s="84" t="e">
        <f>RIGHT(INDEX($U$45:$U$66,MATCH('EEPROM-Contents'!X13,$S$45:$S$66,0)),2)</f>
        <v>#VALUE!</v>
      </c>
      <c r="W19" s="84" t="e">
        <f>RIGHT(INDEX($U$45:$U$66,MATCH('EEPROM-Contents'!Y13,$S$45:$S$66,0)),2)</f>
        <v>#VALUE!</v>
      </c>
      <c r="X19" s="84" t="e">
        <f>RIGHT(INDEX($U$45:$U$66,MATCH('EEPROM-Contents'!Z13,$S$45:$S$66,0)),2)</f>
        <v>#VALUE!</v>
      </c>
      <c r="Y19" s="84" t="e">
        <f>RIGHT(INDEX($U$45:$U$66,MATCH('EEPROM-Contents'!AA13,$S$45:$S$66,0)),2)</f>
        <v>#VALUE!</v>
      </c>
      <c r="Z19" s="84" t="e">
        <f>RIGHT(INDEX($U$45:$U$66,MATCH('EEPROM-Contents'!AB13,$S$45:$S$66,0)),2)</f>
        <v>#VALUE!</v>
      </c>
      <c r="AA19" s="84" t="e">
        <f>RIGHT(INDEX($U$45:$U$66,MATCH('EEPROM-Contents'!AC13,$S$45:$S$66,0)),2)</f>
        <v>#VALUE!</v>
      </c>
      <c r="AB19" s="84" t="e">
        <f>RIGHT(INDEX($U$45:$U$66,MATCH('EEPROM-Contents'!AD13,$S$45:$S$66,0)),2)</f>
        <v>#VALUE!</v>
      </c>
      <c r="AC19" s="84" t="e">
        <f>RIGHT(INDEX($U$45:$U$66,MATCH('EEPROM-Contents'!AE13,$S$45:$S$66,0)),2)</f>
        <v>#VALUE!</v>
      </c>
      <c r="AD19" s="84" t="str">
        <f>RIGHT(INDEX($U$45:$U$66,MATCH('EEPROM-Contents'!AF13,$S$45:$S$66,0)),2)</f>
        <v>FF</v>
      </c>
      <c r="AF19" s="81" t="e">
        <f t="shared" si="5"/>
        <v>#VALUE!</v>
      </c>
    </row>
    <row r="20" spans="2:32" x14ac:dyDescent="0.3">
      <c r="B20" s="85">
        <f>'EEPROM-Contents'!B51</f>
        <v>47</v>
      </c>
      <c r="C20" s="74">
        <f t="shared" ref="C20:C21" si="6">HEX2DEC(D20)</f>
        <v>132</v>
      </c>
      <c r="D20" s="77">
        <f>$G$4</f>
        <v>84</v>
      </c>
      <c r="E20" s="69" t="str">
        <f>'EEPROM-Contents'!E51</f>
        <v>PATBL</v>
      </c>
      <c r="F20" s="70"/>
      <c r="G20" s="73"/>
      <c r="I20" s="183"/>
      <c r="J20" s="187" t="s">
        <v>514</v>
      </c>
      <c r="K20" s="184"/>
      <c r="L20" s="185"/>
      <c r="N20" s="78" t="s">
        <v>352</v>
      </c>
      <c r="O20" s="84" t="e">
        <f>RIGHT(INDEX($U$45:$U$66,MATCH('EEPROM-Contents'!Q14,$S$45:$S$66,0)),2)</f>
        <v>#DIV/0!</v>
      </c>
      <c r="P20" s="84" t="e">
        <f>RIGHT(INDEX($U$45:$U$66,MATCH('EEPROM-Contents'!R14,$S$45:$S$66,0)),2)</f>
        <v>#DIV/0!</v>
      </c>
      <c r="Q20" s="84" t="e">
        <f ca="1">RIGHT(INDEX($U$45:$U$66,MATCH('EEPROM-Contents'!S14,$S$45:$S$66,0)),2)</f>
        <v>#DIV/0!</v>
      </c>
      <c r="R20" s="79" t="str">
        <f>RIGHT(INDEX('EEPROM-Contents'!$K$4:'EEPROM-Contents'!$K$141,MATCH('EEPROM-Contents'!T14,'EEPROM-Contents'!$I$4:'EEPROM-Contents'!$I$141,0)),2)</f>
        <v>03</v>
      </c>
      <c r="S20" s="84" t="str">
        <f>RIGHT(INDEX($D$9:$D$47,MATCH('EEPROM-Contents'!U14,$B$9:$B$47,0)),2)</f>
        <v>89</v>
      </c>
      <c r="T20" s="84" t="str">
        <f ca="1">RIGHT(INDEX($D$9:$D$47,MATCH('EEPROM-Contents'!V14,$B$9:$B$47,0)),2)</f>
        <v>07</v>
      </c>
      <c r="U20" s="84" t="str">
        <f ca="1">RIGHT(INDEX($D$9:$D$47,MATCH('EEPROM-Contents'!W14,$B$9:$B$47,0)),2)</f>
        <v>01</v>
      </c>
      <c r="V20" s="84" t="str">
        <f ca="1">RIGHT(INDEX($D$9:$D$47,MATCH('EEPROM-Contents'!X14,$B$9:$B$47,0)),2)</f>
        <v>03</v>
      </c>
      <c r="W20" s="84" t="str">
        <f>RIGHT(INDEX($D$9:$D$47,MATCH('EEPROM-Contents'!Y14,$B$9:$B$47,0)),2)</f>
        <v>03</v>
      </c>
      <c r="X20" s="84" t="str">
        <f>RIGHT(INDEX($D$9:$D$47,MATCH('EEPROM-Contents'!Z14,$B$9:$B$47,0)),2)</f>
        <v>F5</v>
      </c>
      <c r="Y20" s="84" t="str">
        <f>RIGHT(INDEX($D$9:$D$47,MATCH('EEPROM-Contents'!AA14,$B$9:$B$47,0)),2)</f>
        <v>00</v>
      </c>
      <c r="Z20" s="84" t="str">
        <f>RIGHT(INDEX($D$9:$D$47,MATCH('EEPROM-Contents'!AB14,$B$9:$B$47,0)),2)</f>
        <v>00</v>
      </c>
      <c r="AA20" s="84" t="str">
        <f>RIGHT(INDEX($D$9:$D$47,MATCH('EEPROM-Contents'!AC14,$B$9:$B$47,0)),2)</f>
        <v>27</v>
      </c>
      <c r="AB20" s="84" t="str">
        <f>RIGHT(INDEX($D$9:$D$47,MATCH('EEPROM-Contents'!AD14,$B$9:$B$47,0)),2)</f>
        <v>0F</v>
      </c>
      <c r="AC20" s="84" t="str">
        <f>RIGHT(INDEX($D$9:$D$47,MATCH('EEPROM-Contents'!AE14,$B$9:$B$47,0)),2)</f>
        <v>80</v>
      </c>
      <c r="AD20" s="84" t="str">
        <f>RIGHT(INDEX($D$9:$D$47,MATCH('EEPROM-Contents'!AF14,$B$9:$B$47,0)),2)</f>
        <v>00</v>
      </c>
      <c r="AF20" s="81" t="e">
        <f t="shared" ca="1" si="5"/>
        <v>#DIV/0!</v>
      </c>
    </row>
    <row r="21" spans="2:32" x14ac:dyDescent="0.3">
      <c r="B21" s="85">
        <f>'EEPROM-Contents'!B63</f>
        <v>59</v>
      </c>
      <c r="C21" s="74">
        <f t="shared" si="6"/>
        <v>10</v>
      </c>
      <c r="D21" s="77" t="str">
        <f>DEC2HEX(2*$C$4,2)</f>
        <v>0A</v>
      </c>
      <c r="E21" s="69" t="str">
        <f>'EEPROM-Contents'!E63</f>
        <v>CHANNR</v>
      </c>
      <c r="F21" s="70"/>
      <c r="G21" s="73"/>
      <c r="I21" s="94"/>
      <c r="J21" s="94" t="s">
        <v>509</v>
      </c>
      <c r="K21" s="94" t="s">
        <v>804</v>
      </c>
      <c r="L21" s="94" t="s">
        <v>803</v>
      </c>
      <c r="N21" s="78" t="s">
        <v>353</v>
      </c>
      <c r="O21" s="84" t="str">
        <f>RIGHT(INDEX($D$9:$D$47,MATCH('EEPROM-Contents'!Q15,$B$9:$B$47,0)),2)</f>
        <v>80</v>
      </c>
      <c r="P21" s="84" t="str">
        <f>RIGHT(INDEX($D$9:$D$47,MATCH('EEPROM-Contents'!R15,$B$9:$B$47,0)),2)</f>
        <v>00</v>
      </c>
      <c r="Q21" s="84" t="e">
        <f>RIGHT(INDEX($D$9:$D$47,MATCH('EEPROM-Contents'!S15,$B$9:$B$47,0)),2)</f>
        <v>#DIV/0!</v>
      </c>
      <c r="R21" s="84" t="e">
        <f>RIGHT(INDEX($D$9:$D$47,MATCH('EEPROM-Contents'!T15,$B$9:$B$47,0)),2)</f>
        <v>#DIV/0!</v>
      </c>
      <c r="S21" s="84" t="str">
        <f>RIGHT(INDEX($D$9:$D$47,MATCH('EEPROM-Contents'!U15,$B$9:$B$47,0)),2)</f>
        <v>00</v>
      </c>
      <c r="T21" s="84" t="str">
        <f>RIGHT(INDEX($D$9:$D$47,MATCH('EEPROM-Contents'!V15,$B$9:$B$47,0)),2)</f>
        <v>00</v>
      </c>
      <c r="U21" s="84" t="str">
        <f>RIGHT(INDEX($D$9:$D$47,MATCH('EEPROM-Contents'!W15,$B$9:$B$47,0)),2)</f>
        <v>FF</v>
      </c>
      <c r="V21" s="84" t="e">
        <f>RIGHT(INDEX($D$9:$D$47,MATCH('EEPROM-Contents'!X15,$B$9:$B$47,0)),2)</f>
        <v>#DIV/0!</v>
      </c>
      <c r="W21" s="84" t="e">
        <f>RIGHT(INDEX($D$9:$D$47,MATCH('EEPROM-Contents'!Y15,$B$9:$B$47,0)),2)</f>
        <v>#DIV/0!</v>
      </c>
      <c r="X21" s="84" t="e">
        <f ca="1">RIGHT(INDEX($D$9:$D$47,MATCH('EEPROM-Contents'!Z15,$B$9:$B$47,0)),2)</f>
        <v>#DIV/0!</v>
      </c>
      <c r="Y21" s="79" t="str">
        <f>RIGHT(INDEX('EEPROM-Contents'!$K$4:'EEPROM-Contents'!$K$141,MATCH('EEPROM-Contents'!AA15,'EEPROM-Contents'!$I$4:'EEPROM-Contents'!$I$141,0)),2)</f>
        <v>04</v>
      </c>
      <c r="Z21" s="84" t="str">
        <f>RIGHT(INDEX($D$9:$D$47,MATCH('EEPROM-Contents'!AB15,$B$9:$B$47,0)),2)</f>
        <v>89</v>
      </c>
      <c r="AA21" s="84" t="str">
        <f ca="1">RIGHT(INDEX($D$9:$D$47,MATCH('EEPROM-Contents'!AC15,$B$9:$B$47,0)),2)</f>
        <v>07</v>
      </c>
      <c r="AB21" s="84" t="str">
        <f ca="1">RIGHT(INDEX($D$9:$D$47,MATCH('EEPROM-Contents'!AD15,$B$9:$B$47,0)),2)</f>
        <v>01</v>
      </c>
      <c r="AC21" s="84" t="str">
        <f ca="1">RIGHT(INDEX($D$9:$D$47,MATCH('EEPROM-Contents'!AE15,$B$9:$B$47,0)),2)</f>
        <v>03</v>
      </c>
      <c r="AD21" s="84" t="str">
        <f>RIGHT(INDEX($D$9:$D$47,MATCH('EEPROM-Contents'!AF15,$B$9:$B$47,0)),2)</f>
        <v>03</v>
      </c>
      <c r="AF21" s="81" t="e">
        <f t="shared" ca="1" si="5"/>
        <v>#DIV/0!</v>
      </c>
    </row>
    <row r="22" spans="2:32" x14ac:dyDescent="0.3">
      <c r="B22" s="85">
        <f>'EEPROM-Contents'!B95</f>
        <v>91</v>
      </c>
      <c r="C22" s="77">
        <f>HEX2DEC(D22)</f>
        <v>0</v>
      </c>
      <c r="D22" s="77" t="str">
        <f>LEFT(RIGHT($E$5,8),2)</f>
        <v>00</v>
      </c>
      <c r="E22" s="69" t="str">
        <f>'EEPROM-Contents'!L95</f>
        <v>Device ID</v>
      </c>
      <c r="F22" s="70"/>
      <c r="G22" s="73"/>
      <c r="I22" s="94" t="s">
        <v>513</v>
      </c>
      <c r="J22" s="230">
        <f>ROUND(I157,0)</f>
        <v>32768</v>
      </c>
      <c r="K22" s="230">
        <f>ROUND(I158,0)</f>
        <v>32768</v>
      </c>
      <c r="L22" s="230">
        <f>ROUND(I159,0)</f>
        <v>32768</v>
      </c>
      <c r="N22" s="78" t="s">
        <v>354</v>
      </c>
      <c r="O22" s="84" t="str">
        <f>RIGHT(INDEX($D$9:$D$47,MATCH('EEPROM-Contents'!Q16,$B$9:$B$47,0)),2)</f>
        <v>F5</v>
      </c>
      <c r="P22" s="84" t="str">
        <f>RIGHT(INDEX($D$9:$D$47,MATCH('EEPROM-Contents'!R16,$B$9:$B$47,0)),2)</f>
        <v>00</v>
      </c>
      <c r="Q22" s="84" t="str">
        <f>RIGHT(INDEX($D$9:$D$47,MATCH('EEPROM-Contents'!S16,$B$9:$B$47,0)),2)</f>
        <v>00</v>
      </c>
      <c r="R22" s="84" t="str">
        <f>RIGHT(INDEX($D$9:$D$47,MATCH('EEPROM-Contents'!T16,$B$9:$B$47,0)),2)</f>
        <v>27</v>
      </c>
      <c r="S22" s="84" t="str">
        <f>RIGHT(INDEX($D$9:$D$47,MATCH('EEPROM-Contents'!U16,$B$9:$B$47,0)),2)</f>
        <v>0F</v>
      </c>
      <c r="T22" s="84" t="str">
        <f>RIGHT(INDEX($D$9:$D$47,MATCH('EEPROM-Contents'!V16,$B$9:$B$47,0)),2)</f>
        <v>80</v>
      </c>
      <c r="U22" s="84" t="str">
        <f>RIGHT(INDEX($D$9:$D$47,MATCH('EEPROM-Contents'!W16,$B$9:$B$47,0)),2)</f>
        <v>00</v>
      </c>
      <c r="V22" s="84" t="str">
        <f>RIGHT(INDEX($D$9:$D$47,MATCH('EEPROM-Contents'!X16,$B$9:$B$47,0)),2)</f>
        <v>80</v>
      </c>
      <c r="W22" s="84" t="str">
        <f>RIGHT(INDEX($D$9:$D$47,MATCH('EEPROM-Contents'!Y16,$B$9:$B$47,0)),2)</f>
        <v>00</v>
      </c>
      <c r="X22" s="84" t="e">
        <f>RIGHT(INDEX($D$9:$D$47,MATCH('EEPROM-Contents'!Z16,$B$9:$B$47,0)),2)</f>
        <v>#DIV/0!</v>
      </c>
      <c r="Y22" s="84" t="e">
        <f>RIGHT(INDEX($D$9:$D$47,MATCH('EEPROM-Contents'!AA16,$B$9:$B$47,0)),2)</f>
        <v>#DIV/0!</v>
      </c>
      <c r="Z22" s="84" t="str">
        <f>RIGHT(INDEX($D$9:$D$47,MATCH('EEPROM-Contents'!AB16,$B$9:$B$47,0)),2)</f>
        <v>00</v>
      </c>
      <c r="AA22" s="84" t="str">
        <f>RIGHT(INDEX($D$9:$D$47,MATCH('EEPROM-Contents'!AC16,$B$9:$B$47,0)),2)</f>
        <v>00</v>
      </c>
      <c r="AB22" s="84" t="str">
        <f>RIGHT(INDEX($D$9:$D$47,MATCH('EEPROM-Contents'!AD16,$B$9:$B$47,0)),2)</f>
        <v>FF</v>
      </c>
      <c r="AC22" s="84" t="e">
        <f>RIGHT(INDEX($D$9:$D$47,MATCH('EEPROM-Contents'!AE16,$B$9:$B$47,0)),2)</f>
        <v>#DIV/0!</v>
      </c>
      <c r="AD22" s="84" t="e">
        <f>RIGHT(INDEX($D$9:$D$47,MATCH('EEPROM-Contents'!AF16,$B$9:$B$47,0)),2)</f>
        <v>#DIV/0!</v>
      </c>
      <c r="AF22" s="81" t="e">
        <f t="shared" si="4"/>
        <v>#DIV/0!</v>
      </c>
    </row>
    <row r="23" spans="2:32" x14ac:dyDescent="0.3">
      <c r="B23" s="85">
        <f>'EEPROM-Contents'!B96</f>
        <v>92</v>
      </c>
      <c r="C23" s="77">
        <f t="shared" ref="C23:C43" si="7">HEX2DEC(D23)</f>
        <v>205</v>
      </c>
      <c r="D23" s="77" t="str">
        <f>LEFT(RIGHT($E$5,6),2)</f>
        <v>CD</v>
      </c>
      <c r="E23" s="69" t="str">
        <f>'EEPROM-Contents'!L96</f>
        <v>Device ID</v>
      </c>
      <c r="F23" s="70"/>
      <c r="G23" s="73"/>
      <c r="I23" s="94" t="s">
        <v>511</v>
      </c>
      <c r="J23" s="230" t="str">
        <f>LEFT(DEC2HEX(J22,4),2)</f>
        <v>80</v>
      </c>
      <c r="K23" s="230" t="str">
        <f t="shared" ref="K23:L23" si="8">LEFT(DEC2HEX(K22,4),2)</f>
        <v>80</v>
      </c>
      <c r="L23" s="230" t="str">
        <f t="shared" si="8"/>
        <v>80</v>
      </c>
      <c r="N23" s="78" t="s">
        <v>355</v>
      </c>
      <c r="O23" s="84" t="e">
        <f ca="1">RIGHT(INDEX($D$9:$D$47,MATCH('EEPROM-Contents'!Q17,$B$9:$B$47,0)),2)</f>
        <v>#DIV/0!</v>
      </c>
      <c r="P23" s="79" t="str">
        <f>RIGHT(INDEX('EEPROM-Contents'!$K$4:'EEPROM-Contents'!$K$141,MATCH('EEPROM-Contents'!R17,'EEPROM-Contents'!$I$4:'EEPROM-Contents'!$I$141,0)),2)</f>
        <v>05</v>
      </c>
      <c r="Q23" s="84" t="str">
        <f>RIGHT(INDEX($D$9:$D$47,MATCH('EEPROM-Contents'!S17,$B$9:$B$47,0)),2)</f>
        <v>89</v>
      </c>
      <c r="R23" s="84" t="str">
        <f ca="1">RIGHT(INDEX($D$9:$D$47,MATCH('EEPROM-Contents'!T17,$B$9:$B$47,0)),2)</f>
        <v>07</v>
      </c>
      <c r="S23" s="84" t="str">
        <f ca="1">RIGHT(INDEX($D$9:$D$47,MATCH('EEPROM-Contents'!U17,$B$9:$B$47,0)),2)</f>
        <v>01</v>
      </c>
      <c r="T23" s="84" t="str">
        <f ca="1">RIGHT(INDEX($D$9:$D$47,MATCH('EEPROM-Contents'!V17,$B$9:$B$47,0)),2)</f>
        <v>03</v>
      </c>
      <c r="U23" s="84" t="str">
        <f>RIGHT(INDEX($D$9:$D$47,MATCH('EEPROM-Contents'!W17,$B$9:$B$47,0)),2)</f>
        <v>03</v>
      </c>
      <c r="V23" s="84" t="str">
        <f>RIGHT(INDEX($D$9:$D$47,MATCH('EEPROM-Contents'!X17,$B$9:$B$47,0)),2)</f>
        <v>F5</v>
      </c>
      <c r="W23" s="84" t="str">
        <f>RIGHT(INDEX($D$9:$D$47,MATCH('EEPROM-Contents'!Y17,$B$9:$B$47,0)),2)</f>
        <v>00</v>
      </c>
      <c r="X23" s="84" t="str">
        <f>RIGHT(INDEX($D$9:$D$47,MATCH('EEPROM-Contents'!Z17,$B$9:$B$47,0)),2)</f>
        <v>00</v>
      </c>
      <c r="Y23" s="84" t="str">
        <f>RIGHT(INDEX($D$9:$D$47,MATCH('EEPROM-Contents'!AA17,$B$9:$B$47,0)),2)</f>
        <v>27</v>
      </c>
      <c r="Z23" s="84" t="str">
        <f>RIGHT(INDEX($D$9:$D$47,MATCH('EEPROM-Contents'!AB17,$B$9:$B$47,0)),2)</f>
        <v>0F</v>
      </c>
      <c r="AA23" s="84" t="str">
        <f>RIGHT(INDEX($D$9:$D$47,MATCH('EEPROM-Contents'!AC17,$B$9:$B$47,0)),2)</f>
        <v>80</v>
      </c>
      <c r="AB23" s="84" t="str">
        <f>RIGHT(INDEX($D$9:$D$47,MATCH('EEPROM-Contents'!AD17,$B$9:$B$47,0)),2)</f>
        <v>00</v>
      </c>
      <c r="AC23" s="84" t="str">
        <f>RIGHT(INDEX($D$9:$D$47,MATCH('EEPROM-Contents'!AE17,$B$9:$B$47,0)),2)</f>
        <v>80</v>
      </c>
      <c r="AD23" s="84" t="str">
        <f>RIGHT(INDEX($D$9:$D$47,MATCH('EEPROM-Contents'!AF17,$B$9:$B$47,0)),2)</f>
        <v>00</v>
      </c>
      <c r="AF23" s="81" t="e">
        <f t="shared" ref="AF23:AF31" ca="1" si="9">CONCATENATE($O$5,$P$5,$Q$5,$R$5,$S$5,$T$5,$U$5,$V$5,$W$5,$X$5,O23,P23,Q23,R23,S23,T23,U23,V23,W23,X23,Y23,Z23,AA23,AB23,AC23,AD23,"00")</f>
        <v>#DIV/0!</v>
      </c>
    </row>
    <row r="24" spans="2:32" x14ac:dyDescent="0.3">
      <c r="B24" s="85">
        <f>'EEPROM-Contents'!B97</f>
        <v>93</v>
      </c>
      <c r="C24" s="77">
        <f t="shared" si="7"/>
        <v>124</v>
      </c>
      <c r="D24" s="77" t="str">
        <f>LEFT(RIGHT($E$5,4),2)</f>
        <v>7C</v>
      </c>
      <c r="E24" s="69" t="str">
        <f>'EEPROM-Contents'!L97</f>
        <v>Device ID</v>
      </c>
      <c r="F24" s="70"/>
      <c r="G24" s="73"/>
      <c r="I24" s="94" t="s">
        <v>512</v>
      </c>
      <c r="J24" s="230" t="str">
        <f>RIGHT(DEC2HEX(J22,4),2)</f>
        <v>00</v>
      </c>
      <c r="K24" s="230" t="str">
        <f t="shared" ref="K24:L24" si="10">RIGHT(DEC2HEX(K22,4),2)</f>
        <v>00</v>
      </c>
      <c r="L24" s="230" t="str">
        <f t="shared" si="10"/>
        <v>00</v>
      </c>
      <c r="N24" s="78" t="s">
        <v>356</v>
      </c>
      <c r="O24" s="84" t="e">
        <f>RIGHT(INDEX($D$9:$D$47,MATCH('EEPROM-Contents'!Q18,$B$9:$B$47,0)),2)</f>
        <v>#DIV/0!</v>
      </c>
      <c r="P24" s="84" t="e">
        <f>RIGHT(INDEX($D$9:$D$47,MATCH('EEPROM-Contents'!R18,$B$9:$B$47,0)),2)</f>
        <v>#DIV/0!</v>
      </c>
      <c r="Q24" s="84" t="str">
        <f>RIGHT(INDEX($D$9:$D$47,MATCH('EEPROM-Contents'!S18,$B$9:$B$47,0)),2)</f>
        <v>00</v>
      </c>
      <c r="R24" s="84" t="str">
        <f>RIGHT(INDEX($D$9:$D$47,MATCH('EEPROM-Contents'!T18,$B$9:$B$47,0)),2)</f>
        <v>00</v>
      </c>
      <c r="S24" s="84" t="str">
        <f>RIGHT(INDEX($D$9:$D$47,MATCH('EEPROM-Contents'!U18,$B$9:$B$47,0)),2)</f>
        <v>FF</v>
      </c>
      <c r="T24" s="84" t="e">
        <f>RIGHT(INDEX($D$9:$D$47,MATCH('EEPROM-Contents'!V18,$B$9:$B$47,0)),2)</f>
        <v>#DIV/0!</v>
      </c>
      <c r="U24" s="84" t="e">
        <f>RIGHT(INDEX($D$9:$D$47,MATCH('EEPROM-Contents'!W18,$B$9:$B$47,0)),2)</f>
        <v>#DIV/0!</v>
      </c>
      <c r="V24" s="84" t="e">
        <f ca="1">RIGHT(INDEX($D$9:$D$47,MATCH('EEPROM-Contents'!X18,$B$9:$B$47,0)),2)</f>
        <v>#DIV/0!</v>
      </c>
      <c r="W24" s="79" t="str">
        <f>RIGHT(INDEX('EEPROM-Contents'!$K$4:'EEPROM-Contents'!$K$141,MATCH('EEPROM-Contents'!Y18,'EEPROM-Contents'!$I$4:'EEPROM-Contents'!$I$141,0)),2)</f>
        <v>06</v>
      </c>
      <c r="X24" s="84" t="str">
        <f>RIGHT(INDEX($D$9:$D$47,MATCH('EEPROM-Contents'!Z18,$B$9:$B$47,0)),2)</f>
        <v>89</v>
      </c>
      <c r="Y24" s="84" t="str">
        <f ca="1">RIGHT(INDEX($D$9:$D$47,MATCH('EEPROM-Contents'!AA18,$B$9:$B$47,0)),2)</f>
        <v>07</v>
      </c>
      <c r="Z24" s="84" t="str">
        <f ca="1">RIGHT(INDEX($D$9:$D$47,MATCH('EEPROM-Contents'!AB18,$B$9:$B$47,0)),2)</f>
        <v>01</v>
      </c>
      <c r="AA24" s="84" t="str">
        <f ca="1">RIGHT(INDEX($D$9:$D$47,MATCH('EEPROM-Contents'!AC18,$B$9:$B$47,0)),2)</f>
        <v>03</v>
      </c>
      <c r="AB24" s="84" t="str">
        <f>RIGHT(INDEX($D$9:$D$47,MATCH('EEPROM-Contents'!AD18,$B$9:$B$47,0)),2)</f>
        <v>03</v>
      </c>
      <c r="AC24" s="84" t="str">
        <f>RIGHT(INDEX($D$9:$D$47,MATCH('EEPROM-Contents'!AE18,$B$9:$B$47,0)),2)</f>
        <v>F5</v>
      </c>
      <c r="AD24" s="84" t="str">
        <f>RIGHT(INDEX($D$9:$D$47,MATCH('EEPROM-Contents'!AF18,$B$9:$B$47,0)),2)</f>
        <v>00</v>
      </c>
      <c r="AF24" s="81" t="e">
        <f t="shared" ca="1" si="9"/>
        <v>#DIV/0!</v>
      </c>
    </row>
    <row r="25" spans="2:32" x14ac:dyDescent="0.3">
      <c r="B25" s="85">
        <f>'EEPROM-Contents'!B98</f>
        <v>94</v>
      </c>
      <c r="C25" s="77">
        <f t="shared" si="7"/>
        <v>10</v>
      </c>
      <c r="D25" s="77" t="str">
        <f>LEFT(RIGHT($E$5,2),2)</f>
        <v>0A</v>
      </c>
      <c r="E25" s="69" t="str">
        <f>'EEPROM-Contents'!L98</f>
        <v>Device ID</v>
      </c>
      <c r="F25" s="70"/>
      <c r="G25" s="73"/>
      <c r="I25" s="27"/>
      <c r="J25" s="27"/>
      <c r="K25" s="27"/>
      <c r="L25" s="27"/>
      <c r="N25" s="78" t="s">
        <v>357</v>
      </c>
      <c r="O25" s="84" t="str">
        <f>RIGHT(INDEX($D$9:$D$47,MATCH('EEPROM-Contents'!Q19,$B$9:$B$47,0)),2)</f>
        <v>00</v>
      </c>
      <c r="P25" s="84" t="str">
        <f>RIGHT(INDEX($D$9:$D$47,MATCH('EEPROM-Contents'!R19,$B$9:$B$47,0)),2)</f>
        <v>27</v>
      </c>
      <c r="Q25" s="84" t="str">
        <f>RIGHT(INDEX($D$9:$D$47,MATCH('EEPROM-Contents'!S19,$B$9:$B$47,0)),2)</f>
        <v>0F</v>
      </c>
      <c r="R25" s="84" t="str">
        <f>RIGHT(INDEX($D$9:$D$47,MATCH('EEPROM-Contents'!T19,$B$9:$B$47,0)),2)</f>
        <v>80</v>
      </c>
      <c r="S25" s="84" t="str">
        <f>RIGHT(INDEX($D$9:$D$47,MATCH('EEPROM-Contents'!U19,$B$9:$B$47,0)),2)</f>
        <v>00</v>
      </c>
      <c r="T25" s="84" t="str">
        <f>RIGHT(INDEX($D$9:$D$47,MATCH('EEPROM-Contents'!V19,$B$9:$B$47,0)),2)</f>
        <v>80</v>
      </c>
      <c r="U25" s="84" t="str">
        <f>RIGHT(INDEX($D$9:$D$47,MATCH('EEPROM-Contents'!W19,$B$9:$B$47,0)),2)</f>
        <v>00</v>
      </c>
      <c r="V25" s="84" t="e">
        <f>RIGHT(INDEX($D$9:$D$47,MATCH('EEPROM-Contents'!X19,$B$9:$B$47,0)),2)</f>
        <v>#DIV/0!</v>
      </c>
      <c r="W25" s="84" t="e">
        <f>RIGHT(INDEX($D$9:$D$47,MATCH('EEPROM-Contents'!Y19,$B$9:$B$47,0)),2)</f>
        <v>#DIV/0!</v>
      </c>
      <c r="X25" s="84" t="str">
        <f>RIGHT(INDEX($D$9:$D$47,MATCH('EEPROM-Contents'!Z19,$B$9:$B$47,0)),2)</f>
        <v>00</v>
      </c>
      <c r="Y25" s="84" t="str">
        <f>RIGHT(INDEX($D$9:$D$47,MATCH('EEPROM-Contents'!AA19,$B$9:$B$47,0)),2)</f>
        <v>00</v>
      </c>
      <c r="Z25" s="84" t="str">
        <f>RIGHT(INDEX($D$9:$D$47,MATCH('EEPROM-Contents'!AB19,$B$9:$B$47,0)),2)</f>
        <v>FF</v>
      </c>
      <c r="AA25" s="84" t="e">
        <f>RIGHT(INDEX($D$9:$D$47,MATCH('EEPROM-Contents'!AC19,$B$9:$B$47,0)),2)</f>
        <v>#DIV/0!</v>
      </c>
      <c r="AB25" s="84" t="e">
        <f>RIGHT(INDEX($D$9:$D$47,MATCH('EEPROM-Contents'!AD19,$B$9:$B$47,0)),2)</f>
        <v>#DIV/0!</v>
      </c>
      <c r="AC25" s="84" t="e">
        <f ca="1">RIGHT(INDEX($D$9:$D$47,MATCH('EEPROM-Contents'!AE19,$B$9:$B$47,0)),2)</f>
        <v>#DIV/0!</v>
      </c>
      <c r="AD25" s="79" t="str">
        <f>RIGHT(INDEX('EEPROM-Contents'!$K$4:'EEPROM-Contents'!$K$141,MATCH('EEPROM-Contents'!AF19,'EEPROM-Contents'!$I$4:'EEPROM-Contents'!$I$141,0)),2)</f>
        <v>07</v>
      </c>
      <c r="AF25" s="81" t="e">
        <f t="shared" ca="1" si="9"/>
        <v>#DIV/0!</v>
      </c>
    </row>
    <row r="26" spans="2:32" x14ac:dyDescent="0.3">
      <c r="B26" s="85">
        <f>'EEPROM-Contents'!B99</f>
        <v>95</v>
      </c>
      <c r="C26" s="75">
        <f t="shared" si="7"/>
        <v>137</v>
      </c>
      <c r="D26" s="228">
        <f>L5</f>
        <v>89</v>
      </c>
      <c r="E26" s="66" t="str">
        <f>'EEPROM-Contents'!L99</f>
        <v>8X=ASIC 1204, 0X= ASIC 1010</v>
      </c>
      <c r="F26" s="67"/>
      <c r="G26" s="68"/>
      <c r="I26" s="183"/>
      <c r="J26" s="187" t="s">
        <v>569</v>
      </c>
      <c r="K26" s="185"/>
      <c r="L26" s="27"/>
      <c r="N26" s="78" t="s">
        <v>358</v>
      </c>
      <c r="O26" s="84" t="str">
        <f>RIGHT(INDEX($D$9:$D$47,MATCH('EEPROM-Contents'!Q20,$B$9:$B$47,0)),2)</f>
        <v>89</v>
      </c>
      <c r="P26" s="84" t="str">
        <f ca="1">RIGHT(INDEX($D$9:$D$47,MATCH('EEPROM-Contents'!R20,$B$9:$B$47,0)),2)</f>
        <v>07</v>
      </c>
      <c r="Q26" s="84" t="str">
        <f ca="1">RIGHT(INDEX($D$9:$D$47,MATCH('EEPROM-Contents'!S20,$B$9:$B$47,0)),2)</f>
        <v>01</v>
      </c>
      <c r="R26" s="84" t="str">
        <f ca="1">RIGHT(INDEX($D$9:$D$47,MATCH('EEPROM-Contents'!T20,$B$9:$B$47,0)),2)</f>
        <v>03</v>
      </c>
      <c r="S26" s="84" t="str">
        <f>RIGHT(INDEX($D$9:$D$47,MATCH('EEPROM-Contents'!U20,$B$9:$B$47,0)),2)</f>
        <v>03</v>
      </c>
      <c r="T26" s="84" t="str">
        <f>RIGHT(INDEX($D$9:$D$47,MATCH('EEPROM-Contents'!V20,$B$9:$B$47,0)),2)</f>
        <v>F5</v>
      </c>
      <c r="U26" s="84" t="str">
        <f>RIGHT(INDEX($D$9:$D$47,MATCH('EEPROM-Contents'!W20,$B$9:$B$47,0)),2)</f>
        <v>00</v>
      </c>
      <c r="V26" s="84" t="str">
        <f>RIGHT(INDEX($D$9:$D$47,MATCH('EEPROM-Contents'!X20,$B$9:$B$47,0)),2)</f>
        <v>00</v>
      </c>
      <c r="W26" s="84" t="str">
        <f>RIGHT(INDEX($D$9:$D$47,MATCH('EEPROM-Contents'!Y20,$B$9:$B$47,0)),2)</f>
        <v>27</v>
      </c>
      <c r="X26" s="84" t="str">
        <f>RIGHT(INDEX($D$9:$D$47,MATCH('EEPROM-Contents'!Z20,$B$9:$B$47,0)),2)</f>
        <v>0F</v>
      </c>
      <c r="Y26" s="84" t="str">
        <f>RIGHT(INDEX($D$9:$D$47,MATCH('EEPROM-Contents'!AA20,$B$9:$B$47,0)),2)</f>
        <v>80</v>
      </c>
      <c r="Z26" s="84" t="str">
        <f>RIGHT(INDEX($D$9:$D$47,MATCH('EEPROM-Contents'!AB20,$B$9:$B$47,0)),2)</f>
        <v>00</v>
      </c>
      <c r="AA26" s="84" t="str">
        <f>RIGHT(INDEX($D$9:$D$47,MATCH('EEPROM-Contents'!AC20,$B$9:$B$47,0)),2)</f>
        <v>80</v>
      </c>
      <c r="AB26" s="84" t="str">
        <f>RIGHT(INDEX($D$9:$D$47,MATCH('EEPROM-Contents'!AD20,$B$9:$B$47,0)),2)</f>
        <v>00</v>
      </c>
      <c r="AC26" s="84" t="e">
        <f>RIGHT(INDEX($D$9:$D$47,MATCH('EEPROM-Contents'!AE20,$B$9:$B$47,0)),2)</f>
        <v>#DIV/0!</v>
      </c>
      <c r="AD26" s="84" t="e">
        <f>RIGHT(INDEX($D$9:$D$47,MATCH('EEPROM-Contents'!AF20,$B$9:$B$47,0)),2)</f>
        <v>#DIV/0!</v>
      </c>
      <c r="AF26" s="81" t="e">
        <f t="shared" ca="1" si="9"/>
        <v>#DIV/0!</v>
      </c>
    </row>
    <row r="27" spans="2:32" x14ac:dyDescent="0.3">
      <c r="B27" s="85">
        <f>'EEPROM-Contents'!B100</f>
        <v>96</v>
      </c>
      <c r="C27" s="75">
        <f ca="1">HEX2DEC(D27)</f>
        <v>7</v>
      </c>
      <c r="D27" s="228" t="str">
        <f ca="1">F5</f>
        <v>07</v>
      </c>
      <c r="E27" s="66" t="str">
        <f>'EEPROM-Contents'!L100</f>
        <v>Year</v>
      </c>
      <c r="F27" s="67"/>
      <c r="G27" s="68"/>
      <c r="I27" s="27"/>
      <c r="J27" s="94" t="s">
        <v>513</v>
      </c>
      <c r="K27" s="186">
        <f>$L$169</f>
        <v>0</v>
      </c>
      <c r="L27" s="27"/>
      <c r="N27" s="78" t="s">
        <v>359</v>
      </c>
      <c r="O27" s="84" t="str">
        <f>RIGHT(INDEX($D$9:$D$47,MATCH('EEPROM-Contents'!Q21,$B$9:$B$47,0)),2)</f>
        <v>00</v>
      </c>
      <c r="P27" s="84" t="str">
        <f>RIGHT(INDEX($D$9:$D$47,MATCH('EEPROM-Contents'!R21,$B$9:$B$47,0)),2)</f>
        <v>00</v>
      </c>
      <c r="Q27" s="84" t="str">
        <f>RIGHT(INDEX($D$9:$D$47,MATCH('EEPROM-Contents'!S21,$B$9:$B$47,0)),2)</f>
        <v>FF</v>
      </c>
      <c r="R27" s="84" t="e">
        <f>RIGHT(INDEX($D$9:$D$47,MATCH('EEPROM-Contents'!T21,$B$9:$B$47,0)),2)</f>
        <v>#DIV/0!</v>
      </c>
      <c r="S27" s="84" t="e">
        <f>RIGHT(INDEX($D$9:$D$47,MATCH('EEPROM-Contents'!U21,$B$9:$B$47,0)),2)</f>
        <v>#DIV/0!</v>
      </c>
      <c r="T27" s="84" t="e">
        <f ca="1">RIGHT(INDEX($D$9:$D$47,MATCH('EEPROM-Contents'!V21,$B$9:$B$47,0)),2)</f>
        <v>#DIV/0!</v>
      </c>
      <c r="U27" s="79" t="str">
        <f>RIGHT(INDEX('EEPROM-Contents'!$K$4:'EEPROM-Contents'!$K$141,MATCH('EEPROM-Contents'!W21,'EEPROM-Contents'!$I$4:'EEPROM-Contents'!$I$141,0)),2)</f>
        <v>08</v>
      </c>
      <c r="V27" s="84" t="str">
        <f>RIGHT(INDEX($D$9:$D$47,MATCH('EEPROM-Contents'!X21,$B$9:$B$47,0)),2)</f>
        <v>89</v>
      </c>
      <c r="W27" s="84" t="str">
        <f ca="1">RIGHT(INDEX($D$9:$D$47,MATCH('EEPROM-Contents'!Y21,$B$9:$B$47,0)),2)</f>
        <v>07</v>
      </c>
      <c r="X27" s="84" t="str">
        <f ca="1">RIGHT(INDEX($D$9:$D$47,MATCH('EEPROM-Contents'!Z21,$B$9:$B$47,0)),2)</f>
        <v>01</v>
      </c>
      <c r="Y27" s="84" t="str">
        <f ca="1">RIGHT(INDEX($D$9:$D$47,MATCH('EEPROM-Contents'!AA21,$B$9:$B$47,0)),2)</f>
        <v>03</v>
      </c>
      <c r="Z27" s="84" t="str">
        <f>RIGHT(INDEX($D$9:$D$47,MATCH('EEPROM-Contents'!AB21,$B$9:$B$47,0)),2)</f>
        <v>03</v>
      </c>
      <c r="AA27" s="84" t="str">
        <f>RIGHT(INDEX($D$9:$D$47,MATCH('EEPROM-Contents'!AC21,$B$9:$B$47,0)),2)</f>
        <v>F5</v>
      </c>
      <c r="AB27" s="84" t="str">
        <f>RIGHT(INDEX($D$9:$D$47,MATCH('EEPROM-Contents'!AD21,$B$9:$B$47,0)),2)</f>
        <v>00</v>
      </c>
      <c r="AC27" s="84" t="str">
        <f>RIGHT(INDEX($D$9:$D$47,MATCH('EEPROM-Contents'!AE21,$B$9:$B$47,0)),2)</f>
        <v>00</v>
      </c>
      <c r="AD27" s="84" t="str">
        <f>RIGHT(INDEX($D$9:$D$47,MATCH('EEPROM-Contents'!AF21,$B$9:$B$47,0)),2)</f>
        <v>27</v>
      </c>
      <c r="AF27" s="81" t="e">
        <f t="shared" ca="1" si="9"/>
        <v>#DIV/0!</v>
      </c>
    </row>
    <row r="28" spans="2:32" x14ac:dyDescent="0.3">
      <c r="B28" s="85">
        <f>'EEPROM-Contents'!B101</f>
        <v>97</v>
      </c>
      <c r="C28" s="75">
        <f ca="1">HEX2DEC(D28)</f>
        <v>1</v>
      </c>
      <c r="D28" s="228" t="str">
        <f ca="1">G5</f>
        <v>01</v>
      </c>
      <c r="E28" s="66" t="str">
        <f>'EEPROM-Contents'!L101</f>
        <v>Month</v>
      </c>
      <c r="F28" s="67"/>
      <c r="G28" s="68"/>
      <c r="I28" s="27"/>
      <c r="J28" s="94" t="s">
        <v>511</v>
      </c>
      <c r="K28" s="186" t="str">
        <f>LEFT(DEC2HEX(K27,4),2)</f>
        <v>00</v>
      </c>
      <c r="L28" s="27"/>
      <c r="N28" s="78" t="s">
        <v>360</v>
      </c>
      <c r="O28" s="84" t="str">
        <f>RIGHT(INDEX($D$9:$D$47,MATCH('EEPROM-Contents'!Q22,$B$9:$B$47,0)),2)</f>
        <v>0F</v>
      </c>
      <c r="P28" s="84" t="str">
        <f>RIGHT(INDEX($D$9:$D$47,MATCH('EEPROM-Contents'!R22,$B$9:$B$47,0)),2)</f>
        <v>80</v>
      </c>
      <c r="Q28" s="84" t="str">
        <f>RIGHT(INDEX($D$9:$D$47,MATCH('EEPROM-Contents'!S22,$B$9:$B$47,0)),2)</f>
        <v>00</v>
      </c>
      <c r="R28" s="84" t="str">
        <f>RIGHT(INDEX($D$9:$D$47,MATCH('EEPROM-Contents'!T22,$B$9:$B$47,0)),2)</f>
        <v>80</v>
      </c>
      <c r="S28" s="84" t="str">
        <f>RIGHT(INDEX($D$9:$D$47,MATCH('EEPROM-Contents'!U22,$B$9:$B$47,0)),2)</f>
        <v>00</v>
      </c>
      <c r="T28" s="84" t="e">
        <f>RIGHT(INDEX($D$9:$D$47,MATCH('EEPROM-Contents'!V22,$B$9:$B$47,0)),2)</f>
        <v>#DIV/0!</v>
      </c>
      <c r="U28" s="84" t="e">
        <f>RIGHT(INDEX($D$9:$D$47,MATCH('EEPROM-Contents'!W22,$B$9:$B$47,0)),2)</f>
        <v>#DIV/0!</v>
      </c>
      <c r="V28" s="84" t="str">
        <f>RIGHT(INDEX($D$9:$D$47,MATCH('EEPROM-Contents'!X22,$B$9:$B$47,0)),2)</f>
        <v>00</v>
      </c>
      <c r="W28" s="84" t="str">
        <f>RIGHT(INDEX($D$9:$D$47,MATCH('EEPROM-Contents'!Y22,$B$9:$B$47,0)),2)</f>
        <v>00</v>
      </c>
      <c r="X28" s="84" t="str">
        <f>RIGHT(INDEX($D$9:$D$47,MATCH('EEPROM-Contents'!Z22,$B$9:$B$47,0)),2)</f>
        <v>FF</v>
      </c>
      <c r="Y28" s="84" t="e">
        <f>RIGHT(INDEX($D$9:$D$47,MATCH('EEPROM-Contents'!AA22,$B$9:$B$47,0)),2)</f>
        <v>#DIV/0!</v>
      </c>
      <c r="Z28" s="84" t="e">
        <f>RIGHT(INDEX($D$9:$D$47,MATCH('EEPROM-Contents'!AB22,$B$9:$B$47,0)),2)</f>
        <v>#DIV/0!</v>
      </c>
      <c r="AA28" s="84" t="e">
        <f ca="1">RIGHT(INDEX($D$9:$D$47,MATCH('EEPROM-Contents'!AC22,$B$9:$B$47,0)),2)</f>
        <v>#DIV/0!</v>
      </c>
      <c r="AB28" s="79" t="str">
        <f>RIGHT(INDEX('EEPROM-Contents'!$K$4:'EEPROM-Contents'!$K$141,MATCH('EEPROM-Contents'!AD22,'EEPROM-Contents'!$I$4:'EEPROM-Contents'!$I$141,0)),2)</f>
        <v>09</v>
      </c>
      <c r="AC28" s="84" t="str">
        <f>RIGHT(INDEX($D$9:$D$47,MATCH('EEPROM-Contents'!AE22,$B$9:$B$47,0)),2)</f>
        <v>89</v>
      </c>
      <c r="AD28" s="84" t="str">
        <f ca="1">RIGHT(INDEX($D$9:$D$47,MATCH('EEPROM-Contents'!AF22,$B$9:$B$47,0)),2)</f>
        <v>07</v>
      </c>
      <c r="AF28" s="81" t="e">
        <f t="shared" ca="1" si="9"/>
        <v>#DIV/0!</v>
      </c>
    </row>
    <row r="29" spans="2:32" x14ac:dyDescent="0.3">
      <c r="B29" s="85">
        <f>'EEPROM-Contents'!B102</f>
        <v>98</v>
      </c>
      <c r="C29" s="75">
        <f ca="1">HEX2DEC(D29)</f>
        <v>3</v>
      </c>
      <c r="D29" s="228" t="str">
        <f ca="1">H5</f>
        <v>03</v>
      </c>
      <c r="E29" s="66" t="str">
        <f>'EEPROM-Contents'!L102</f>
        <v>Day</v>
      </c>
      <c r="F29" s="67"/>
      <c r="G29" s="68"/>
      <c r="I29" s="27"/>
      <c r="J29" s="94" t="s">
        <v>512</v>
      </c>
      <c r="K29" s="186" t="str">
        <f>RIGHT(DEC2HEX(K27,4),2)</f>
        <v>00</v>
      </c>
      <c r="L29" s="27"/>
      <c r="N29" s="78" t="s">
        <v>361</v>
      </c>
      <c r="O29" s="84" t="str">
        <f ca="1">RIGHT(INDEX($D$9:$D$47,MATCH('EEPROM-Contents'!Q23,$B$9:$B$47,0)),2)</f>
        <v>01</v>
      </c>
      <c r="P29" s="84" t="str">
        <f ca="1">RIGHT(INDEX($D$9:$D$47,MATCH('EEPROM-Contents'!R23,$B$9:$B$47,0)),2)</f>
        <v>03</v>
      </c>
      <c r="Q29" s="84" t="str">
        <f>RIGHT(INDEX($D$9:$D$47,MATCH('EEPROM-Contents'!S23,$B$9:$B$47,0)),2)</f>
        <v>03</v>
      </c>
      <c r="R29" s="84" t="str">
        <f>RIGHT(INDEX($D$9:$D$47,MATCH('EEPROM-Contents'!T23,$B$9:$B$47,0)),2)</f>
        <v>F5</v>
      </c>
      <c r="S29" s="84" t="str">
        <f>RIGHT(INDEX($D$9:$D$47,MATCH('EEPROM-Contents'!U23,$B$9:$B$47,0)),2)</f>
        <v>00</v>
      </c>
      <c r="T29" s="84" t="str">
        <f>RIGHT(INDEX($D$9:$D$47,MATCH('EEPROM-Contents'!V23,$B$9:$B$47,0)),2)</f>
        <v>00</v>
      </c>
      <c r="U29" s="84" t="str">
        <f>RIGHT(INDEX($D$9:$D$47,MATCH('EEPROM-Contents'!W23,$B$9:$B$47,0)),2)</f>
        <v>27</v>
      </c>
      <c r="V29" s="84" t="str">
        <f>RIGHT(INDEX($D$9:$D$47,MATCH('EEPROM-Contents'!X23,$B$9:$B$47,0)),2)</f>
        <v>0F</v>
      </c>
      <c r="W29" s="84" t="str">
        <f>RIGHT(INDEX($D$9:$D$47,MATCH('EEPROM-Contents'!Y23,$B$9:$B$47,0)),2)</f>
        <v>80</v>
      </c>
      <c r="X29" s="84" t="str">
        <f>RIGHT(INDEX($D$9:$D$47,MATCH('EEPROM-Contents'!Z23,$B$9:$B$47,0)),2)</f>
        <v>00</v>
      </c>
      <c r="Y29" s="84" t="str">
        <f>RIGHT(INDEX($D$9:$D$47,MATCH('EEPROM-Contents'!AA23,$B$9:$B$47,0)),2)</f>
        <v>80</v>
      </c>
      <c r="Z29" s="84" t="str">
        <f>RIGHT(INDEX($D$9:$D$47,MATCH('EEPROM-Contents'!AB23,$B$9:$B$47,0)),2)</f>
        <v>00</v>
      </c>
      <c r="AA29" s="84" t="e">
        <f>RIGHT(INDEX($D$9:$D$47,MATCH('EEPROM-Contents'!AC23,$B$9:$B$47,0)),2)</f>
        <v>#DIV/0!</v>
      </c>
      <c r="AB29" s="84" t="e">
        <f>RIGHT(INDEX($D$9:$D$47,MATCH('EEPROM-Contents'!AD23,$B$9:$B$47,0)),2)</f>
        <v>#DIV/0!</v>
      </c>
      <c r="AC29" s="84" t="str">
        <f>RIGHT(INDEX($D$9:$D$47,MATCH('EEPROM-Contents'!AE23,$B$9:$B$47,0)),2)</f>
        <v>00</v>
      </c>
      <c r="AD29" s="84" t="str">
        <f>RIGHT(INDEX($D$9:$D$47,MATCH('EEPROM-Contents'!AF23,$B$9:$B$47,0)),2)</f>
        <v>00</v>
      </c>
      <c r="AF29" s="81" t="e">
        <f t="shared" ca="1" si="9"/>
        <v>#DIV/0!</v>
      </c>
    </row>
    <row r="30" spans="2:32" x14ac:dyDescent="0.3">
      <c r="B30" s="85">
        <f>'EEPROM-Contents'!B103</f>
        <v>99</v>
      </c>
      <c r="C30" s="75">
        <f t="shared" si="7"/>
        <v>3</v>
      </c>
      <c r="D30" s="228" t="str">
        <f>LEFT(RIGHT($B$5,4),2)</f>
        <v>03</v>
      </c>
      <c r="E30" s="66" t="str">
        <f>'EEPROM-Contents'!L103</f>
        <v>Device Type</v>
      </c>
      <c r="F30" s="67"/>
      <c r="G30" s="68"/>
      <c r="I30" s="27"/>
      <c r="J30" s="27"/>
      <c r="K30" s="27"/>
      <c r="L30" s="27"/>
      <c r="N30" s="78" t="s">
        <v>362</v>
      </c>
      <c r="O30" s="84" t="str">
        <f>RIGHT(INDEX($D$9:$D$47,MATCH('EEPROM-Contents'!Q24,$B$9:$B$47,0)),2)</f>
        <v>FF</v>
      </c>
      <c r="P30" s="84" t="e">
        <f>RIGHT(INDEX($D$9:$D$47,MATCH('EEPROM-Contents'!R24,$B$9:$B$47,0)),2)</f>
        <v>#DIV/0!</v>
      </c>
      <c r="Q30" s="84" t="e">
        <f>RIGHT(INDEX($D$9:$D$47,MATCH('EEPROM-Contents'!S24,$B$9:$B$47,0)),2)</f>
        <v>#DIV/0!</v>
      </c>
      <c r="R30" s="84" t="e">
        <f ca="1">RIGHT(INDEX($D$9:$D$47,MATCH('EEPROM-Contents'!T24,$B$9:$B$47,0)),2)</f>
        <v>#DIV/0!</v>
      </c>
      <c r="S30" s="79" t="str">
        <f>RIGHT(INDEX('EEPROM-Contents'!$K$4:'EEPROM-Contents'!$K$141,MATCH('EEPROM-Contents'!U24,'EEPROM-Contents'!$I$4:'EEPROM-Contents'!$I$141,0)),2)</f>
        <v>0A</v>
      </c>
      <c r="T30" s="84" t="str">
        <f>RIGHT(INDEX($D$9:$D$47,MATCH('EEPROM-Contents'!V24,$B$9:$B$47,0)),2)</f>
        <v>89</v>
      </c>
      <c r="U30" s="84" t="str">
        <f ca="1">RIGHT(INDEX($D$9:$D$47,MATCH('EEPROM-Contents'!W24,$B$9:$B$47,0)),2)</f>
        <v>07</v>
      </c>
      <c r="V30" s="84" t="str">
        <f ca="1">RIGHT(INDEX($D$9:$D$47,MATCH('EEPROM-Contents'!X24,$B$9:$B$47,0)),2)</f>
        <v>01</v>
      </c>
      <c r="W30" s="84" t="str">
        <f ca="1">RIGHT(INDEX($D$9:$D$47,MATCH('EEPROM-Contents'!Y24,$B$9:$B$47,0)),2)</f>
        <v>03</v>
      </c>
      <c r="X30" s="84" t="str">
        <f>RIGHT(INDEX($D$9:$D$47,MATCH('EEPROM-Contents'!Z24,$B$9:$B$47,0)),2)</f>
        <v>03</v>
      </c>
      <c r="Y30" s="84" t="str">
        <f>RIGHT(INDEX($D$9:$D$47,MATCH('EEPROM-Contents'!AA24,$B$9:$B$47,0)),2)</f>
        <v>F5</v>
      </c>
      <c r="Z30" s="84" t="str">
        <f>RIGHT(INDEX($D$9:$D$47,MATCH('EEPROM-Contents'!AB24,$B$9:$B$47,0)),2)</f>
        <v>00</v>
      </c>
      <c r="AA30" s="84" t="str">
        <f>RIGHT(INDEX($D$9:$D$47,MATCH('EEPROM-Contents'!AC24,$B$9:$B$47,0)),2)</f>
        <v>00</v>
      </c>
      <c r="AB30" s="84" t="str">
        <f>RIGHT(INDEX($D$9:$D$47,MATCH('EEPROM-Contents'!AD24,$B$9:$B$47,0)),2)</f>
        <v>27</v>
      </c>
      <c r="AC30" s="84" t="str">
        <f>RIGHT(INDEX($D$9:$D$47,MATCH('EEPROM-Contents'!AE24,$B$9:$B$47,0)),2)</f>
        <v>0F</v>
      </c>
      <c r="AD30" s="84" t="str">
        <f>RIGHT(INDEX($D$9:$D$47,MATCH('EEPROM-Contents'!AF24,$B$9:$B$47,0)),2)</f>
        <v>80</v>
      </c>
      <c r="AF30" s="81" t="e">
        <f t="shared" ca="1" si="9"/>
        <v>#DIV/0!</v>
      </c>
    </row>
    <row r="31" spans="2:32" x14ac:dyDescent="0.3">
      <c r="B31" s="85">
        <f>'EEPROM-Contents'!B104</f>
        <v>100</v>
      </c>
      <c r="C31" s="75">
        <f t="shared" si="7"/>
        <v>245</v>
      </c>
      <c r="D31" s="228" t="str">
        <f>LEFT(RIGHT($B$5,2),2)</f>
        <v>F5</v>
      </c>
      <c r="E31" s="66" t="str">
        <f>'EEPROM-Contents'!L104</f>
        <v>Device Type</v>
      </c>
      <c r="F31" s="67"/>
      <c r="G31" s="68"/>
      <c r="I31" s="27"/>
      <c r="J31" s="187" t="s">
        <v>568</v>
      </c>
      <c r="K31" s="185"/>
      <c r="L31" s="27"/>
      <c r="N31" s="78" t="s">
        <v>363</v>
      </c>
      <c r="O31" s="84" t="str">
        <f>RIGHT(INDEX($D$9:$D$47,MATCH('EEPROM-Contents'!Q25,$B$9:$B$47,0)),2)</f>
        <v>00</v>
      </c>
      <c r="P31" s="84" t="str">
        <f>RIGHT(INDEX($D$9:$D$47,MATCH('EEPROM-Contents'!R25,$B$9:$B$47,0)),2)</f>
        <v>80</v>
      </c>
      <c r="Q31" s="84" t="str">
        <f>RIGHT(INDEX($D$9:$D$47,MATCH('EEPROM-Contents'!S25,$B$9:$B$47,0)),2)</f>
        <v>00</v>
      </c>
      <c r="R31" s="84" t="e">
        <f>RIGHT(INDEX($D$9:$D$47,MATCH('EEPROM-Contents'!T25,$B$9:$B$47,0)),2)</f>
        <v>#DIV/0!</v>
      </c>
      <c r="S31" s="84" t="e">
        <f>RIGHT(INDEX($D$9:$D$47,MATCH('EEPROM-Contents'!U25,$B$9:$B$47,0)),2)</f>
        <v>#DIV/0!</v>
      </c>
      <c r="T31" s="84" t="str">
        <f>RIGHT(INDEX($D$9:$D$47,MATCH('EEPROM-Contents'!V25,$B$9:$B$47,0)),2)</f>
        <v>00</v>
      </c>
      <c r="U31" s="84" t="str">
        <f>RIGHT(INDEX($D$9:$D$47,MATCH('EEPROM-Contents'!W25,$B$9:$B$47,0)),2)</f>
        <v>00</v>
      </c>
      <c r="V31" s="84" t="str">
        <f>RIGHT(INDEX($D$9:$D$47,MATCH('EEPROM-Contents'!X25,$B$9:$B$47,0)),2)</f>
        <v>FF</v>
      </c>
      <c r="W31" s="84" t="e">
        <f>RIGHT(INDEX($D$9:$D$47,MATCH('EEPROM-Contents'!Y25,$B$9:$B$47,0)),2)</f>
        <v>#DIV/0!</v>
      </c>
      <c r="X31" s="84" t="e">
        <f>RIGHT(INDEX($D$9:$D$47,MATCH('EEPROM-Contents'!Z25,$B$9:$B$47,0)),2)</f>
        <v>#DIV/0!</v>
      </c>
      <c r="Y31" s="84" t="e">
        <f ca="1">RIGHT(INDEX($D$9:$D$47,MATCH('EEPROM-Contents'!AA25,$B$9:$B$47,0)),2)</f>
        <v>#DIV/0!</v>
      </c>
      <c r="Z31" s="79" t="str">
        <f>RIGHT(INDEX('EEPROM-Contents'!$K$4:'EEPROM-Contents'!$K$141,MATCH('EEPROM-Contents'!AB25,'EEPROM-Contents'!$I$4:'EEPROM-Contents'!$I$141,0)),2)</f>
        <v>0B</v>
      </c>
      <c r="AA31" s="84" t="str">
        <f>RIGHT(INDEX($D$9:$D$47,MATCH('EEPROM-Contents'!AC25,$B$9:$B$47,0)),2)</f>
        <v>89</v>
      </c>
      <c r="AB31" s="84" t="str">
        <f ca="1">RIGHT(INDEX($D$9:$D$47,MATCH('EEPROM-Contents'!AD25,$B$9:$B$47,0)),2)</f>
        <v>07</v>
      </c>
      <c r="AC31" s="84" t="str">
        <f ca="1">RIGHT(INDEX($D$9:$D$47,MATCH('EEPROM-Contents'!AE25,$B$9:$B$47,0)),2)</f>
        <v>01</v>
      </c>
      <c r="AD31" s="84" t="str">
        <f ca="1">RIGHT(INDEX($D$9:$D$47,MATCH('EEPROM-Contents'!AF25,$B$9:$B$47,0)),2)</f>
        <v>03</v>
      </c>
      <c r="AF31" s="81" t="e">
        <f t="shared" ca="1" si="9"/>
        <v>#DIV/0!</v>
      </c>
    </row>
    <row r="32" spans="2:32" x14ac:dyDescent="0.3">
      <c r="B32" s="85">
        <f>'EEPROM-Contents'!B105</f>
        <v>101</v>
      </c>
      <c r="C32" s="75">
        <f t="shared" si="7"/>
        <v>0</v>
      </c>
      <c r="D32" s="228" t="str">
        <f>LEFT(RIGHT($D$5,8),2)</f>
        <v>00</v>
      </c>
      <c r="E32" s="66" t="str">
        <f>'EEPROM-Contents'!L105</f>
        <v>Manufacturer / Lot ID</v>
      </c>
      <c r="F32" s="67"/>
      <c r="G32" s="68"/>
      <c r="I32" s="27"/>
      <c r="J32" s="94" t="s">
        <v>513</v>
      </c>
      <c r="K32" s="186">
        <f>$K$169</f>
        <v>0</v>
      </c>
      <c r="L32" s="27"/>
      <c r="N32" s="78" t="s">
        <v>364</v>
      </c>
      <c r="O32" s="84" t="str">
        <f>RIGHT(INDEX($D$9:$D$47,MATCH('EEPROM-Contents'!Q26,$B$9:$B$47,0)),2)</f>
        <v>03</v>
      </c>
      <c r="P32" s="84" t="str">
        <f>RIGHT(INDEX($D$9:$D$47,MATCH('EEPROM-Contents'!R26,$B$9:$B$47,0)),2)</f>
        <v>F5</v>
      </c>
      <c r="Q32" s="84" t="str">
        <f>RIGHT(INDEX($D$9:$D$47,MATCH('EEPROM-Contents'!S26,$B$9:$B$47,0)),2)</f>
        <v>00</v>
      </c>
      <c r="R32" s="84" t="str">
        <f>RIGHT(INDEX($D$9:$D$47,MATCH('EEPROM-Contents'!T26,$B$9:$B$47,0)),2)</f>
        <v>00</v>
      </c>
      <c r="S32" s="84" t="str">
        <f>RIGHT(INDEX($D$9:$D$47,MATCH('EEPROM-Contents'!U26,$B$9:$B$47,0)),2)</f>
        <v>27</v>
      </c>
      <c r="T32" s="84" t="str">
        <f>RIGHT(INDEX($D$9:$D$47,MATCH('EEPROM-Contents'!V26,$B$9:$B$47,0)),2)</f>
        <v>0F</v>
      </c>
      <c r="U32" s="84" t="str">
        <f>RIGHT(INDEX($D$9:$D$47,MATCH('EEPROM-Contents'!W26,$B$9:$B$47,0)),2)</f>
        <v>80</v>
      </c>
      <c r="V32" s="84" t="str">
        <f>RIGHT(INDEX($D$9:$D$47,MATCH('EEPROM-Contents'!X26,$B$9:$B$47,0)),2)</f>
        <v>00</v>
      </c>
      <c r="W32" s="84" t="str">
        <f>RIGHT(INDEX($D$9:$D$47,MATCH('EEPROM-Contents'!Y26,$B$9:$B$47,0)),2)</f>
        <v>80</v>
      </c>
      <c r="X32" s="84" t="str">
        <f>RIGHT(INDEX($D$9:$D$47,MATCH('EEPROM-Contents'!Z26,$B$9:$B$47,0)),2)</f>
        <v>00</v>
      </c>
      <c r="Y32" s="84" t="e">
        <f>RIGHT(INDEX($D$9:$D$47,MATCH('EEPROM-Contents'!AA26,$B$9:$B$47,0)),2)</f>
        <v>#DIV/0!</v>
      </c>
      <c r="Z32" s="84" t="e">
        <f>RIGHT(INDEX($D$9:$D$47,MATCH('EEPROM-Contents'!AB26,$B$9:$B$47,0)),2)</f>
        <v>#DIV/0!</v>
      </c>
      <c r="AA32" s="84" t="str">
        <f>RIGHT(INDEX($D$9:$D$47,MATCH('EEPROM-Contents'!AC26,$B$9:$B$47,0)),2)</f>
        <v>00</v>
      </c>
      <c r="AB32" s="84" t="str">
        <f>RIGHT(INDEX($D$9:$D$47,MATCH('EEPROM-Contents'!AD26,$B$9:$B$47,0)),2)</f>
        <v>00</v>
      </c>
      <c r="AC32" s="84" t="str">
        <f>RIGHT(INDEX($D$9:$D$47,MATCH('EEPROM-Contents'!AE26,$B$9:$B$47,0)),2)</f>
        <v>FF</v>
      </c>
      <c r="AD32" s="84" t="e">
        <f>RIGHT(INDEX($D$9:$D$47,MATCH('EEPROM-Contents'!AF26,$B$9:$B$47,0)),2)</f>
        <v>#DIV/0!</v>
      </c>
      <c r="AF32" s="81" t="e">
        <f t="shared" si="4"/>
        <v>#DIV/0!</v>
      </c>
    </row>
    <row r="33" spans="2:32" x14ac:dyDescent="0.3">
      <c r="B33" s="85">
        <f>'EEPROM-Contents'!B106</f>
        <v>102</v>
      </c>
      <c r="C33" s="75">
        <f t="shared" si="7"/>
        <v>0</v>
      </c>
      <c r="D33" s="228" t="str">
        <f>LEFT(RIGHT($D$5,6),2)</f>
        <v>00</v>
      </c>
      <c r="E33" s="66" t="str">
        <f>'EEPROM-Contents'!L106</f>
        <v>Manufacturer / Lot ID</v>
      </c>
      <c r="F33" s="67"/>
      <c r="G33" s="68"/>
      <c r="I33" s="27"/>
      <c r="J33" s="94" t="s">
        <v>511</v>
      </c>
      <c r="K33" s="186" t="str">
        <f>LEFT(DEC2HEX(K32,4),2)</f>
        <v>00</v>
      </c>
      <c r="L33" s="27"/>
      <c r="N33" s="78" t="s">
        <v>365</v>
      </c>
      <c r="O33" s="84" t="e">
        <f>RIGHT(INDEX($D$9:$D$47,MATCH('EEPROM-Contents'!Q27,$B$9:$B$47,0)),2)</f>
        <v>#DIV/0!</v>
      </c>
      <c r="P33" s="84" t="e">
        <f ca="1">RIGHT(INDEX($D$9:$D$47,MATCH('EEPROM-Contents'!R27,$B$9:$B$47,0)),2)</f>
        <v>#DIV/0!</v>
      </c>
      <c r="Q33" s="79" t="str">
        <f>RIGHT(INDEX('EEPROM-Contents'!$K$4:'EEPROM-Contents'!$K$141,MATCH('EEPROM-Contents'!S27,'EEPROM-Contents'!$I$4:'EEPROM-Contents'!$I$141,0)),2)</f>
        <v>0C</v>
      </c>
      <c r="R33" s="84" t="str">
        <f>RIGHT(INDEX($D$9:$D$47,MATCH('EEPROM-Contents'!T27,$B$9:$B$47,0)),2)</f>
        <v>89</v>
      </c>
      <c r="S33" s="84" t="str">
        <f ca="1">RIGHT(INDEX($D$9:$D$47,MATCH('EEPROM-Contents'!U27,$B$9:$B$47,0)),2)</f>
        <v>07</v>
      </c>
      <c r="T33" s="84" t="str">
        <f ca="1">RIGHT(INDEX($D$9:$D$47,MATCH('EEPROM-Contents'!V27,$B$9:$B$47,0)),2)</f>
        <v>01</v>
      </c>
      <c r="U33" s="84" t="str">
        <f ca="1">RIGHT(INDEX($D$9:$D$47,MATCH('EEPROM-Contents'!W27,$B$9:$B$47,0)),2)</f>
        <v>03</v>
      </c>
      <c r="V33" s="84" t="str">
        <f>RIGHT(INDEX($D$9:$D$47,MATCH('EEPROM-Contents'!X27,$B$9:$B$47,0)),2)</f>
        <v>03</v>
      </c>
      <c r="W33" s="84" t="str">
        <f>RIGHT(INDEX($D$9:$D$47,MATCH('EEPROM-Contents'!Y27,$B$9:$B$47,0)),2)</f>
        <v>F5</v>
      </c>
      <c r="X33" s="84" t="str">
        <f>RIGHT(INDEX($D$9:$D$47,MATCH('EEPROM-Contents'!Z27,$B$9:$B$47,0)),2)</f>
        <v>00</v>
      </c>
      <c r="Y33" s="84" t="str">
        <f>RIGHT(INDEX($D$9:$D$47,MATCH('EEPROM-Contents'!AA27,$B$9:$B$47,0)),2)</f>
        <v>00</v>
      </c>
      <c r="Z33" s="84" t="str">
        <f>RIGHT(INDEX($D$9:$D$47,MATCH('EEPROM-Contents'!AB27,$B$9:$B$47,0)),2)</f>
        <v>27</v>
      </c>
      <c r="AA33" s="84" t="str">
        <f>RIGHT(INDEX($D$9:$D$47,MATCH('EEPROM-Contents'!AC27,$B$9:$B$47,0)),2)</f>
        <v>0F</v>
      </c>
      <c r="AB33" s="84" t="str">
        <f>RIGHT(INDEX($D$9:$D$47,MATCH('EEPROM-Contents'!AD27,$B$9:$B$47,0)),2)</f>
        <v>80</v>
      </c>
      <c r="AC33" s="84" t="str">
        <f>RIGHT(INDEX($D$9:$D$47,MATCH('EEPROM-Contents'!AE27,$B$9:$B$47,0)),2)</f>
        <v>00</v>
      </c>
      <c r="AD33" s="84" t="str">
        <f>RIGHT(INDEX($D$9:$D$47,MATCH('EEPROM-Contents'!AF27,$B$9:$B$47,0)),2)</f>
        <v>80</v>
      </c>
      <c r="AF33" s="81" t="e">
        <f t="shared" ref="AF33:AF41" ca="1" si="11">CONCATENATE($O$5,$P$5,$Q$5,$R$5,$S$5,$T$5,$U$5,$V$5,$W$5,$X$5,O33,P33,Q33,R33,S33,T33,U33,V33,W33,X33,Y33,Z33,AA33,AB33,AC33,AD33,"00")</f>
        <v>#DIV/0!</v>
      </c>
    </row>
    <row r="34" spans="2:32" x14ac:dyDescent="0.3">
      <c r="B34" s="85">
        <f>'EEPROM-Contents'!B107</f>
        <v>103</v>
      </c>
      <c r="C34" s="75">
        <f t="shared" si="7"/>
        <v>39</v>
      </c>
      <c r="D34" s="228" t="str">
        <f>LEFT(RIGHT($D$5,4),2)</f>
        <v>27</v>
      </c>
      <c r="E34" s="66" t="str">
        <f>'EEPROM-Contents'!L107</f>
        <v>Manufacturer / Lot ID</v>
      </c>
      <c r="F34" s="67"/>
      <c r="G34" s="68"/>
      <c r="I34" s="27"/>
      <c r="J34" s="94" t="s">
        <v>512</v>
      </c>
      <c r="K34" s="186" t="str">
        <f>RIGHT(DEC2HEX(K32,4),2)</f>
        <v>00</v>
      </c>
      <c r="L34" s="27"/>
      <c r="N34" s="78" t="s">
        <v>366</v>
      </c>
      <c r="O34" s="84" t="str">
        <f>RIGHT(INDEX($D$9:$D$47,MATCH('EEPROM-Contents'!Q28,$B$9:$B$47,0)),2)</f>
        <v>00</v>
      </c>
      <c r="P34" s="84" t="e">
        <f>RIGHT(INDEX($D$9:$D$47,MATCH('EEPROM-Contents'!R28,$B$9:$B$47,0)),2)</f>
        <v>#DIV/0!</v>
      </c>
      <c r="Q34" s="84" t="e">
        <f>RIGHT(INDEX($D$9:$D$47,MATCH('EEPROM-Contents'!S28,$B$9:$B$47,0)),2)</f>
        <v>#DIV/0!</v>
      </c>
      <c r="R34" s="84" t="str">
        <f>RIGHT(INDEX($D$9:$D$47,MATCH('EEPROM-Contents'!T28,$B$9:$B$47,0)),2)</f>
        <v>00</v>
      </c>
      <c r="S34" s="84" t="str">
        <f>RIGHT(INDEX($D$9:$D$47,MATCH('EEPROM-Contents'!U28,$B$9:$B$47,0)),2)</f>
        <v>00</v>
      </c>
      <c r="T34" s="84" t="str">
        <f>RIGHT(INDEX($D$9:$D$47,MATCH('EEPROM-Contents'!V28,$B$9:$B$47,0)),2)</f>
        <v>FF</v>
      </c>
      <c r="U34" s="84" t="e">
        <f>RIGHT(INDEX($D$9:$D$47,MATCH('EEPROM-Contents'!W28,$B$9:$B$47,0)),2)</f>
        <v>#DIV/0!</v>
      </c>
      <c r="V34" s="84" t="e">
        <f>RIGHT(INDEX($D$9:$D$47,MATCH('EEPROM-Contents'!X28,$B$9:$B$47,0)),2)</f>
        <v>#DIV/0!</v>
      </c>
      <c r="W34" s="84" t="e">
        <f ca="1">RIGHT(INDEX($D$9:$D$47,MATCH('EEPROM-Contents'!Y28,$B$9:$B$47,0)),2)</f>
        <v>#DIV/0!</v>
      </c>
      <c r="X34" s="79" t="str">
        <f>RIGHT(INDEX('EEPROM-Contents'!$K$4:'EEPROM-Contents'!$K$141,MATCH('EEPROM-Contents'!Z28,'EEPROM-Contents'!$I$4:'EEPROM-Contents'!$I$141,0)),2)</f>
        <v>0D</v>
      </c>
      <c r="Y34" s="84" t="str">
        <f>RIGHT(INDEX($D$9:$D$47,MATCH('EEPROM-Contents'!AA28,$B$9:$B$47,0)),2)</f>
        <v>89</v>
      </c>
      <c r="Z34" s="84" t="str">
        <f ca="1">RIGHT(INDEX($D$9:$D$47,MATCH('EEPROM-Contents'!AB28,$B$9:$B$47,0)),2)</f>
        <v>07</v>
      </c>
      <c r="AA34" s="84" t="str">
        <f ca="1">RIGHT(INDEX($D$9:$D$47,MATCH('EEPROM-Contents'!AC28,$B$9:$B$47,0)),2)</f>
        <v>01</v>
      </c>
      <c r="AB34" s="84" t="str">
        <f ca="1">RIGHT(INDEX($D$9:$D$47,MATCH('EEPROM-Contents'!AD28,$B$9:$B$47,0)),2)</f>
        <v>03</v>
      </c>
      <c r="AC34" s="84" t="str">
        <f>RIGHT(INDEX($D$9:$D$47,MATCH('EEPROM-Contents'!AE28,$B$9:$B$47,0)),2)</f>
        <v>03</v>
      </c>
      <c r="AD34" s="84" t="str">
        <f>RIGHT(INDEX($D$9:$D$47,MATCH('EEPROM-Contents'!AF28,$B$9:$B$47,0)),2)</f>
        <v>F5</v>
      </c>
      <c r="AF34" s="81" t="e">
        <f t="shared" ca="1" si="11"/>
        <v>#DIV/0!</v>
      </c>
    </row>
    <row r="35" spans="2:32" x14ac:dyDescent="0.3">
      <c r="B35" s="85">
        <f>'EEPROM-Contents'!B108</f>
        <v>104</v>
      </c>
      <c r="C35" s="75">
        <f t="shared" si="7"/>
        <v>15</v>
      </c>
      <c r="D35" s="228" t="str">
        <f>LEFT(RIGHT($D$5,2),2)</f>
        <v>0F</v>
      </c>
      <c r="E35" s="66" t="str">
        <f>'EEPROM-Contents'!L108</f>
        <v>Manufacturer / Lot ID</v>
      </c>
      <c r="F35" s="67"/>
      <c r="G35" s="68"/>
      <c r="N35" s="78" t="s">
        <v>367</v>
      </c>
      <c r="O35" s="84" t="str">
        <f>RIGHT(INDEX($D$9:$D$47,MATCH('EEPROM-Contents'!Q29,$B$9:$B$47,0)),2)</f>
        <v>00</v>
      </c>
      <c r="P35" s="84" t="str">
        <f>RIGHT(INDEX($D$9:$D$47,MATCH('EEPROM-Contents'!R29,$B$9:$B$47,0)),2)</f>
        <v>00</v>
      </c>
      <c r="Q35" s="84" t="str">
        <f>RIGHT(INDEX($D$9:$D$47,MATCH('EEPROM-Contents'!S29,$B$9:$B$47,0)),2)</f>
        <v>27</v>
      </c>
      <c r="R35" s="84" t="str">
        <f>RIGHT(INDEX($D$9:$D$47,MATCH('EEPROM-Contents'!T29,$B$9:$B$47,0)),2)</f>
        <v>0F</v>
      </c>
      <c r="S35" s="84" t="str">
        <f>RIGHT(INDEX($D$9:$D$47,MATCH('EEPROM-Contents'!U29,$B$9:$B$47,0)),2)</f>
        <v>80</v>
      </c>
      <c r="T35" s="84" t="str">
        <f>RIGHT(INDEX($D$9:$D$47,MATCH('EEPROM-Contents'!V29,$B$9:$B$47,0)),2)</f>
        <v>00</v>
      </c>
      <c r="U35" s="84" t="str">
        <f>RIGHT(INDEX($D$9:$D$47,MATCH('EEPROM-Contents'!W29,$B$9:$B$47,0)),2)</f>
        <v>80</v>
      </c>
      <c r="V35" s="84" t="str">
        <f>RIGHT(INDEX($D$9:$D$47,MATCH('EEPROM-Contents'!X29,$B$9:$B$47,0)),2)</f>
        <v>00</v>
      </c>
      <c r="W35" s="84" t="e">
        <f>RIGHT(INDEX($D$9:$D$47,MATCH('EEPROM-Contents'!Y29,$B$9:$B$47,0)),2)</f>
        <v>#DIV/0!</v>
      </c>
      <c r="X35" s="84" t="e">
        <f>RIGHT(INDEX($D$9:$D$47,MATCH('EEPROM-Contents'!Z29,$B$9:$B$47,0)),2)</f>
        <v>#DIV/0!</v>
      </c>
      <c r="Y35" s="84" t="str">
        <f>RIGHT(INDEX($D$9:$D$47,MATCH('EEPROM-Contents'!AA29,$B$9:$B$47,0)),2)</f>
        <v>00</v>
      </c>
      <c r="Z35" s="84" t="str">
        <f>RIGHT(INDEX($D$9:$D$47,MATCH('EEPROM-Contents'!AB29,$B$9:$B$47,0)),2)</f>
        <v>00</v>
      </c>
      <c r="AA35" s="84" t="str">
        <f>RIGHT(INDEX($D$9:$D$47,MATCH('EEPROM-Contents'!AC29,$B$9:$B$47,0)),2)</f>
        <v>FF</v>
      </c>
      <c r="AB35" s="84" t="e">
        <f>RIGHT(INDEX($D$9:$D$47,MATCH('EEPROM-Contents'!AD29,$B$9:$B$47,0)),2)</f>
        <v>#DIV/0!</v>
      </c>
      <c r="AC35" s="84" t="e">
        <f>RIGHT(INDEX($D$9:$D$47,MATCH('EEPROM-Contents'!AE29,$B$9:$B$47,0)),2)</f>
        <v>#DIV/0!</v>
      </c>
      <c r="AD35" s="84" t="e">
        <f ca="1">RIGHT(INDEX($D$9:$D$47,MATCH('EEPROM-Contents'!AF29,$B$9:$B$47,0)),2)</f>
        <v>#DIV/0!</v>
      </c>
      <c r="AF35" s="81" t="e">
        <f t="shared" ca="1" si="11"/>
        <v>#DIV/0!</v>
      </c>
    </row>
    <row r="36" spans="2:32" x14ac:dyDescent="0.3">
      <c r="B36" s="85">
        <f>'EEPROM-Contents'!B109</f>
        <v>105</v>
      </c>
      <c r="C36" s="75">
        <f t="shared" si="7"/>
        <v>128</v>
      </c>
      <c r="D36" s="229" t="str">
        <f>J23</f>
        <v>80</v>
      </c>
      <c r="E36" s="66" t="str">
        <f>'EEPROM-Contents'!L109</f>
        <v>Accelerometer Cal</v>
      </c>
      <c r="F36" s="67"/>
      <c r="G36" s="68"/>
      <c r="N36" s="78" t="s">
        <v>368</v>
      </c>
      <c r="O36" s="79" t="str">
        <f>RIGHT(INDEX('EEPROM-Contents'!$K$4:'EEPROM-Contents'!$K$141,MATCH('EEPROM-Contents'!Q30,'EEPROM-Contents'!$I$4:'EEPROM-Contents'!$I$141,0)),2)</f>
        <v>0E</v>
      </c>
      <c r="P36" s="84" t="str">
        <f>RIGHT(INDEX($D$9:$D$47,MATCH('EEPROM-Contents'!R30,$B$9:$B$47,0)),2)</f>
        <v>89</v>
      </c>
      <c r="Q36" s="84" t="str">
        <f ca="1">RIGHT(INDEX($D$9:$D$47,MATCH('EEPROM-Contents'!S30,$B$9:$B$47,0)),2)</f>
        <v>07</v>
      </c>
      <c r="R36" s="84" t="str">
        <f ca="1">RIGHT(INDEX($D$9:$D$47,MATCH('EEPROM-Contents'!T30,$B$9:$B$47,0)),2)</f>
        <v>01</v>
      </c>
      <c r="S36" s="84" t="str">
        <f ca="1">RIGHT(INDEX($D$9:$D$47,MATCH('EEPROM-Contents'!U30,$B$9:$B$47,0)),2)</f>
        <v>03</v>
      </c>
      <c r="T36" s="84" t="str">
        <f>RIGHT(INDEX($D$9:$D$47,MATCH('EEPROM-Contents'!V30,$B$9:$B$47,0)),2)</f>
        <v>03</v>
      </c>
      <c r="U36" s="84" t="str">
        <f>RIGHT(INDEX($D$9:$D$47,MATCH('EEPROM-Contents'!W30,$B$9:$B$47,0)),2)</f>
        <v>F5</v>
      </c>
      <c r="V36" s="84" t="str">
        <f>RIGHT(INDEX($D$9:$D$47,MATCH('EEPROM-Contents'!X30,$B$9:$B$47,0)),2)</f>
        <v>00</v>
      </c>
      <c r="W36" s="84" t="str">
        <f>RIGHT(INDEX($D$9:$D$47,MATCH('EEPROM-Contents'!Y30,$B$9:$B$47,0)),2)</f>
        <v>00</v>
      </c>
      <c r="X36" s="84" t="str">
        <f>RIGHT(INDEX($D$9:$D$47,MATCH('EEPROM-Contents'!Z30,$B$9:$B$47,0)),2)</f>
        <v>27</v>
      </c>
      <c r="Y36" s="84" t="str">
        <f>RIGHT(INDEX($D$9:$D$47,MATCH('EEPROM-Contents'!AA30,$B$9:$B$47,0)),2)</f>
        <v>0F</v>
      </c>
      <c r="Z36" s="84" t="str">
        <f>RIGHT(INDEX($D$9:$D$47,MATCH('EEPROM-Contents'!AB30,$B$9:$B$47,0)),2)</f>
        <v>80</v>
      </c>
      <c r="AA36" s="84" t="str">
        <f>RIGHT(INDEX($D$9:$D$47,MATCH('EEPROM-Contents'!AC30,$B$9:$B$47,0)),2)</f>
        <v>00</v>
      </c>
      <c r="AB36" s="84" t="str">
        <f>RIGHT(INDEX($D$9:$D$47,MATCH('EEPROM-Contents'!AD30,$B$9:$B$47,0)),2)</f>
        <v>80</v>
      </c>
      <c r="AC36" s="84" t="str">
        <f>RIGHT(INDEX($D$9:$D$47,MATCH('EEPROM-Contents'!AE30,$B$9:$B$47,0)),2)</f>
        <v>00</v>
      </c>
      <c r="AD36" s="84" t="e">
        <f>RIGHT(INDEX($D$9:$D$47,MATCH('EEPROM-Contents'!AF30,$B$9:$B$47,0)),2)</f>
        <v>#DIV/0!</v>
      </c>
      <c r="AF36" s="81" t="e">
        <f t="shared" ca="1" si="11"/>
        <v>#DIV/0!</v>
      </c>
    </row>
    <row r="37" spans="2:32" x14ac:dyDescent="0.3">
      <c r="B37" s="85">
        <f>'EEPROM-Contents'!B110</f>
        <v>106</v>
      </c>
      <c r="C37" s="75">
        <f t="shared" si="7"/>
        <v>0</v>
      </c>
      <c r="D37" s="229" t="str">
        <f>J24</f>
        <v>00</v>
      </c>
      <c r="E37" s="66" t="str">
        <f>'EEPROM-Contents'!L110</f>
        <v>Accelerometer Cal</v>
      </c>
      <c r="F37" s="67"/>
      <c r="G37" s="68"/>
      <c r="N37" s="78" t="s">
        <v>369</v>
      </c>
      <c r="O37" s="84" t="e">
        <f>RIGHT(INDEX($D$9:$D$47,MATCH('EEPROM-Contents'!Q31,$B$9:$B$47,0)),2)</f>
        <v>#DIV/0!</v>
      </c>
      <c r="P37" s="84" t="str">
        <f>RIGHT(INDEX($D$9:$D$47,MATCH('EEPROM-Contents'!R31,$B$9:$B$47,0)),2)</f>
        <v>00</v>
      </c>
      <c r="Q37" s="84" t="str">
        <f>RIGHT(INDEX($D$9:$D$47,MATCH('EEPROM-Contents'!S31,$B$9:$B$47,0)),2)</f>
        <v>00</v>
      </c>
      <c r="R37" s="84" t="str">
        <f>RIGHT(INDEX($D$9:$D$47,MATCH('EEPROM-Contents'!T31,$B$9:$B$47,0)),2)</f>
        <v>FF</v>
      </c>
      <c r="S37" s="84" t="e">
        <f>RIGHT(INDEX($D$9:$D$47,MATCH('EEPROM-Contents'!U31,$B$9:$B$47,0)),2)</f>
        <v>#DIV/0!</v>
      </c>
      <c r="T37" s="84" t="e">
        <f>RIGHT(INDEX($D$9:$D$47,MATCH('EEPROM-Contents'!V31,$B$9:$B$47,0)),2)</f>
        <v>#DIV/0!</v>
      </c>
      <c r="U37" s="84" t="e">
        <f ca="1">RIGHT(INDEX($D$9:$D$47,MATCH('EEPROM-Contents'!W31,$B$9:$B$47,0)),2)</f>
        <v>#DIV/0!</v>
      </c>
      <c r="V37" s="79" t="str">
        <f>RIGHT(INDEX('EEPROM-Contents'!$K$4:'EEPROM-Contents'!$K$141,MATCH('EEPROM-Contents'!X31,'EEPROM-Contents'!$I$4:'EEPROM-Contents'!$I$141,0)),2)</f>
        <v>0F</v>
      </c>
      <c r="W37" s="84" t="str">
        <f>RIGHT(INDEX($D$9:$D$47,MATCH('EEPROM-Contents'!Y31,$B$9:$B$47,0)),2)</f>
        <v>89</v>
      </c>
      <c r="X37" s="84" t="str">
        <f ca="1">RIGHT(INDEX($D$9:$D$47,MATCH('EEPROM-Contents'!Z31,$B$9:$B$47,0)),2)</f>
        <v>07</v>
      </c>
      <c r="Y37" s="84" t="str">
        <f ca="1">RIGHT(INDEX($D$9:$D$47,MATCH('EEPROM-Contents'!AA31,$B$9:$B$47,0)),2)</f>
        <v>01</v>
      </c>
      <c r="Z37" s="84" t="str">
        <f ca="1">RIGHT(INDEX($D$9:$D$47,MATCH('EEPROM-Contents'!AB31,$B$9:$B$47,0)),2)</f>
        <v>03</v>
      </c>
      <c r="AA37" s="84" t="str">
        <f>RIGHT(INDEX($D$9:$D$47,MATCH('EEPROM-Contents'!AC31,$B$9:$B$47,0)),2)</f>
        <v>03</v>
      </c>
      <c r="AB37" s="84" t="str">
        <f>RIGHT(INDEX($D$9:$D$47,MATCH('EEPROM-Contents'!AD31,$B$9:$B$47,0)),2)</f>
        <v>F5</v>
      </c>
      <c r="AC37" s="84" t="str">
        <f>RIGHT(INDEX($D$9:$D$47,MATCH('EEPROM-Contents'!AE31,$B$9:$B$47,0)),2)</f>
        <v>00</v>
      </c>
      <c r="AD37" s="84" t="str">
        <f>RIGHT(INDEX($D$9:$D$47,MATCH('EEPROM-Contents'!AF31,$B$9:$B$47,0)),2)</f>
        <v>00</v>
      </c>
      <c r="AF37" s="81" t="e">
        <f t="shared" ca="1" si="11"/>
        <v>#DIV/0!</v>
      </c>
    </row>
    <row r="38" spans="2:32" x14ac:dyDescent="0.3">
      <c r="B38" s="85">
        <f>'EEPROM-Contents'!B111</f>
        <v>107</v>
      </c>
      <c r="C38" s="75">
        <f t="shared" si="7"/>
        <v>128</v>
      </c>
      <c r="D38" s="229" t="str">
        <f>K23</f>
        <v>80</v>
      </c>
      <c r="E38" s="66" t="str">
        <f>'EEPROM-Contents'!L111</f>
        <v>Accelerometer Cal</v>
      </c>
      <c r="F38" s="67"/>
      <c r="G38" s="68"/>
      <c r="N38" s="78" t="s">
        <v>370</v>
      </c>
      <c r="O38" s="84" t="str">
        <f>RIGHT(INDEX($D$9:$D$47,MATCH('EEPROM-Contents'!Q32,$B$9:$B$47,0)),2)</f>
        <v>27</v>
      </c>
      <c r="P38" s="84" t="str">
        <f>RIGHT(INDEX($D$9:$D$47,MATCH('EEPROM-Contents'!R32,$B$9:$B$47,0)),2)</f>
        <v>0F</v>
      </c>
      <c r="Q38" s="84" t="str">
        <f>RIGHT(INDEX($D$9:$D$47,MATCH('EEPROM-Contents'!S32,$B$9:$B$47,0)),2)</f>
        <v>80</v>
      </c>
      <c r="R38" s="84" t="str">
        <f>RIGHT(INDEX($D$9:$D$47,MATCH('EEPROM-Contents'!T32,$B$9:$B$47,0)),2)</f>
        <v>00</v>
      </c>
      <c r="S38" s="84" t="str">
        <f>RIGHT(INDEX($D$9:$D$47,MATCH('EEPROM-Contents'!U32,$B$9:$B$47,0)),2)</f>
        <v>80</v>
      </c>
      <c r="T38" s="84" t="str">
        <f>RIGHT(INDEX($D$9:$D$47,MATCH('EEPROM-Contents'!V32,$B$9:$B$47,0)),2)</f>
        <v>00</v>
      </c>
      <c r="U38" s="84" t="e">
        <f>RIGHT(INDEX($D$9:$D$47,MATCH('EEPROM-Contents'!W32,$B$9:$B$47,0)),2)</f>
        <v>#DIV/0!</v>
      </c>
      <c r="V38" s="84" t="e">
        <f>RIGHT(INDEX($D$9:$D$47,MATCH('EEPROM-Contents'!X32,$B$9:$B$47,0)),2)</f>
        <v>#DIV/0!</v>
      </c>
      <c r="W38" s="84" t="str">
        <f>RIGHT(INDEX($D$9:$D$47,MATCH('EEPROM-Contents'!Y32,$B$9:$B$47,0)),2)</f>
        <v>00</v>
      </c>
      <c r="X38" s="84" t="str">
        <f>RIGHT(INDEX($D$9:$D$47,MATCH('EEPROM-Contents'!Z32,$B$9:$B$47,0)),2)</f>
        <v>00</v>
      </c>
      <c r="Y38" s="84" t="str">
        <f>RIGHT(INDEX($D$9:$D$47,MATCH('EEPROM-Contents'!AA32,$B$9:$B$47,0)),2)</f>
        <v>FF</v>
      </c>
      <c r="Z38" s="84" t="e">
        <f>RIGHT(INDEX($D$9:$D$47,MATCH('EEPROM-Contents'!AB32,$B$9:$B$47,0)),2)</f>
        <v>#DIV/0!</v>
      </c>
      <c r="AA38" s="84" t="e">
        <f>RIGHT(INDEX($D$9:$D$47,MATCH('EEPROM-Contents'!AC32,$B$9:$B$47,0)),2)</f>
        <v>#DIV/0!</v>
      </c>
      <c r="AB38" s="84" t="e">
        <f ca="1">RIGHT(INDEX($D$9:$D$47,MATCH('EEPROM-Contents'!AD32,$B$9:$B$47,0)),2)</f>
        <v>#DIV/0!</v>
      </c>
      <c r="AC38" s="79" t="str">
        <f>RIGHT(INDEX('EEPROM-Contents'!$K$4:'EEPROM-Contents'!$K$141,MATCH('EEPROM-Contents'!AE32,'EEPROM-Contents'!$I$4:'EEPROM-Contents'!$I$141,0)),2)</f>
        <v>10</v>
      </c>
      <c r="AD38" s="84" t="str">
        <f>RIGHT(INDEX($D$9:$D$47,MATCH('EEPROM-Contents'!AF32,$B$9:$B$47,0)),2)</f>
        <v>89</v>
      </c>
      <c r="AF38" s="81" t="e">
        <f t="shared" ca="1" si="11"/>
        <v>#DIV/0!</v>
      </c>
    </row>
    <row r="39" spans="2:32" x14ac:dyDescent="0.3">
      <c r="B39" s="85">
        <f>'EEPROM-Contents'!B112</f>
        <v>108</v>
      </c>
      <c r="C39" s="75">
        <f t="shared" si="7"/>
        <v>0</v>
      </c>
      <c r="D39" s="229" t="str">
        <f>K24</f>
        <v>00</v>
      </c>
      <c r="E39" s="66" t="str">
        <f>'EEPROM-Contents'!L112</f>
        <v>Accelerometer Cal</v>
      </c>
      <c r="F39" s="67"/>
      <c r="G39" s="68"/>
      <c r="N39" s="78" t="s">
        <v>371</v>
      </c>
      <c r="O39" s="84" t="str">
        <f ca="1">RIGHT(INDEX($D$9:$D$47,MATCH('EEPROM-Contents'!Q33,$B$9:$B$47,0)),2)</f>
        <v>07</v>
      </c>
      <c r="P39" s="84" t="str">
        <f ca="1">RIGHT(INDEX($D$9:$D$47,MATCH('EEPROM-Contents'!R33,$B$9:$B$47,0)),2)</f>
        <v>01</v>
      </c>
      <c r="Q39" s="84" t="str">
        <f ca="1">RIGHT(INDEX($D$9:$D$47,MATCH('EEPROM-Contents'!S33,$B$9:$B$47,0)),2)</f>
        <v>03</v>
      </c>
      <c r="R39" s="84" t="str">
        <f>RIGHT(INDEX($D$9:$D$47,MATCH('EEPROM-Contents'!T33,$B$9:$B$47,0)),2)</f>
        <v>03</v>
      </c>
      <c r="S39" s="84" t="str">
        <f>RIGHT(INDEX($D$9:$D$47,MATCH('EEPROM-Contents'!U33,$B$9:$B$47,0)),2)</f>
        <v>F5</v>
      </c>
      <c r="T39" s="84" t="str">
        <f>RIGHT(INDEX($D$9:$D$47,MATCH('EEPROM-Contents'!V33,$B$9:$B$47,0)),2)</f>
        <v>00</v>
      </c>
      <c r="U39" s="84" t="str">
        <f>RIGHT(INDEX($D$9:$D$47,MATCH('EEPROM-Contents'!W33,$B$9:$B$47,0)),2)</f>
        <v>00</v>
      </c>
      <c r="V39" s="84" t="str">
        <f>RIGHT(INDEX($D$9:$D$47,MATCH('EEPROM-Contents'!X33,$B$9:$B$47,0)),2)</f>
        <v>27</v>
      </c>
      <c r="W39" s="84" t="str">
        <f>RIGHT(INDEX($D$9:$D$47,MATCH('EEPROM-Contents'!Y33,$B$9:$B$47,0)),2)</f>
        <v>0F</v>
      </c>
      <c r="X39" s="84" t="str">
        <f>RIGHT(INDEX($D$9:$D$47,MATCH('EEPROM-Contents'!Z33,$B$9:$B$47,0)),2)</f>
        <v>80</v>
      </c>
      <c r="Y39" s="84" t="str">
        <f>RIGHT(INDEX($D$9:$D$47,MATCH('EEPROM-Contents'!AA33,$B$9:$B$47,0)),2)</f>
        <v>00</v>
      </c>
      <c r="Z39" s="84" t="str">
        <f>RIGHT(INDEX($D$9:$D$47,MATCH('EEPROM-Contents'!AB33,$B$9:$B$47,0)),2)</f>
        <v>80</v>
      </c>
      <c r="AA39" s="84" t="str">
        <f>RIGHT(INDEX($D$9:$D$47,MATCH('EEPROM-Contents'!AC33,$B$9:$B$47,0)),2)</f>
        <v>00</v>
      </c>
      <c r="AB39" s="84" t="e">
        <f>RIGHT(INDEX($D$9:$D$47,MATCH('EEPROM-Contents'!AD33,$B$9:$B$47,0)),2)</f>
        <v>#DIV/0!</v>
      </c>
      <c r="AC39" s="84" t="e">
        <f>RIGHT(INDEX($D$9:$D$47,MATCH('EEPROM-Contents'!AE33,$B$9:$B$47,0)),2)</f>
        <v>#DIV/0!</v>
      </c>
      <c r="AD39" s="84" t="str">
        <f>RIGHT(INDEX($D$9:$D$47,MATCH('EEPROM-Contents'!AF33,$B$9:$B$47,0)),2)</f>
        <v>00</v>
      </c>
      <c r="AF39" s="81" t="e">
        <f t="shared" ca="1" si="11"/>
        <v>#DIV/0!</v>
      </c>
    </row>
    <row r="40" spans="2:32" x14ac:dyDescent="0.3">
      <c r="B40" s="85">
        <f>'EEPROM-Contents'!B113</f>
        <v>109</v>
      </c>
      <c r="C40" s="75" t="e">
        <f t="shared" si="7"/>
        <v>#DIV/0!</v>
      </c>
      <c r="D40" s="362" t="e">
        <f>U45</f>
        <v>#DIV/0!</v>
      </c>
      <c r="E40" s="66" t="str">
        <f>'EEPROM-Contents'!L113</f>
        <v>Cal Factor for CondyleA 16mm</v>
      </c>
      <c r="F40" s="67"/>
      <c r="G40" s="68"/>
      <c r="N40" s="78" t="s">
        <v>372</v>
      </c>
      <c r="O40" s="84" t="str">
        <f>RIGHT(INDEX($D$9:$D$47,MATCH('EEPROM-Contents'!Q34,$B$9:$B$47,0)),2)</f>
        <v>00</v>
      </c>
      <c r="P40" s="84" t="str">
        <f>RIGHT(INDEX($D$9:$D$47,MATCH('EEPROM-Contents'!R34,$B$9:$B$47,0)),2)</f>
        <v>FF</v>
      </c>
      <c r="Q40" s="84" t="e">
        <f>RIGHT(INDEX($D$9:$D$47,MATCH('EEPROM-Contents'!S34,$B$9:$B$47,0)),2)</f>
        <v>#DIV/0!</v>
      </c>
      <c r="R40" s="84" t="e">
        <f>RIGHT(INDEX($D$9:$D$47,MATCH('EEPROM-Contents'!T34,$B$9:$B$47,0)),2)</f>
        <v>#DIV/0!</v>
      </c>
      <c r="S40" s="84" t="e">
        <f ca="1">RIGHT(INDEX($D$9:$D$47,MATCH('EEPROM-Contents'!U34,$B$9:$B$47,0)),2)</f>
        <v>#DIV/0!</v>
      </c>
      <c r="T40" s="79" t="str">
        <f>RIGHT(INDEX('EEPROM-Contents'!$K$4:'EEPROM-Contents'!$K$141,MATCH('EEPROM-Contents'!V34,'EEPROM-Contents'!$I$4:'EEPROM-Contents'!$I$141,0)),2)</f>
        <v>11</v>
      </c>
      <c r="U40" s="84" t="str">
        <f>RIGHT(INDEX($D$9:$D$47,MATCH('EEPROM-Contents'!W34,$B$9:$B$47,0)),2)</f>
        <v>89</v>
      </c>
      <c r="V40" s="84" t="str">
        <f ca="1">RIGHT(INDEX($D$9:$D$47,MATCH('EEPROM-Contents'!X34,$B$9:$B$47,0)),2)</f>
        <v>07</v>
      </c>
      <c r="W40" s="84" t="str">
        <f ca="1">RIGHT(INDEX($D$9:$D$47,MATCH('EEPROM-Contents'!Y34,$B$9:$B$47,0)),2)</f>
        <v>01</v>
      </c>
      <c r="X40" s="84" t="str">
        <f ca="1">RIGHT(INDEX($D$9:$D$47,MATCH('EEPROM-Contents'!Z34,$B$9:$B$47,0)),2)</f>
        <v>03</v>
      </c>
      <c r="Y40" s="84" t="str">
        <f>RIGHT(INDEX($D$9:$D$47,MATCH('EEPROM-Contents'!AA34,$B$9:$B$47,0)),2)</f>
        <v>03</v>
      </c>
      <c r="Z40" s="84" t="str">
        <f>RIGHT(INDEX($D$9:$D$47,MATCH('EEPROM-Contents'!AB34,$B$9:$B$47,0)),2)</f>
        <v>F5</v>
      </c>
      <c r="AA40" s="84" t="str">
        <f>RIGHT(INDEX($D$9:$D$47,MATCH('EEPROM-Contents'!AC34,$B$9:$B$47,0)),2)</f>
        <v>00</v>
      </c>
      <c r="AB40" s="84" t="str">
        <f>RIGHT(INDEX($D$9:$D$47,MATCH('EEPROM-Contents'!AD34,$B$9:$B$47,0)),2)</f>
        <v>00</v>
      </c>
      <c r="AC40" s="84" t="str">
        <f>RIGHT(INDEX($D$9:$D$47,MATCH('EEPROM-Contents'!AE34,$B$9:$B$47,0)),2)</f>
        <v>27</v>
      </c>
      <c r="AD40" s="84" t="str">
        <f>RIGHT(INDEX($D$9:$D$47,MATCH('EEPROM-Contents'!AF34,$B$9:$B$47,0)),2)</f>
        <v>0F</v>
      </c>
      <c r="AF40" s="81" t="e">
        <f t="shared" ca="1" si="11"/>
        <v>#DIV/0!</v>
      </c>
    </row>
    <row r="41" spans="2:32" ht="15" thickBot="1" x14ac:dyDescent="0.35">
      <c r="B41" s="85">
        <f>'EEPROM-Contents'!B114</f>
        <v>110</v>
      </c>
      <c r="C41" s="75" t="e">
        <f t="shared" si="7"/>
        <v>#DIV/0!</v>
      </c>
      <c r="D41" s="362" t="e">
        <f>U46</f>
        <v>#DIV/0!</v>
      </c>
      <c r="E41" s="66" t="str">
        <f>'EEPROM-Contents'!L114</f>
        <v>Cal Factor for CondyleB 16mm</v>
      </c>
      <c r="F41" s="67"/>
      <c r="G41" s="68"/>
      <c r="N41" s="78" t="s">
        <v>373</v>
      </c>
      <c r="O41" s="84" t="str">
        <f>RIGHT(INDEX($D$9:$D$47,MATCH('EEPROM-Contents'!Q35,$B$9:$B$47,0)),2)</f>
        <v>80</v>
      </c>
      <c r="P41" s="84" t="str">
        <f>RIGHT(INDEX($D$9:$D$47,MATCH('EEPROM-Contents'!R35,$B$9:$B$47,0)),2)</f>
        <v>00</v>
      </c>
      <c r="Q41" s="84" t="str">
        <f>RIGHT(INDEX($D$9:$D$47,MATCH('EEPROM-Contents'!S35,$B$9:$B$47,0)),2)</f>
        <v>80</v>
      </c>
      <c r="R41" s="84" t="str">
        <f>RIGHT(INDEX($D$9:$D$47,MATCH('EEPROM-Contents'!T35,$B$9:$B$47,0)),2)</f>
        <v>00</v>
      </c>
      <c r="S41" s="84" t="e">
        <f>RIGHT(INDEX($D$9:$D$47,MATCH('EEPROM-Contents'!U35,$B$9:$B$47,0)),2)</f>
        <v>#DIV/0!</v>
      </c>
      <c r="T41" s="84" t="e">
        <f>RIGHT(INDEX($D$9:$D$47,MATCH('EEPROM-Contents'!V35,$B$9:$B$47,0)),2)</f>
        <v>#DIV/0!</v>
      </c>
      <c r="U41" s="84" t="str">
        <f>RIGHT(INDEX($D$9:$D$47,MATCH('EEPROM-Contents'!W35,$B$9:$B$47,0)),2)</f>
        <v>00</v>
      </c>
      <c r="V41" s="84" t="str">
        <f>RIGHT(INDEX($D$9:$D$47,MATCH('EEPROM-Contents'!X35,$B$9:$B$47,0)),2)</f>
        <v>00</v>
      </c>
      <c r="W41" s="84" t="str">
        <f>RIGHT(INDEX($D$9:$D$47,MATCH('EEPROM-Contents'!Y35,$B$9:$B$47,0)),2)</f>
        <v>FF</v>
      </c>
      <c r="X41" s="84" t="e">
        <f>RIGHT(INDEX($D$9:$D$47,MATCH('EEPROM-Contents'!Z35,$B$9:$B$47,0)),2)</f>
        <v>#DIV/0!</v>
      </c>
      <c r="Y41" s="84" t="e">
        <f>RIGHT(INDEX($D$9:$D$47,MATCH('EEPROM-Contents'!AA35,$B$9:$B$47,0)),2)</f>
        <v>#DIV/0!</v>
      </c>
      <c r="Z41" s="84" t="e">
        <f ca="1">RIGHT(INDEX($D$9:$D$47,MATCH('EEPROM-Contents'!AB35,$B$9:$B$47,0)),2)</f>
        <v>#DIV/0!</v>
      </c>
      <c r="AA41" s="79" t="str">
        <f>RIGHT(INDEX('EEPROM-Contents'!$K$4:'EEPROM-Contents'!$K$141,MATCH('EEPROM-Contents'!AC35,'EEPROM-Contents'!$I$4:'EEPROM-Contents'!$I$141,0)),2)</f>
        <v>12</v>
      </c>
      <c r="AB41" s="79" t="str">
        <f>RIGHT(INDEX('EEPROM-Contents'!$K$4:'EEPROM-Contents'!$K$141,MATCH('EEPROM-Contents'!AD35,'EEPROM-Contents'!$I$4:'EEPROM-Contents'!$I$141,0)),2)</f>
        <v>80</v>
      </c>
      <c r="AC41" s="79" t="str">
        <f>RIGHT(INDEX('EEPROM-Contents'!$K$4:'EEPROM-Contents'!$K$141,MATCH('EEPROM-Contents'!AE35,'EEPROM-Contents'!$I$4:'EEPROM-Contents'!$I$141,0)),2)</f>
        <v>00</v>
      </c>
      <c r="AD41" s="79" t="str">
        <f>RIGHT(INDEX('EEPROM-Contents'!$K$4:'EEPROM-Contents'!$K$141,MATCH('EEPROM-Contents'!AF35,'EEPROM-Contents'!$I$4:'EEPROM-Contents'!$I$141,0)),2)</f>
        <v>00</v>
      </c>
      <c r="AF41" s="82" t="e">
        <f t="shared" ca="1" si="11"/>
        <v>#DIV/0!</v>
      </c>
    </row>
    <row r="42" spans="2:32" x14ac:dyDescent="0.3">
      <c r="B42" s="85">
        <f>'EEPROM-Contents'!B115</f>
        <v>111</v>
      </c>
      <c r="C42" s="75">
        <f t="shared" si="7"/>
        <v>0</v>
      </c>
      <c r="D42" s="229" t="str">
        <f>K28</f>
        <v>00</v>
      </c>
      <c r="E42" s="66" t="str">
        <f>'EEPROM-Contents'!L115</f>
        <v>Voltage H Cal 3.1V</v>
      </c>
      <c r="F42" s="67"/>
      <c r="G42" s="68"/>
    </row>
    <row r="43" spans="2:32" x14ac:dyDescent="0.3">
      <c r="B43" s="85">
        <f>'EEPROM-Contents'!B116</f>
        <v>112</v>
      </c>
      <c r="C43" s="75">
        <f t="shared" si="7"/>
        <v>0</v>
      </c>
      <c r="D43" s="229" t="str">
        <f>K29</f>
        <v>00</v>
      </c>
      <c r="E43" s="66" t="str">
        <f>'EEPROM-Contents'!L116</f>
        <v>Voltage L Cal 3.1V</v>
      </c>
      <c r="F43" s="67"/>
      <c r="G43" s="68"/>
    </row>
    <row r="44" spans="2:32" ht="15" customHeight="1" thickBot="1" x14ac:dyDescent="0.35">
      <c r="B44" s="85">
        <f>'EEPROM-Contents'!B117</f>
        <v>113</v>
      </c>
      <c r="C44" s="75">
        <f>HEX2DEC(D44)</f>
        <v>255</v>
      </c>
      <c r="D44" s="228" t="str">
        <f>F4</f>
        <v>FF</v>
      </c>
      <c r="E44" s="66" t="str">
        <f>'EEPROM-Contents'!L117</f>
        <v>Operating Side</v>
      </c>
      <c r="F44" s="67"/>
      <c r="G44" s="68"/>
      <c r="S44" s="305" t="s">
        <v>722</v>
      </c>
      <c r="T44" s="305"/>
      <c r="U44" s="305"/>
      <c r="V44" s="305"/>
      <c r="W44" s="305"/>
      <c r="X44" s="305"/>
      <c r="Y44" s="305"/>
    </row>
    <row r="45" spans="2:32" ht="15" customHeight="1" thickBot="1" x14ac:dyDescent="0.35">
      <c r="B45" s="85">
        <f>'EEPROM-Contents'!B118</f>
        <v>114</v>
      </c>
      <c r="C45" s="75" t="e">
        <f>K10</f>
        <v>#DIV/0!</v>
      </c>
      <c r="D45" s="228" t="e">
        <f>DEC2HEX(C45,2)</f>
        <v>#DIV/0!</v>
      </c>
      <c r="E45" s="66" t="str">
        <f>'EEPROM-Contents'!L118</f>
        <v>Cal Factor for CondyleA 10mm</v>
      </c>
      <c r="F45" s="67"/>
      <c r="G45" s="68"/>
      <c r="S45" s="307">
        <f>B26</f>
        <v>95</v>
      </c>
      <c r="T45" s="343" t="e">
        <f>'1204-Scale-Volt-Accel-16mm'!$C$45</f>
        <v>#DIV/0!</v>
      </c>
      <c r="U45" s="343" t="e">
        <f>'1204-Scale-Volt-Accel-16mm'!$D$45</f>
        <v>#DIV/0!</v>
      </c>
      <c r="V45" s="469" t="s">
        <v>791</v>
      </c>
      <c r="W45" s="469"/>
      <c r="X45" s="469"/>
      <c r="Y45" s="470"/>
      <c r="AA45" s="313" t="s">
        <v>742</v>
      </c>
      <c r="AB45" s="313" t="s">
        <v>743</v>
      </c>
      <c r="AC45" s="484" t="s">
        <v>744</v>
      </c>
      <c r="AD45" s="485"/>
      <c r="AE45" s="486"/>
    </row>
    <row r="46" spans="2:32" ht="15" customHeight="1" thickBot="1" x14ac:dyDescent="0.35">
      <c r="B46" s="85">
        <f>'EEPROM-Contents'!B119</f>
        <v>115</v>
      </c>
      <c r="C46" s="75" t="e">
        <f>L10</f>
        <v>#DIV/0!</v>
      </c>
      <c r="D46" s="228" t="e">
        <f>DEC2HEX(C46,2)</f>
        <v>#DIV/0!</v>
      </c>
      <c r="E46" s="66" t="str">
        <f>'EEPROM-Contents'!L119</f>
        <v>Cal Factor for CondyleB 10mm</v>
      </c>
      <c r="F46" s="67"/>
      <c r="G46" s="68"/>
      <c r="S46" s="307">
        <f t="shared" ref="S46:S66" si="12">B27</f>
        <v>96</v>
      </c>
      <c r="T46" s="343" t="e">
        <f>'1204-Scale-Volt-Accel-16mm'!$C$46</f>
        <v>#DIV/0!</v>
      </c>
      <c r="U46" s="343" t="e">
        <f>'1204-Scale-Volt-Accel-16mm'!$D$46</f>
        <v>#DIV/0!</v>
      </c>
      <c r="V46" s="469" t="s">
        <v>792</v>
      </c>
      <c r="W46" s="469"/>
      <c r="X46" s="469"/>
      <c r="Y46" s="470"/>
      <c r="AA46" s="314" t="e">
        <f>F70</f>
        <v>#DIV/0!</v>
      </c>
      <c r="AB46" s="313" t="e">
        <f>DEC2HEX(AA46)</f>
        <v>#DIV/0!</v>
      </c>
      <c r="AC46" s="313" t="s">
        <v>745</v>
      </c>
      <c r="AD46" s="315"/>
      <c r="AE46" s="315"/>
    </row>
    <row r="47" spans="2:32" ht="15" customHeight="1" thickBot="1" x14ac:dyDescent="0.35">
      <c r="B47" s="85">
        <f>'EEPROM-Contents'!B120</f>
        <v>116</v>
      </c>
      <c r="C47" s="75" t="e">
        <f ca="1">255-HEX2DEC(RIGHT(DEC2HEX(SUM(C22:C46)),2))</f>
        <v>#DIV/0!</v>
      </c>
      <c r="D47" s="228" t="e">
        <f ca="1">DEC2HEX($C$47,2)</f>
        <v>#DIV/0!</v>
      </c>
      <c r="E47" s="66" t="str">
        <f>'EEPROM-Contents'!L120</f>
        <v>Checksum</v>
      </c>
      <c r="F47" s="67"/>
      <c r="G47" s="68"/>
      <c r="S47" s="307">
        <f t="shared" si="12"/>
        <v>97</v>
      </c>
      <c r="T47" s="491" t="e">
        <f>AA52</f>
        <v>#DIV/0!</v>
      </c>
      <c r="U47" s="308" t="e">
        <f>LEFT(AB52,2)</f>
        <v>#VALUE!</v>
      </c>
      <c r="V47" s="469" t="s">
        <v>724</v>
      </c>
      <c r="W47" s="469"/>
      <c r="X47" s="469"/>
      <c r="Y47" s="470"/>
      <c r="AA47" s="314" t="e">
        <f>G70</f>
        <v>#DIV/0!</v>
      </c>
      <c r="AB47" s="313" t="e">
        <f>DEC2HEX(AA47)</f>
        <v>#DIV/0!</v>
      </c>
      <c r="AC47" s="313" t="s">
        <v>723</v>
      </c>
      <c r="AD47" s="315"/>
      <c r="AE47" s="315"/>
    </row>
    <row r="48" spans="2:32" ht="15" thickBot="1" x14ac:dyDescent="0.35">
      <c r="S48" s="307">
        <f t="shared" si="12"/>
        <v>98</v>
      </c>
      <c r="T48" s="472"/>
      <c r="U48" s="306" t="e">
        <f>MID(AB52,4,2)</f>
        <v>#VALUE!</v>
      </c>
      <c r="V48" s="463" t="s">
        <v>725</v>
      </c>
      <c r="W48" s="463"/>
      <c r="X48" s="463"/>
      <c r="Y48" s="464"/>
    </row>
    <row r="49" spans="2:32" ht="15" customHeight="1" thickBot="1" x14ac:dyDescent="0.35">
      <c r="B49" s="439" t="s">
        <v>221</v>
      </c>
      <c r="C49" s="440"/>
      <c r="D49" s="440"/>
      <c r="E49" s="440"/>
      <c r="F49" s="440"/>
      <c r="G49" s="440"/>
      <c r="H49" s="440"/>
      <c r="I49" s="440"/>
      <c r="J49" s="440"/>
      <c r="K49" s="441"/>
      <c r="M49" s="303" t="s">
        <v>712</v>
      </c>
      <c r="S49" s="307">
        <f t="shared" si="12"/>
        <v>99</v>
      </c>
      <c r="T49" s="472"/>
      <c r="U49" s="306" t="e">
        <f>MID(AB52,7,2)</f>
        <v>#VALUE!</v>
      </c>
      <c r="V49" s="463" t="s">
        <v>726</v>
      </c>
      <c r="W49" s="463"/>
      <c r="X49" s="463"/>
      <c r="Y49" s="464"/>
    </row>
    <row r="50" spans="2:32" ht="15" thickBot="1" x14ac:dyDescent="0.35">
      <c r="B50" s="110" t="s">
        <v>222</v>
      </c>
      <c r="C50" s="110" t="s">
        <v>779</v>
      </c>
      <c r="D50" s="110" t="s">
        <v>223</v>
      </c>
      <c r="E50" s="339" t="s">
        <v>224</v>
      </c>
      <c r="F50" s="339" t="s">
        <v>225</v>
      </c>
      <c r="G50" s="339" t="s">
        <v>226</v>
      </c>
      <c r="H50" s="339" t="s">
        <v>227</v>
      </c>
      <c r="I50" s="110" t="s">
        <v>777</v>
      </c>
      <c r="J50" s="339" t="s">
        <v>778</v>
      </c>
      <c r="K50" s="339" t="s">
        <v>230</v>
      </c>
      <c r="M50" s="293" t="s">
        <v>708</v>
      </c>
      <c r="N50" s="293" t="s">
        <v>709</v>
      </c>
      <c r="O50" s="293" t="s">
        <v>711</v>
      </c>
      <c r="P50" s="293" t="s">
        <v>710</v>
      </c>
      <c r="S50" s="307">
        <f t="shared" ref="S50:S61" si="13">B31</f>
        <v>100</v>
      </c>
      <c r="T50" s="492"/>
      <c r="U50" s="311" t="e">
        <f>RIGHT(AB52,2)</f>
        <v>#VALUE!</v>
      </c>
      <c r="V50" s="465" t="s">
        <v>727</v>
      </c>
      <c r="W50" s="465"/>
      <c r="X50" s="465"/>
      <c r="Y50" s="466"/>
    </row>
    <row r="51" spans="2:32" ht="15" customHeight="1" thickTop="1" thickBot="1" x14ac:dyDescent="0.35">
      <c r="B51" s="324">
        <v>70</v>
      </c>
      <c r="C51" s="325"/>
      <c r="D51" s="325"/>
      <c r="E51" s="325"/>
      <c r="F51" s="325"/>
      <c r="G51" s="325"/>
      <c r="H51" s="325"/>
      <c r="I51" s="325"/>
      <c r="J51" s="325"/>
      <c r="K51" s="325"/>
      <c r="M51" s="292"/>
      <c r="N51" s="292"/>
      <c r="O51" s="292"/>
      <c r="P51" s="294">
        <f t="shared" ref="P51:P61" si="14">O51-N51</f>
        <v>0</v>
      </c>
      <c r="S51" s="307">
        <f t="shared" si="13"/>
        <v>101</v>
      </c>
      <c r="T51" s="460" t="e">
        <f>AA54</f>
        <v>#DIV/0!</v>
      </c>
      <c r="U51" s="312" t="e">
        <f>LEFT(AB54,2)</f>
        <v>#VALUE!</v>
      </c>
      <c r="V51" s="467" t="s">
        <v>728</v>
      </c>
      <c r="W51" s="467"/>
      <c r="X51" s="467"/>
      <c r="Y51" s="468"/>
      <c r="AA51" s="317" t="s">
        <v>742</v>
      </c>
      <c r="AB51" s="488" t="s">
        <v>743</v>
      </c>
      <c r="AC51" s="488"/>
      <c r="AD51" s="488"/>
      <c r="AE51" s="487" t="s">
        <v>744</v>
      </c>
      <c r="AF51" s="487"/>
    </row>
    <row r="52" spans="2:32" ht="15" customHeight="1" thickBot="1" x14ac:dyDescent="0.35">
      <c r="B52" s="324">
        <v>140</v>
      </c>
      <c r="C52" s="325"/>
      <c r="D52" s="325"/>
      <c r="E52" s="325"/>
      <c r="F52" s="325"/>
      <c r="G52" s="325"/>
      <c r="H52" s="325"/>
      <c r="I52" s="325"/>
      <c r="J52" s="325"/>
      <c r="K52" s="325"/>
      <c r="M52" s="292"/>
      <c r="N52" s="292"/>
      <c r="O52" s="292"/>
      <c r="P52" s="294">
        <f t="shared" si="14"/>
        <v>0</v>
      </c>
      <c r="S52" s="307">
        <f t="shared" si="13"/>
        <v>102</v>
      </c>
      <c r="T52" s="461"/>
      <c r="U52" s="306" t="e">
        <f>MID(AB54,4,2)</f>
        <v>#VALUE!</v>
      </c>
      <c r="V52" s="463" t="s">
        <v>729</v>
      </c>
      <c r="W52" s="463"/>
      <c r="X52" s="463"/>
      <c r="Y52" s="464"/>
      <c r="AA52" s="318" t="e">
        <f>I70</f>
        <v>#DIV/0!</v>
      </c>
      <c r="AB52" s="484" t="e">
        <f>sng2hex(AA52)</f>
        <v>#VALUE!</v>
      </c>
      <c r="AC52" s="485"/>
      <c r="AD52" s="486"/>
      <c r="AE52" s="316" t="s">
        <v>746</v>
      </c>
      <c r="AF52" s="316"/>
    </row>
    <row r="53" spans="2:32" ht="15" customHeight="1" thickBot="1" x14ac:dyDescent="0.35">
      <c r="B53" s="324">
        <v>0</v>
      </c>
      <c r="C53" s="325"/>
      <c r="D53" s="325"/>
      <c r="E53" s="325"/>
      <c r="F53" s="325"/>
      <c r="G53" s="325"/>
      <c r="H53" s="325"/>
      <c r="I53" s="325"/>
      <c r="J53" s="325"/>
      <c r="K53" s="325"/>
      <c r="M53" s="292"/>
      <c r="N53" s="292"/>
      <c r="O53" s="292"/>
      <c r="P53" s="294">
        <f t="shared" si="14"/>
        <v>0</v>
      </c>
      <c r="S53" s="307">
        <f t="shared" si="13"/>
        <v>103</v>
      </c>
      <c r="T53" s="461"/>
      <c r="U53" s="306" t="e">
        <f>MID(AB54,7,2)</f>
        <v>#VALUE!</v>
      </c>
      <c r="V53" s="463" t="s">
        <v>730</v>
      </c>
      <c r="W53" s="463"/>
      <c r="X53" s="463"/>
      <c r="Y53" s="464"/>
      <c r="AA53" s="318" t="e">
        <f>J70</f>
        <v>#DIV/0!</v>
      </c>
      <c r="AB53" s="484" t="e">
        <f>sng2hex(AA53)</f>
        <v>#VALUE!</v>
      </c>
      <c r="AC53" s="485"/>
      <c r="AD53" s="486"/>
      <c r="AE53" s="316" t="s">
        <v>747</v>
      </c>
      <c r="AF53" s="316"/>
    </row>
    <row r="54" spans="2:32" ht="15" customHeight="1" thickBot="1" x14ac:dyDescent="0.35">
      <c r="B54" s="324">
        <v>70</v>
      </c>
      <c r="C54" s="325"/>
      <c r="D54" s="325"/>
      <c r="E54" s="325"/>
      <c r="F54" s="325"/>
      <c r="G54" s="325"/>
      <c r="H54" s="325"/>
      <c r="I54" s="325"/>
      <c r="J54" s="325"/>
      <c r="K54" s="325"/>
      <c r="M54" s="292"/>
      <c r="N54" s="292"/>
      <c r="O54" s="292"/>
      <c r="P54" s="294">
        <f t="shared" si="14"/>
        <v>0</v>
      </c>
      <c r="S54" s="307">
        <f t="shared" si="13"/>
        <v>104</v>
      </c>
      <c r="T54" s="462"/>
      <c r="U54" s="311" t="e">
        <f>RIGHT(AB54,2)</f>
        <v>#VALUE!</v>
      </c>
      <c r="V54" s="465" t="s">
        <v>731</v>
      </c>
      <c r="W54" s="465"/>
      <c r="X54" s="465"/>
      <c r="Y54" s="466"/>
      <c r="AA54" s="318" t="e">
        <f>I71</f>
        <v>#DIV/0!</v>
      </c>
      <c r="AB54" s="484" t="e">
        <f>sng2hex(AA54)</f>
        <v>#VALUE!</v>
      </c>
      <c r="AC54" s="485"/>
      <c r="AD54" s="486"/>
      <c r="AE54" s="316" t="s">
        <v>748</v>
      </c>
      <c r="AF54" s="316"/>
    </row>
    <row r="55" spans="2:32" ht="15" customHeight="1" thickTop="1" thickBot="1" x14ac:dyDescent="0.35">
      <c r="B55" s="324">
        <v>140</v>
      </c>
      <c r="C55" s="325"/>
      <c r="D55" s="325"/>
      <c r="E55" s="325"/>
      <c r="F55" s="325"/>
      <c r="G55" s="325"/>
      <c r="H55" s="325"/>
      <c r="I55" s="325"/>
      <c r="J55" s="325"/>
      <c r="K55" s="325"/>
      <c r="M55" s="292"/>
      <c r="N55" s="292"/>
      <c r="O55" s="292"/>
      <c r="P55" s="294">
        <f t="shared" si="14"/>
        <v>0</v>
      </c>
      <c r="S55" s="307">
        <f t="shared" si="13"/>
        <v>105</v>
      </c>
      <c r="T55" s="460" t="e">
        <f>AA53</f>
        <v>#DIV/0!</v>
      </c>
      <c r="U55" s="312" t="e">
        <f>LEFT(AB53,2)</f>
        <v>#VALUE!</v>
      </c>
      <c r="V55" s="467" t="s">
        <v>732</v>
      </c>
      <c r="W55" s="467"/>
      <c r="X55" s="467"/>
      <c r="Y55" s="468"/>
      <c r="AA55" s="318" t="e">
        <f>J71</f>
        <v>#DIV/0!</v>
      </c>
      <c r="AB55" s="484" t="e">
        <f>sng2hex(AA55)</f>
        <v>#VALUE!</v>
      </c>
      <c r="AC55" s="485"/>
      <c r="AD55" s="486"/>
      <c r="AE55" s="316" t="s">
        <v>749</v>
      </c>
      <c r="AF55" s="316"/>
    </row>
    <row r="56" spans="2:32" ht="15" customHeight="1" thickBot="1" x14ac:dyDescent="0.35">
      <c r="B56" s="324">
        <v>0</v>
      </c>
      <c r="C56" s="325">
        <v>1000</v>
      </c>
      <c r="D56" s="325">
        <v>1000</v>
      </c>
      <c r="E56" s="325">
        <v>1000</v>
      </c>
      <c r="F56" s="325">
        <v>1000</v>
      </c>
      <c r="G56" s="325">
        <v>1000</v>
      </c>
      <c r="H56" s="325">
        <v>1000</v>
      </c>
      <c r="I56" s="325">
        <v>1000</v>
      </c>
      <c r="J56" s="325">
        <v>1000</v>
      </c>
      <c r="K56" s="325">
        <v>20000</v>
      </c>
      <c r="M56" s="292"/>
      <c r="N56" s="292"/>
      <c r="O56" s="292"/>
      <c r="P56" s="294">
        <f t="shared" si="14"/>
        <v>0</v>
      </c>
      <c r="S56" s="307">
        <f t="shared" si="13"/>
        <v>106</v>
      </c>
      <c r="T56" s="461"/>
      <c r="U56" s="306" t="e">
        <f>MID(AB53,4,2)</f>
        <v>#VALUE!</v>
      </c>
      <c r="V56" s="463" t="s">
        <v>733</v>
      </c>
      <c r="W56" s="463"/>
      <c r="X56" s="463"/>
      <c r="Y56" s="464"/>
    </row>
    <row r="57" spans="2:32" ht="15" customHeight="1" thickBot="1" x14ac:dyDescent="0.35">
      <c r="B57" s="324">
        <v>10</v>
      </c>
      <c r="C57" s="325"/>
      <c r="D57" s="325"/>
      <c r="E57" s="325"/>
      <c r="F57" s="325"/>
      <c r="G57" s="325"/>
      <c r="H57" s="325"/>
      <c r="I57" s="325"/>
      <c r="J57" s="325"/>
      <c r="K57" s="325"/>
      <c r="M57" s="292"/>
      <c r="N57" s="292"/>
      <c r="O57" s="292"/>
      <c r="P57" s="294">
        <f t="shared" si="14"/>
        <v>0</v>
      </c>
      <c r="S57" s="307">
        <f t="shared" si="13"/>
        <v>107</v>
      </c>
      <c r="T57" s="461"/>
      <c r="U57" s="319" t="e">
        <f>MID(AB53,7,2)</f>
        <v>#VALUE!</v>
      </c>
      <c r="V57" s="463" t="s">
        <v>734</v>
      </c>
      <c r="W57" s="463"/>
      <c r="X57" s="463"/>
      <c r="Y57" s="464"/>
    </row>
    <row r="58" spans="2:32" ht="15" customHeight="1" thickBot="1" x14ac:dyDescent="0.35">
      <c r="B58" s="357">
        <v>20</v>
      </c>
      <c r="C58" s="325"/>
      <c r="D58" s="325"/>
      <c r="E58" s="325"/>
      <c r="F58" s="325"/>
      <c r="G58" s="325"/>
      <c r="H58" s="325"/>
      <c r="I58" s="325"/>
      <c r="J58" s="325"/>
      <c r="K58" s="325"/>
      <c r="M58" s="292"/>
      <c r="N58" s="292"/>
      <c r="O58" s="292"/>
      <c r="P58" s="294">
        <f t="shared" si="14"/>
        <v>0</v>
      </c>
      <c r="S58" s="307">
        <f t="shared" si="13"/>
        <v>108</v>
      </c>
      <c r="T58" s="462"/>
      <c r="U58" s="322" t="e">
        <f>RIGHT(AB53,2)</f>
        <v>#VALUE!</v>
      </c>
      <c r="V58" s="465" t="s">
        <v>735</v>
      </c>
      <c r="W58" s="465"/>
      <c r="X58" s="465"/>
      <c r="Y58" s="466"/>
    </row>
    <row r="59" spans="2:32" ht="15" customHeight="1" thickTop="1" thickBot="1" x14ac:dyDescent="0.35">
      <c r="B59" s="324">
        <v>40</v>
      </c>
      <c r="C59" s="325"/>
      <c r="D59" s="325"/>
      <c r="E59" s="325"/>
      <c r="F59" s="325"/>
      <c r="G59" s="325"/>
      <c r="H59" s="325"/>
      <c r="I59" s="325"/>
      <c r="J59" s="325"/>
      <c r="K59" s="325"/>
      <c r="M59" s="292"/>
      <c r="N59" s="292"/>
      <c r="O59" s="292"/>
      <c r="P59" s="294">
        <f t="shared" si="14"/>
        <v>0</v>
      </c>
      <c r="S59" s="307">
        <f t="shared" si="13"/>
        <v>109</v>
      </c>
      <c r="T59" s="471" t="e">
        <f>AA55</f>
        <v>#DIV/0!</v>
      </c>
      <c r="U59" s="310" t="e">
        <f>LEFT(AB55,2)</f>
        <v>#VALUE!</v>
      </c>
      <c r="V59" s="489" t="s">
        <v>736</v>
      </c>
      <c r="W59" s="489"/>
      <c r="X59" s="489"/>
      <c r="Y59" s="490"/>
    </row>
    <row r="60" spans="2:32" ht="15" customHeight="1" thickBot="1" x14ac:dyDescent="0.35">
      <c r="B60" s="324">
        <v>60</v>
      </c>
      <c r="C60" s="325"/>
      <c r="D60" s="325"/>
      <c r="E60" s="325"/>
      <c r="F60" s="325"/>
      <c r="G60" s="325"/>
      <c r="H60" s="325"/>
      <c r="I60" s="325"/>
      <c r="J60" s="325"/>
      <c r="K60" s="325"/>
      <c r="M60" s="292"/>
      <c r="N60" s="292"/>
      <c r="O60" s="292"/>
      <c r="P60" s="294">
        <f t="shared" si="14"/>
        <v>0</v>
      </c>
      <c r="S60" s="307">
        <f t="shared" si="13"/>
        <v>110</v>
      </c>
      <c r="T60" s="472"/>
      <c r="U60" s="306" t="e">
        <f>MID(AB55,4,2)</f>
        <v>#VALUE!</v>
      </c>
      <c r="V60" s="463" t="s">
        <v>737</v>
      </c>
      <c r="W60" s="463"/>
      <c r="X60" s="463"/>
      <c r="Y60" s="464"/>
    </row>
    <row r="61" spans="2:32" ht="15" customHeight="1" thickBot="1" x14ac:dyDescent="0.35">
      <c r="B61" s="324">
        <v>80</v>
      </c>
      <c r="C61" s="325"/>
      <c r="D61" s="325"/>
      <c r="E61" s="325"/>
      <c r="F61" s="325"/>
      <c r="G61" s="325"/>
      <c r="H61" s="325"/>
      <c r="I61" s="325"/>
      <c r="J61" s="325"/>
      <c r="K61" s="325"/>
      <c r="M61" s="292"/>
      <c r="N61" s="292"/>
      <c r="O61" s="292"/>
      <c r="P61" s="294">
        <f t="shared" si="14"/>
        <v>0</v>
      </c>
      <c r="S61" s="307">
        <f t="shared" si="13"/>
        <v>111</v>
      </c>
      <c r="T61" s="472"/>
      <c r="U61" s="306" t="e">
        <f>MID(AB55,7,2)</f>
        <v>#VALUE!</v>
      </c>
      <c r="V61" s="463" t="s">
        <v>738</v>
      </c>
      <c r="W61" s="463"/>
      <c r="X61" s="463"/>
      <c r="Y61" s="464"/>
    </row>
    <row r="62" spans="2:32" ht="15" customHeight="1" thickBot="1" x14ac:dyDescent="0.35">
      <c r="B62" s="222" t="s">
        <v>645</v>
      </c>
      <c r="C62" s="223" t="e">
        <f t="shared" ref="C62:H62" si="15">(N112-N107)/(($M$112-$M$107)/6)</f>
        <v>#DIV/0!</v>
      </c>
      <c r="D62" s="223" t="e">
        <f t="shared" si="15"/>
        <v>#DIV/0!</v>
      </c>
      <c r="E62" s="223" t="e">
        <f t="shared" si="15"/>
        <v>#DIV/0!</v>
      </c>
      <c r="F62" s="223" t="e">
        <f t="shared" si="15"/>
        <v>#DIV/0!</v>
      </c>
      <c r="G62" s="223" t="e">
        <f t="shared" si="15"/>
        <v>#DIV/0!</v>
      </c>
      <c r="H62" s="223" t="e">
        <f t="shared" si="15"/>
        <v>#DIV/0!</v>
      </c>
      <c r="S62" s="307">
        <f t="shared" si="12"/>
        <v>112</v>
      </c>
      <c r="T62" s="473"/>
      <c r="U62" s="309" t="e">
        <f>RIGHT(AB55,2)</f>
        <v>#VALUE!</v>
      </c>
      <c r="V62" s="479" t="s">
        <v>739</v>
      </c>
      <c r="W62" s="479"/>
      <c r="X62" s="479"/>
      <c r="Y62" s="480"/>
    </row>
    <row r="63" spans="2:32" ht="15" customHeight="1" thickBot="1" x14ac:dyDescent="0.35">
      <c r="B63" s="439" t="s">
        <v>404</v>
      </c>
      <c r="C63" s="440"/>
      <c r="D63" s="440"/>
      <c r="E63" s="440"/>
      <c r="F63" s="440"/>
      <c r="G63" s="116" t="s">
        <v>409</v>
      </c>
      <c r="H63" s="116">
        <f>'FTS-Initialization'!$AE$27</f>
        <v>15000</v>
      </c>
      <c r="I63" s="116" t="s">
        <v>410</v>
      </c>
      <c r="J63" s="116">
        <f>'FTS-Initialization'!$AE$26</f>
        <v>52000</v>
      </c>
      <c r="L63" s="90" t="s">
        <v>413</v>
      </c>
      <c r="S63" s="307">
        <f t="shared" si="12"/>
        <v>113</v>
      </c>
      <c r="T63" s="308">
        <f>C44</f>
        <v>255</v>
      </c>
      <c r="U63" s="321" t="str">
        <f>D44</f>
        <v>FF</v>
      </c>
      <c r="V63" s="469" t="s">
        <v>584</v>
      </c>
      <c r="W63" s="469"/>
      <c r="X63" s="469"/>
      <c r="Y63" s="470"/>
    </row>
    <row r="64" spans="2:32" ht="15" customHeight="1" thickBot="1" x14ac:dyDescent="0.35">
      <c r="B64" s="113" t="s">
        <v>439</v>
      </c>
      <c r="C64" s="113">
        <f>MAX(K51:K61)</f>
        <v>20000</v>
      </c>
      <c r="D64" s="113" t="s">
        <v>440</v>
      </c>
      <c r="E64" s="113">
        <f>MIN(K51:K61)</f>
        <v>20000</v>
      </c>
      <c r="I64" s="113" t="s">
        <v>406</v>
      </c>
      <c r="J64" s="113" t="b">
        <f>IF(AND(E64&gt;=H63,C64&lt;=J63),TRUE,FALSE)</f>
        <v>1</v>
      </c>
      <c r="L64" s="90">
        <f>IF(J64,0,IF(C64&gt;J63,'FTS-Initialization'!$N$90,IF(E64&lt;H63,'FTS-Initialization'!$N$89,0)))</f>
        <v>0</v>
      </c>
      <c r="S64" s="307">
        <f t="shared" si="12"/>
        <v>114</v>
      </c>
      <c r="T64" s="308" t="e">
        <f t="shared" ref="T64:T66" si="16">C45</f>
        <v>#DIV/0!</v>
      </c>
      <c r="U64" s="321" t="e">
        <f t="shared" ref="U64:U66" si="17">D45</f>
        <v>#DIV/0!</v>
      </c>
      <c r="V64" s="477" t="s">
        <v>740</v>
      </c>
      <c r="W64" s="477"/>
      <c r="X64" s="477"/>
      <c r="Y64" s="478"/>
    </row>
    <row r="65" spans="2:27" ht="15" thickBot="1" x14ac:dyDescent="0.35">
      <c r="S65" s="307">
        <f t="shared" si="12"/>
        <v>115</v>
      </c>
      <c r="T65" s="308" t="e">
        <f t="shared" si="16"/>
        <v>#DIV/0!</v>
      </c>
      <c r="U65" s="321" t="e">
        <f t="shared" si="17"/>
        <v>#DIV/0!</v>
      </c>
      <c r="V65" s="463" t="s">
        <v>741</v>
      </c>
      <c r="W65" s="463"/>
      <c r="X65" s="463"/>
      <c r="Y65" s="464"/>
    </row>
    <row r="66" spans="2:27" ht="15" thickBot="1" x14ac:dyDescent="0.35">
      <c r="B66" s="439" t="s">
        <v>521</v>
      </c>
      <c r="C66" s="440"/>
      <c r="D66" s="440"/>
      <c r="E66" s="440"/>
      <c r="F66" s="440"/>
      <c r="G66" s="140" t="s">
        <v>409</v>
      </c>
      <c r="H66" s="140">
        <f>'FTS-Initialization'!$AE$29</f>
        <v>5000</v>
      </c>
      <c r="I66" s="140" t="s">
        <v>410</v>
      </c>
      <c r="J66" s="140">
        <f>'FTS-Initialization'!$AE$28</f>
        <v>64500</v>
      </c>
      <c r="L66" s="90" t="s">
        <v>413</v>
      </c>
      <c r="S66" s="307">
        <f t="shared" si="12"/>
        <v>116</v>
      </c>
      <c r="T66" s="308" t="e">
        <f t="shared" ca="1" si="16"/>
        <v>#DIV/0!</v>
      </c>
      <c r="U66" s="321" t="e">
        <f t="shared" ca="1" si="17"/>
        <v>#DIV/0!</v>
      </c>
      <c r="V66" s="479" t="s">
        <v>191</v>
      </c>
      <c r="W66" s="479"/>
      <c r="X66" s="479"/>
      <c r="Y66" s="480"/>
    </row>
    <row r="67" spans="2:27" x14ac:dyDescent="0.3">
      <c r="B67" s="139" t="s">
        <v>487</v>
      </c>
      <c r="C67" s="139">
        <f>MAX(C51:J61)</f>
        <v>1000</v>
      </c>
      <c r="D67" s="139" t="s">
        <v>488</v>
      </c>
      <c r="E67" s="139">
        <f>MIN(C51:J61)</f>
        <v>1000</v>
      </c>
      <c r="I67" s="139" t="s">
        <v>406</v>
      </c>
      <c r="J67" s="139" t="b">
        <f>IF(AND(E67&gt;=H66,C67&lt;=J66),TRUE,FALSE)</f>
        <v>0</v>
      </c>
      <c r="L67" s="90">
        <f>IF(J67,0,IF(C67&gt;J66,'FTS-Initialization'!$N$99,IF(E67&lt;H66,'FTS-Initialization'!$N$100,0)))</f>
        <v>63</v>
      </c>
    </row>
    <row r="69" spans="2:27" x14ac:dyDescent="0.3">
      <c r="B69" s="297"/>
      <c r="C69" s="297"/>
      <c r="D69" s="297"/>
      <c r="E69" s="297"/>
      <c r="F69" s="302" t="s">
        <v>437</v>
      </c>
      <c r="G69" s="302" t="s">
        <v>438</v>
      </c>
      <c r="H69" s="297"/>
      <c r="I69" s="302" t="s">
        <v>437</v>
      </c>
      <c r="J69" s="302" t="s">
        <v>438</v>
      </c>
    </row>
    <row r="70" spans="2:27" x14ac:dyDescent="0.3">
      <c r="B70" s="481" t="s">
        <v>713</v>
      </c>
      <c r="C70" s="482"/>
      <c r="D70" s="482"/>
      <c r="E70" s="483"/>
      <c r="F70" s="300" t="e">
        <f>ROUND((((Q96/R96)/(($J$17)/(I17)))*100),0)</f>
        <v>#DIV/0!</v>
      </c>
      <c r="G70" s="300" t="e">
        <f>ROUND((((S96/T96)/(($J$17)/(I17)))*100),0)</f>
        <v>#DIV/0!</v>
      </c>
      <c r="H70" s="299" t="s">
        <v>714</v>
      </c>
      <c r="I70" s="299" t="e">
        <f>SLOPE(I75:I79,$B88:$B92)</f>
        <v>#DIV/0!</v>
      </c>
      <c r="J70" s="299" t="e">
        <f>SLOPE(J75:J79,$B88:$B92)</f>
        <v>#DIV/0!</v>
      </c>
      <c r="M70" s="105" t="e">
        <f>SLOPE(M74:M79,$L$74:$L$79)</f>
        <v>#DIV/0!</v>
      </c>
      <c r="N70" s="105" t="e">
        <f>SLOPE(N74:N79,$L$74:$L$79)</f>
        <v>#DIV/0!</v>
      </c>
    </row>
    <row r="71" spans="2:27" x14ac:dyDescent="0.3">
      <c r="B71" s="481"/>
      <c r="C71" s="482"/>
      <c r="D71" s="482"/>
      <c r="E71" s="483"/>
      <c r="F71" s="301" t="e">
        <f>(I16/J16)/(F70/100)</f>
        <v>#DIV/0!</v>
      </c>
      <c r="G71" s="301" t="e">
        <f>(I16/J16)/(G70/100)</f>
        <v>#DIV/0!</v>
      </c>
      <c r="H71" s="298" t="s">
        <v>715</v>
      </c>
      <c r="I71" s="299" t="e">
        <f>INTERCEPT(I75:I79,B88:B92)</f>
        <v>#DIV/0!</v>
      </c>
      <c r="J71" s="299" t="e">
        <f>INTERCEPT(J75:J79,B88:B92)</f>
        <v>#DIV/0!</v>
      </c>
      <c r="M71" s="101" t="str">
        <f t="shared" ref="M71:N79" si="18">K9</f>
        <v>ScaleA</v>
      </c>
      <c r="N71" s="101" t="str">
        <f t="shared" si="18"/>
        <v>ScaleB</v>
      </c>
    </row>
    <row r="72" spans="2:27" x14ac:dyDescent="0.3">
      <c r="B72" s="442" t="s">
        <v>517</v>
      </c>
      <c r="C72" s="443"/>
      <c r="D72" s="443"/>
      <c r="E72" s="443"/>
      <c r="F72" s="443"/>
      <c r="G72" s="443"/>
      <c r="H72" s="443"/>
      <c r="I72" s="443"/>
      <c r="J72" s="444"/>
      <c r="M72" s="101" t="e">
        <f>K10</f>
        <v>#DIV/0!</v>
      </c>
      <c r="N72" s="101" t="e">
        <f>L10</f>
        <v>#DIV/0!</v>
      </c>
      <c r="P72" s="161" t="s">
        <v>566</v>
      </c>
      <c r="Q72" s="162"/>
      <c r="R72" s="162"/>
      <c r="S72" s="165"/>
    </row>
    <row r="73" spans="2:27" x14ac:dyDescent="0.3">
      <c r="B73" s="113" t="s">
        <v>222</v>
      </c>
      <c r="C73" s="113" t="s">
        <v>779</v>
      </c>
      <c r="D73" s="339" t="s">
        <v>223</v>
      </c>
      <c r="E73" s="339" t="s">
        <v>224</v>
      </c>
      <c r="F73" s="339" t="s">
        <v>225</v>
      </c>
      <c r="G73" s="339" t="s">
        <v>226</v>
      </c>
      <c r="H73" s="339" t="s">
        <v>227</v>
      </c>
      <c r="I73" s="113" t="s">
        <v>437</v>
      </c>
      <c r="J73" s="113" t="s">
        <v>438</v>
      </c>
      <c r="L73" s="101" t="str">
        <f t="shared" ref="L73:L79" si="19">I11</f>
        <v>F/Cond [lb]</v>
      </c>
      <c r="M73" s="101" t="str">
        <f t="shared" si="18"/>
        <v>CalA</v>
      </c>
      <c r="N73" s="101" t="str">
        <f t="shared" si="18"/>
        <v>CalB</v>
      </c>
      <c r="P73" s="160" t="s">
        <v>563</v>
      </c>
      <c r="Q73" s="160" t="s">
        <v>564</v>
      </c>
      <c r="R73" s="160" t="s">
        <v>565</v>
      </c>
      <c r="S73" s="160" t="s">
        <v>406</v>
      </c>
      <c r="U73" s="204"/>
      <c r="V73" s="205"/>
      <c r="W73" s="211"/>
      <c r="X73" s="205" t="s">
        <v>617</v>
      </c>
      <c r="Y73" s="205"/>
      <c r="Z73" s="205"/>
      <c r="AA73" s="213"/>
    </row>
    <row r="74" spans="2:27" ht="19.2" customHeight="1" x14ac:dyDescent="0.3">
      <c r="B74" s="113">
        <f t="shared" ref="B74:B79" si="20">M107</f>
        <v>0</v>
      </c>
      <c r="C74" s="296" t="e">
        <f>C62*$B$74/6</f>
        <v>#DIV/0!</v>
      </c>
      <c r="D74" s="296" t="e">
        <f t="shared" ref="D74:H74" si="21">D62*$B$74/6</f>
        <v>#DIV/0!</v>
      </c>
      <c r="E74" s="296" t="e">
        <f t="shared" si="21"/>
        <v>#DIV/0!</v>
      </c>
      <c r="F74" s="296" t="e">
        <f t="shared" si="21"/>
        <v>#DIV/0!</v>
      </c>
      <c r="G74" s="296" t="e">
        <f t="shared" si="21"/>
        <v>#DIV/0!</v>
      </c>
      <c r="H74" s="296" t="e">
        <f t="shared" si="21"/>
        <v>#DIV/0!</v>
      </c>
      <c r="I74" s="296" t="e">
        <f>SUM(C74:E74)</f>
        <v>#DIV/0!</v>
      </c>
      <c r="J74" s="296" t="e">
        <f>SUM(F74:H74)</f>
        <v>#DIV/0!</v>
      </c>
      <c r="L74" s="101">
        <f t="shared" si="19"/>
        <v>0</v>
      </c>
      <c r="M74" s="103" t="e">
        <f t="shared" si="18"/>
        <v>#DIV/0!</v>
      </c>
      <c r="N74" s="103" t="e">
        <f t="shared" si="18"/>
        <v>#DIV/0!</v>
      </c>
      <c r="P74" s="164" t="e">
        <f>I74/($E$137/2)</f>
        <v>#DIV/0!</v>
      </c>
      <c r="Q74" s="164" t="e">
        <f>J74/($G$137/2)</f>
        <v>#DIV/0!</v>
      </c>
      <c r="R74" s="160" t="e">
        <f>P74+Q74</f>
        <v>#DIV/0!</v>
      </c>
      <c r="S74" s="160" t="e">
        <f>IF(ABS(R74-B74)&gt;$J$94,'FTS-Initialization'!$N$99,0)</f>
        <v>#DIV/0!</v>
      </c>
      <c r="U74" s="158" t="s">
        <v>223</v>
      </c>
      <c r="V74" s="158" t="s">
        <v>224</v>
      </c>
      <c r="W74" s="158" t="s">
        <v>225</v>
      </c>
      <c r="X74" s="158" t="s">
        <v>226</v>
      </c>
      <c r="Y74" s="158" t="s">
        <v>227</v>
      </c>
      <c r="Z74" s="158" t="s">
        <v>228</v>
      </c>
      <c r="AA74" s="212" t="s">
        <v>644</v>
      </c>
    </row>
    <row r="75" spans="2:27" x14ac:dyDescent="0.3">
      <c r="B75" s="113">
        <f t="shared" si="20"/>
        <v>10</v>
      </c>
      <c r="C75" s="107" t="e">
        <f>IF(((N108-N$107)+$C$74)&gt;0,((N108-N$107)+$C$74),0)</f>
        <v>#DIV/0!</v>
      </c>
      <c r="D75" s="107" t="e">
        <f>IF(((O108-O$107)+$D$74)&gt;0,((O108-O$107)+$D$74),0)</f>
        <v>#DIV/0!</v>
      </c>
      <c r="E75" s="107" t="e">
        <f>IF(((P108-P$107)+$C$74)&gt;0,((P108-P$107)+$C$74),0)</f>
        <v>#DIV/0!</v>
      </c>
      <c r="F75" s="107" t="e">
        <f>IF(((Q108-Q$107)+$D$74)&gt;0,((Q108-Q$107)+$D$74),0)</f>
        <v>#DIV/0!</v>
      </c>
      <c r="G75" s="107" t="e">
        <f>IF(((R108-R$107)+$C$74)&gt;0,((R108-R$107)+$C$74),0)</f>
        <v>#DIV/0!</v>
      </c>
      <c r="H75" s="107" t="e">
        <f>IF(((S108-S$107)+$D$74)&gt;0,((S108-S$107)+$D$74),0)</f>
        <v>#DIV/0!</v>
      </c>
      <c r="I75" s="107" t="e">
        <f t="shared" ref="I75:I79" si="22">SUM(C75:E75)</f>
        <v>#DIV/0!</v>
      </c>
      <c r="J75" s="107" t="e">
        <f t="shared" ref="J75:J79" si="23">SUM(F75:H75)</f>
        <v>#DIV/0!</v>
      </c>
      <c r="L75" s="101">
        <f t="shared" si="19"/>
        <v>5</v>
      </c>
      <c r="M75" s="103" t="e">
        <f t="shared" si="18"/>
        <v>#DIV/0!</v>
      </c>
      <c r="N75" s="103" t="e">
        <f t="shared" si="18"/>
        <v>#DIV/0!</v>
      </c>
      <c r="P75" s="164" t="e">
        <f>($L$80/((4000*$E$137)/100))*I75</f>
        <v>#DIV/0!</v>
      </c>
      <c r="Q75" s="164" t="e">
        <f>($L$80/((4000*$G$137)/100))*J75</f>
        <v>#DIV/0!</v>
      </c>
      <c r="R75" s="160" t="e">
        <f t="shared" ref="R75:R79" si="24">P75+Q75</f>
        <v>#DIV/0!</v>
      </c>
      <c r="S75" s="160" t="e">
        <f>IF(ABS(R75-B75)&gt;($J$94*2),'FTS-Initialization'!$N$99,0)</f>
        <v>#DIV/0!</v>
      </c>
      <c r="U75" s="158" t="e">
        <f>IF((C75)&lt;(C74+$AA75),'FTS-Initialization'!$N$99,0)</f>
        <v>#DIV/0!</v>
      </c>
      <c r="V75" s="212" t="e">
        <f>IF((D75)&lt;(D74+$AA75),'FTS-Initialization'!$N$99,0)</f>
        <v>#DIV/0!</v>
      </c>
      <c r="W75" s="212" t="e">
        <f>IF((E75)&lt;(E74+$AA75),'FTS-Initialization'!$N$99,0)</f>
        <v>#DIV/0!</v>
      </c>
      <c r="X75" s="212" t="e">
        <f>IF((F75)&lt;(F74+$AA75),'FTS-Initialization'!$N$99,0)</f>
        <v>#DIV/0!</v>
      </c>
      <c r="Y75" s="212" t="e">
        <f>IF((G75)&lt;(G74+$AA75),'FTS-Initialization'!$N$99,0)</f>
        <v>#DIV/0!</v>
      </c>
      <c r="Z75" s="212" t="e">
        <f>IF((H75)&lt;(H74+$AA75),'FTS-Initialization'!$N$99,0)</f>
        <v>#DIV/0!</v>
      </c>
      <c r="AA75" s="212">
        <v>4</v>
      </c>
    </row>
    <row r="76" spans="2:27" x14ac:dyDescent="0.3">
      <c r="B76" s="335">
        <f t="shared" si="20"/>
        <v>20</v>
      </c>
      <c r="C76" s="107" t="e">
        <f>IF(((N109-N$107)+$C$74)&gt;0,((N109-N$107)+$C$74),0)</f>
        <v>#DIV/0!</v>
      </c>
      <c r="D76" s="107" t="e">
        <f>IF(((O109-O$107)+$D$74)&gt;0,((O109-O$107)+$D$74),0)</f>
        <v>#DIV/0!</v>
      </c>
      <c r="E76" s="107" t="e">
        <f>IF(((P109-P$107)+$C$74)&gt;0,((P109-P$107)+$C$74),0)</f>
        <v>#DIV/0!</v>
      </c>
      <c r="F76" s="107" t="e">
        <f>IF(((Q109-Q$107)+$D$74)&gt;0,((Q109-Q$107)+$D$74),0)</f>
        <v>#DIV/0!</v>
      </c>
      <c r="G76" s="107" t="e">
        <f>IF(((R109-R$107)+$C$74)&gt;0,((R109-R$107)+$C$74),0)</f>
        <v>#DIV/0!</v>
      </c>
      <c r="H76" s="107" t="e">
        <f>IF(((S109-S$107)+$D$74)&gt;0,((S109-S$107)+$D$74),0)</f>
        <v>#DIV/0!</v>
      </c>
      <c r="I76" s="107" t="e">
        <f t="shared" si="22"/>
        <v>#DIV/0!</v>
      </c>
      <c r="J76" s="107" t="e">
        <f t="shared" si="23"/>
        <v>#DIV/0!</v>
      </c>
      <c r="L76" s="101">
        <f t="shared" si="19"/>
        <v>10</v>
      </c>
      <c r="M76" s="103" t="e">
        <f t="shared" si="18"/>
        <v>#DIV/0!</v>
      </c>
      <c r="N76" s="103" t="e">
        <f t="shared" si="18"/>
        <v>#DIV/0!</v>
      </c>
      <c r="P76" s="164" t="e">
        <f>($L$80/((4000*$E$137)/100))*I76</f>
        <v>#DIV/0!</v>
      </c>
      <c r="Q76" s="164" t="e">
        <f>($L$80/((4000*$G$137)/100))*J76</f>
        <v>#DIV/0!</v>
      </c>
      <c r="R76" s="160" t="e">
        <f t="shared" si="24"/>
        <v>#DIV/0!</v>
      </c>
      <c r="S76" s="160" t="e">
        <f>IF(ABS(R76-B76)&gt;($J$94*2),'FTS-Initialization'!$N$99,0)</f>
        <v>#DIV/0!</v>
      </c>
      <c r="U76" s="212" t="e">
        <f>IF((C76)&lt;(C75+$AA76),'FTS-Initialization'!$N$99,0)</f>
        <v>#DIV/0!</v>
      </c>
      <c r="V76" s="212" t="e">
        <f>IF((D76)&lt;(D75+$AA76),'FTS-Initialization'!$N$99,0)</f>
        <v>#DIV/0!</v>
      </c>
      <c r="W76" s="212" t="e">
        <f>IF((E76)&lt;(E75+$AA76),'FTS-Initialization'!$N$99,0)</f>
        <v>#DIV/0!</v>
      </c>
      <c r="X76" s="212" t="e">
        <f>IF((F76)&lt;(F75+$AA76),'FTS-Initialization'!$N$99,0)</f>
        <v>#DIV/0!</v>
      </c>
      <c r="Y76" s="212" t="e">
        <f>IF((G76)&lt;(G75+$AA76),'FTS-Initialization'!$N$99,0)</f>
        <v>#DIV/0!</v>
      </c>
      <c r="Z76" s="212" t="e">
        <f>IF((H76)&lt;(H75+$AA76),'FTS-Initialization'!$N$99,0)</f>
        <v>#DIV/0!</v>
      </c>
      <c r="AA76" s="212">
        <v>9</v>
      </c>
    </row>
    <row r="77" spans="2:27" x14ac:dyDescent="0.3">
      <c r="B77" s="335">
        <f t="shared" si="20"/>
        <v>40</v>
      </c>
      <c r="C77" s="107" t="e">
        <f>IF(((N110-N$107)+$C$74)&gt;0,((N110-N$107)+$C$74),0)</f>
        <v>#DIV/0!</v>
      </c>
      <c r="D77" s="107" t="e">
        <f>IF(((O110-O$107)+$D$74)&gt;0,((O110-O$107)+$D$74),0)</f>
        <v>#DIV/0!</v>
      </c>
      <c r="E77" s="107" t="e">
        <f>IF(((P110-P$107)+$C$74)&gt;0,((P110-P$107)+$C$74),0)</f>
        <v>#DIV/0!</v>
      </c>
      <c r="F77" s="107" t="e">
        <f>IF(((Q110-Q$107)+$D$74)&gt;0,((Q110-Q$107)+$D$74),0)</f>
        <v>#DIV/0!</v>
      </c>
      <c r="G77" s="107" t="e">
        <f>IF(((R110-R$107)+$C$74)&gt;0,((R110-R$107)+$C$74),0)</f>
        <v>#DIV/0!</v>
      </c>
      <c r="H77" s="107" t="e">
        <f>IF(((S110-S$107)+$D$74)&gt;0,((S110-S$107)+$D$74),0)</f>
        <v>#DIV/0!</v>
      </c>
      <c r="I77" s="107" t="e">
        <f t="shared" si="22"/>
        <v>#DIV/0!</v>
      </c>
      <c r="J77" s="107" t="e">
        <f t="shared" si="23"/>
        <v>#DIV/0!</v>
      </c>
      <c r="L77" s="101">
        <f t="shared" si="19"/>
        <v>20</v>
      </c>
      <c r="M77" s="103" t="e">
        <f t="shared" si="18"/>
        <v>#DIV/0!</v>
      </c>
      <c r="N77" s="103" t="e">
        <f t="shared" si="18"/>
        <v>#DIV/0!</v>
      </c>
      <c r="P77" s="164" t="e">
        <f>($L$80/((4000*$E$137)/100))*I77</f>
        <v>#DIV/0!</v>
      </c>
      <c r="Q77" s="164" t="e">
        <f>($L$80/((4000*$G$137)/100))*J77</f>
        <v>#DIV/0!</v>
      </c>
      <c r="R77" s="160" t="e">
        <f t="shared" si="24"/>
        <v>#DIV/0!</v>
      </c>
      <c r="S77" s="160" t="e">
        <f>IF(ABS(R77-B77)&gt;($J$94*2),'FTS-Initialization'!$N$99,0)</f>
        <v>#DIV/0!</v>
      </c>
      <c r="U77" s="212" t="e">
        <f>IF((C77)&lt;(C76+$AA77),'FTS-Initialization'!$N$99,0)</f>
        <v>#DIV/0!</v>
      </c>
      <c r="V77" s="212" t="e">
        <f>IF((D77)&lt;(D76+$AA77),'FTS-Initialization'!$N$99,0)</f>
        <v>#DIV/0!</v>
      </c>
      <c r="W77" s="212" t="e">
        <f>IF((E77)&lt;(E76+$AA77),'FTS-Initialization'!$N$99,0)</f>
        <v>#DIV/0!</v>
      </c>
      <c r="X77" s="212" t="e">
        <f>IF((F77)&lt;(F76+$AA77),'FTS-Initialization'!$N$99,0)</f>
        <v>#DIV/0!</v>
      </c>
      <c r="Y77" s="212" t="e">
        <f>IF((G77)&lt;(G76+$AA77),'FTS-Initialization'!$N$99,0)</f>
        <v>#DIV/0!</v>
      </c>
      <c r="Z77" s="212" t="e">
        <f>IF((H77)&lt;(H76+$AA77),'FTS-Initialization'!$N$99,0)</f>
        <v>#DIV/0!</v>
      </c>
      <c r="AA77" s="212">
        <v>19</v>
      </c>
    </row>
    <row r="78" spans="2:27" x14ac:dyDescent="0.3">
      <c r="B78" s="335">
        <f t="shared" si="20"/>
        <v>60</v>
      </c>
      <c r="C78" s="107" t="e">
        <f>IF(((N111-N$107)+$C$74)&gt;0,((N111-N$107)+$C$74),0)</f>
        <v>#DIV/0!</v>
      </c>
      <c r="D78" s="107" t="e">
        <f>IF(((O111-O$107)+$D$74)&gt;0,((O111-O$107)+$D$74),0)</f>
        <v>#DIV/0!</v>
      </c>
      <c r="E78" s="107" t="e">
        <f>IF(((P111-P$107)+$C$74)&gt;0,((P111-P$107)+$C$74),0)</f>
        <v>#DIV/0!</v>
      </c>
      <c r="F78" s="107" t="e">
        <f>IF(((Q111-Q$107)+$D$74)&gt;0,((Q111-Q$107)+$D$74),0)</f>
        <v>#DIV/0!</v>
      </c>
      <c r="G78" s="107" t="e">
        <f>IF(((R111-R$107)+$C$74)&gt;0,((R111-R$107)+$C$74),0)</f>
        <v>#DIV/0!</v>
      </c>
      <c r="H78" s="107" t="e">
        <f>IF(((S111-S$107)+$D$74)&gt;0,((S111-S$107)+$D$74),0)</f>
        <v>#DIV/0!</v>
      </c>
      <c r="I78" s="107" t="e">
        <f t="shared" si="22"/>
        <v>#DIV/0!</v>
      </c>
      <c r="J78" s="107" t="e">
        <f t="shared" si="23"/>
        <v>#DIV/0!</v>
      </c>
      <c r="L78" s="101">
        <f t="shared" si="19"/>
        <v>30</v>
      </c>
      <c r="M78" s="103" t="e">
        <f t="shared" si="18"/>
        <v>#DIV/0!</v>
      </c>
      <c r="N78" s="103" t="e">
        <f t="shared" si="18"/>
        <v>#DIV/0!</v>
      </c>
      <c r="P78" s="164" t="e">
        <f>($L$80/((4000*$E$137)/100))*I78</f>
        <v>#DIV/0!</v>
      </c>
      <c r="Q78" s="164" t="e">
        <f>($L$80/((4000*$G$137)/100))*J78</f>
        <v>#DIV/0!</v>
      </c>
      <c r="R78" s="160" t="e">
        <f t="shared" si="24"/>
        <v>#DIV/0!</v>
      </c>
      <c r="S78" s="160" t="e">
        <f>IF(ABS(R78-B78)&gt;($J$94*2),'FTS-Initialization'!$N$99,0)</f>
        <v>#DIV/0!</v>
      </c>
      <c r="U78" s="212" t="e">
        <f>IF((C78)&lt;(C77+$AA78),'FTS-Initialization'!$N$99,0)</f>
        <v>#DIV/0!</v>
      </c>
      <c r="V78" s="212" t="e">
        <f>IF((D78)&lt;(D77+$AA78),'FTS-Initialization'!$N$99,0)</f>
        <v>#DIV/0!</v>
      </c>
      <c r="W78" s="212" t="e">
        <f>IF((E78)&lt;(E77+$AA78),'FTS-Initialization'!$N$99,0)</f>
        <v>#DIV/0!</v>
      </c>
      <c r="X78" s="212" t="e">
        <f>IF((F78)&lt;(F77+$AA78),'FTS-Initialization'!$N$99,0)</f>
        <v>#DIV/0!</v>
      </c>
      <c r="Y78" s="212" t="e">
        <f>IF((G78)&lt;(G77+$AA78),'FTS-Initialization'!$N$99,0)</f>
        <v>#DIV/0!</v>
      </c>
      <c r="Z78" s="212" t="e">
        <f>IF((H78)&lt;(H77+$AA78),'FTS-Initialization'!$N$99,0)</f>
        <v>#DIV/0!</v>
      </c>
      <c r="AA78" s="212">
        <v>29</v>
      </c>
    </row>
    <row r="79" spans="2:27" x14ac:dyDescent="0.3">
      <c r="B79" s="335">
        <f t="shared" si="20"/>
        <v>80</v>
      </c>
      <c r="C79" s="107" t="e">
        <f>IF(((N112-N$107)+$C$74)&gt;0,((N112-N$107)+$C$74),0)</f>
        <v>#DIV/0!</v>
      </c>
      <c r="D79" s="107" t="e">
        <f>IF(((O112-O$107)+$D$74)&gt;0,((O112-O$107)+$D$74),0)</f>
        <v>#DIV/0!</v>
      </c>
      <c r="E79" s="107" t="e">
        <f>IF(((P112-P$107)+$C$74)&gt;0,((P112-P$107)+$C$74),0)</f>
        <v>#DIV/0!</v>
      </c>
      <c r="F79" s="107" t="e">
        <f>IF(((Q112-Q$107)+$D$74)&gt;0,((Q112-Q$107)+$D$74),0)</f>
        <v>#DIV/0!</v>
      </c>
      <c r="G79" s="107" t="e">
        <f>IF(((R112-R$107)+$C$74)&gt;0,((R112-R$107)+$C$74),0)</f>
        <v>#DIV/0!</v>
      </c>
      <c r="H79" s="107" t="e">
        <f>IF(((S112-S$107)+$D$74)&gt;0,((S112-S$107)+$D$74),0)</f>
        <v>#DIV/0!</v>
      </c>
      <c r="I79" s="107" t="e">
        <f t="shared" si="22"/>
        <v>#DIV/0!</v>
      </c>
      <c r="J79" s="107" t="e">
        <f t="shared" si="23"/>
        <v>#DIV/0!</v>
      </c>
      <c r="L79" s="101">
        <f t="shared" si="19"/>
        <v>40</v>
      </c>
      <c r="M79" s="103" t="e">
        <f t="shared" si="18"/>
        <v>#DIV/0!</v>
      </c>
      <c r="N79" s="103" t="e">
        <f t="shared" si="18"/>
        <v>#DIV/0!</v>
      </c>
      <c r="P79" s="164" t="e">
        <f>($L$80/((4000*$E$137)/100))*I79</f>
        <v>#DIV/0!</v>
      </c>
      <c r="Q79" s="164" t="e">
        <f>($L$80/((4000*$G$137)/100))*J79</f>
        <v>#DIV/0!</v>
      </c>
      <c r="R79" s="160" t="e">
        <f t="shared" si="24"/>
        <v>#DIV/0!</v>
      </c>
      <c r="S79" s="160" t="e">
        <f>IF(ABS(R79-B79)&gt;($J$94*2),'FTS-Initialization'!$N$99,0)</f>
        <v>#DIV/0!</v>
      </c>
      <c r="U79" s="212" t="e">
        <f>IF((C79)&lt;(C78+$AA79),'FTS-Initialization'!$N$99,0)</f>
        <v>#DIV/0!</v>
      </c>
      <c r="V79" s="212" t="e">
        <f>IF((D79)&lt;(D78+$AA79),'FTS-Initialization'!$N$99,0)</f>
        <v>#DIV/0!</v>
      </c>
      <c r="W79" s="212" t="e">
        <f>IF((E79)&lt;(E78+$AA79),'FTS-Initialization'!$N$99,0)</f>
        <v>#DIV/0!</v>
      </c>
      <c r="X79" s="212" t="e">
        <f>IF((F79)&lt;(F78+$AA79),'FTS-Initialization'!$N$99,0)</f>
        <v>#DIV/0!</v>
      </c>
      <c r="Y79" s="212" t="e">
        <f>IF((G79)&lt;(G78+$AA79),'FTS-Initialization'!$N$99,0)</f>
        <v>#DIV/0!</v>
      </c>
      <c r="Z79" s="212" t="e">
        <f>IF((H79)&lt;(H78+$AA79),'FTS-Initialization'!$N$99,0)</f>
        <v>#DIV/0!</v>
      </c>
      <c r="AA79" s="212">
        <v>39</v>
      </c>
    </row>
    <row r="80" spans="2:27" x14ac:dyDescent="0.3">
      <c r="L80" s="101">
        <v>80</v>
      </c>
      <c r="M80" s="103" t="e">
        <f>2*M79</f>
        <v>#DIV/0!</v>
      </c>
      <c r="N80" s="103" t="e">
        <f>2*N79</f>
        <v>#DIV/0!</v>
      </c>
      <c r="P80" s="163"/>
      <c r="Q80" s="163"/>
      <c r="R80" s="163"/>
      <c r="S80" s="167" t="s">
        <v>413</v>
      </c>
      <c r="U80" s="167" t="s">
        <v>413</v>
      </c>
      <c r="V80" s="167" t="s">
        <v>413</v>
      </c>
      <c r="W80" s="167" t="s">
        <v>413</v>
      </c>
      <c r="X80" s="167" t="s">
        <v>413</v>
      </c>
      <c r="Y80" s="167" t="s">
        <v>413</v>
      </c>
      <c r="Z80" s="167" t="s">
        <v>413</v>
      </c>
    </row>
    <row r="81" spans="2:26" x14ac:dyDescent="0.3">
      <c r="B81" s="493" t="s">
        <v>643</v>
      </c>
      <c r="C81" s="494"/>
      <c r="D81" s="494"/>
      <c r="E81" s="494"/>
      <c r="F81" s="494"/>
      <c r="G81" s="141" t="s">
        <v>532</v>
      </c>
      <c r="H81" s="141">
        <f>'FTS-Initialization'!$AE$32</f>
        <v>1000</v>
      </c>
      <c r="I81" s="115" t="s">
        <v>451</v>
      </c>
      <c r="J81" s="115">
        <f>'FTS-Initialization'!$AE$21</f>
        <v>0</v>
      </c>
      <c r="S81" s="167">
        <v>0</v>
      </c>
      <c r="U81" s="167">
        <v>0</v>
      </c>
      <c r="V81" s="167">
        <v>0</v>
      </c>
      <c r="W81" s="167">
        <v>0</v>
      </c>
      <c r="X81" s="167">
        <v>0</v>
      </c>
      <c r="Y81" s="167">
        <v>0</v>
      </c>
      <c r="Z81" s="167">
        <v>0</v>
      </c>
    </row>
    <row r="82" spans="2:26" x14ac:dyDescent="0.3">
      <c r="B82" s="115" t="s">
        <v>450</v>
      </c>
      <c r="C82" s="115" t="s">
        <v>437</v>
      </c>
      <c r="D82" s="115" t="s">
        <v>438</v>
      </c>
      <c r="E82" s="115" t="s">
        <v>199</v>
      </c>
      <c r="F82" s="115" t="s">
        <v>200</v>
      </c>
      <c r="J82" s="115" t="s">
        <v>406</v>
      </c>
      <c r="L82" s="90" t="s">
        <v>413</v>
      </c>
      <c r="S82" s="284" t="e">
        <f>MAX(S74:S79)</f>
        <v>#DIV/0!</v>
      </c>
      <c r="U82" s="167" t="e">
        <f>IF(MAX(U75:U79)=0,0,'FTS-Initialization'!$N103)</f>
        <v>#DIV/0!</v>
      </c>
      <c r="V82" s="167" t="e">
        <f>IF(MAX(V75:V79)=0,0,'FTS-Initialization'!$N104)</f>
        <v>#DIV/0!</v>
      </c>
      <c r="W82" s="167" t="e">
        <f>IF(MAX(W75:W79)=0,0,'FTS-Initialization'!$N105)</f>
        <v>#DIV/0!</v>
      </c>
      <c r="X82" s="167" t="e">
        <f>IF(MAX(X75:X79)=0,0,'FTS-Initialization'!$N106)</f>
        <v>#DIV/0!</v>
      </c>
      <c r="Y82" s="167" t="e">
        <f>IF(MAX(Y75:Y79)=0,0,'FTS-Initialization'!$N107)</f>
        <v>#DIV/0!</v>
      </c>
      <c r="Z82" s="167" t="e">
        <f>IF(MAX(Z75:Z79)=0,0,'FTS-Initialization'!$N108)</f>
        <v>#DIV/0!</v>
      </c>
    </row>
    <row r="83" spans="2:26" x14ac:dyDescent="0.3">
      <c r="B83" s="214">
        <f>($J$17)/(I17)*(B61/2)</f>
        <v>2000</v>
      </c>
      <c r="C83" s="108" t="e">
        <f>I79</f>
        <v>#DIV/0!</v>
      </c>
      <c r="D83" s="108" t="e">
        <f>J79</f>
        <v>#DIV/0!</v>
      </c>
      <c r="E83" s="214" t="e">
        <f>IF((ROUND(C83/$B$83*100,0))=0,1,(ROUND(C83/$B$83*100,0)))</f>
        <v>#DIV/0!</v>
      </c>
      <c r="F83" s="214" t="e">
        <f>IF((ROUND(D83/$B$83*100,0))=0,1,(ROUND(D83/$B$83*100,0)))</f>
        <v>#DIV/0!</v>
      </c>
      <c r="J83" s="115" t="e">
        <f>IF(AND(AND(E83&gt;=J81,F83&gt;=J81),AND(E83&lt;=H81,F83&lt;=H81)),TRUE,FALSE)</f>
        <v>#DIV/0!</v>
      </c>
      <c r="L83" s="90" t="e">
        <f>IF(J83,0,'FTS-Initialization'!$N$94)</f>
        <v>#DIV/0!</v>
      </c>
      <c r="U83" s="209"/>
      <c r="V83" s="210"/>
      <c r="W83" s="205" t="s">
        <v>630</v>
      </c>
      <c r="X83" s="210"/>
      <c r="Y83" s="210"/>
      <c r="Z83" s="165"/>
    </row>
    <row r="84" spans="2:26" x14ac:dyDescent="0.3">
      <c r="E84" s="216" t="e">
        <f>I16/J16/(E83/100)</f>
        <v>#DIV/0!</v>
      </c>
      <c r="F84" s="216" t="e">
        <f>I16/J16/(F83/100)</f>
        <v>#DIV/0!</v>
      </c>
      <c r="U84" s="158" t="s">
        <v>223</v>
      </c>
      <c r="V84" s="158" t="s">
        <v>224</v>
      </c>
      <c r="W84" s="158" t="s">
        <v>225</v>
      </c>
      <c r="X84" s="158" t="s">
        <v>226</v>
      </c>
      <c r="Y84" s="158" t="s">
        <v>227</v>
      </c>
      <c r="Z84" s="158" t="s">
        <v>228</v>
      </c>
    </row>
    <row r="85" spans="2:26" x14ac:dyDescent="0.3">
      <c r="B85" s="442" t="s">
        <v>453</v>
      </c>
      <c r="C85" s="443"/>
      <c r="D85" s="443"/>
      <c r="E85" s="443"/>
      <c r="F85" s="443"/>
      <c r="G85" s="443"/>
      <c r="H85" s="443"/>
      <c r="I85" s="443"/>
      <c r="J85" s="444"/>
      <c r="U85" s="167" t="s">
        <v>413</v>
      </c>
      <c r="V85" s="167" t="s">
        <v>413</v>
      </c>
      <c r="W85" s="167" t="s">
        <v>413</v>
      </c>
      <c r="X85" s="167" t="s">
        <v>413</v>
      </c>
      <c r="Y85" s="167" t="s">
        <v>413</v>
      </c>
      <c r="Z85" s="167" t="s">
        <v>413</v>
      </c>
    </row>
    <row r="86" spans="2:26" x14ac:dyDescent="0.3">
      <c r="B86" s="113" t="s">
        <v>454</v>
      </c>
      <c r="C86" s="113" t="s">
        <v>779</v>
      </c>
      <c r="D86" s="339" t="s">
        <v>223</v>
      </c>
      <c r="E86" s="339" t="s">
        <v>224</v>
      </c>
      <c r="F86" s="339" t="s">
        <v>225</v>
      </c>
      <c r="G86" s="339" t="s">
        <v>226</v>
      </c>
      <c r="H86" s="339" t="s">
        <v>227</v>
      </c>
      <c r="I86" s="113" t="s">
        <v>437</v>
      </c>
      <c r="J86" s="113" t="s">
        <v>438</v>
      </c>
      <c r="L86" s="101" t="str">
        <f>B86</f>
        <v>F/Cond [lb]</v>
      </c>
      <c r="M86" s="101" t="str">
        <f t="shared" ref="M86:N92" si="25">I86</f>
        <v>Left</v>
      </c>
      <c r="N86" s="101" t="str">
        <f t="shared" si="25"/>
        <v>Right</v>
      </c>
      <c r="U86" s="167" t="e">
        <f>IF(MIN(C79)&gt;100,0,'FTS-Initialization'!N109)</f>
        <v>#DIV/0!</v>
      </c>
      <c r="V86" s="167" t="e">
        <f>IF(MIN(D79)&gt;100,0,'FTS-Initialization'!N110)</f>
        <v>#DIV/0!</v>
      </c>
      <c r="W86" s="167" t="e">
        <f>IF(MIN(E79)&gt;100,0,'FTS-Initialization'!N111)</f>
        <v>#DIV/0!</v>
      </c>
      <c r="X86" s="167" t="e">
        <f>IF(MIN(F79)&gt;100,0,'FTS-Initialization'!N112)</f>
        <v>#DIV/0!</v>
      </c>
      <c r="Y86" s="167" t="e">
        <f>IF(MIN(G79)&gt;100,0,'FTS-Initialization'!N113)</f>
        <v>#DIV/0!</v>
      </c>
      <c r="Z86" s="167" t="e">
        <f>IF(MIN(H79)&gt;100,0,'FTS-Initialization'!N114)</f>
        <v>#DIV/0!</v>
      </c>
    </row>
    <row r="87" spans="2:26" x14ac:dyDescent="0.3">
      <c r="B87" s="215">
        <f>B74/2</f>
        <v>0</v>
      </c>
      <c r="C87" s="295" t="e">
        <f t="shared" ref="C87:E92" si="26">C74*$F$71</f>
        <v>#DIV/0!</v>
      </c>
      <c r="D87" s="295" t="e">
        <f t="shared" si="26"/>
        <v>#DIV/0!</v>
      </c>
      <c r="E87" s="295" t="e">
        <f t="shared" si="26"/>
        <v>#DIV/0!</v>
      </c>
      <c r="F87" s="295" t="e">
        <f t="shared" ref="F87:H92" si="27">F74*$G$71</f>
        <v>#DIV/0!</v>
      </c>
      <c r="G87" s="295" t="e">
        <f t="shared" si="27"/>
        <v>#DIV/0!</v>
      </c>
      <c r="H87" s="295" t="e">
        <f t="shared" si="27"/>
        <v>#DIV/0!</v>
      </c>
      <c r="I87" s="295" t="e">
        <f t="shared" ref="I87:I92" si="28">SUM(C87:E87)</f>
        <v>#DIV/0!</v>
      </c>
      <c r="J87" s="295" t="e">
        <f t="shared" ref="J87:J92" si="29">SUM(F87:H87)</f>
        <v>#DIV/0!</v>
      </c>
      <c r="L87" s="101">
        <f>B87</f>
        <v>0</v>
      </c>
      <c r="M87" s="103" t="e">
        <f t="shared" si="25"/>
        <v>#DIV/0!</v>
      </c>
      <c r="N87" s="103" t="e">
        <f t="shared" si="25"/>
        <v>#DIV/0!</v>
      </c>
    </row>
    <row r="88" spans="2:26" x14ac:dyDescent="0.3">
      <c r="B88" s="215">
        <f>B75/2</f>
        <v>5</v>
      </c>
      <c r="C88" s="295" t="e">
        <f t="shared" si="26"/>
        <v>#DIV/0!</v>
      </c>
      <c r="D88" s="295" t="e">
        <f t="shared" si="26"/>
        <v>#DIV/0!</v>
      </c>
      <c r="E88" s="295" t="e">
        <f t="shared" si="26"/>
        <v>#DIV/0!</v>
      </c>
      <c r="F88" s="295" t="e">
        <f t="shared" si="27"/>
        <v>#DIV/0!</v>
      </c>
      <c r="G88" s="295" t="e">
        <f t="shared" si="27"/>
        <v>#DIV/0!</v>
      </c>
      <c r="H88" s="295" t="e">
        <f t="shared" si="27"/>
        <v>#DIV/0!</v>
      </c>
      <c r="I88" s="295" t="e">
        <f t="shared" si="28"/>
        <v>#DIV/0!</v>
      </c>
      <c r="J88" s="295" t="e">
        <f t="shared" si="29"/>
        <v>#DIV/0!</v>
      </c>
      <c r="L88" s="101">
        <f t="shared" ref="L88:L92" si="30">B88</f>
        <v>5</v>
      </c>
      <c r="M88" s="103" t="e">
        <f t="shared" si="25"/>
        <v>#DIV/0!</v>
      </c>
      <c r="N88" s="103" t="e">
        <f t="shared" si="25"/>
        <v>#DIV/0!</v>
      </c>
      <c r="P88" s="474" t="s">
        <v>716</v>
      </c>
      <c r="Q88" s="475"/>
      <c r="R88" s="475"/>
      <c r="S88" s="475"/>
      <c r="T88" s="476"/>
    </row>
    <row r="89" spans="2:26" x14ac:dyDescent="0.3">
      <c r="B89" s="342">
        <f t="shared" ref="B89:B92" si="31">B76/2</f>
        <v>10</v>
      </c>
      <c r="C89" s="295" t="e">
        <f t="shared" si="26"/>
        <v>#DIV/0!</v>
      </c>
      <c r="D89" s="295" t="e">
        <f t="shared" si="26"/>
        <v>#DIV/0!</v>
      </c>
      <c r="E89" s="295" t="e">
        <f t="shared" si="26"/>
        <v>#DIV/0!</v>
      </c>
      <c r="F89" s="295" t="e">
        <f t="shared" si="27"/>
        <v>#DIV/0!</v>
      </c>
      <c r="G89" s="295" t="e">
        <f t="shared" si="27"/>
        <v>#DIV/0!</v>
      </c>
      <c r="H89" s="295" t="e">
        <f t="shared" si="27"/>
        <v>#DIV/0!</v>
      </c>
      <c r="I89" s="295" t="e">
        <f t="shared" si="28"/>
        <v>#DIV/0!</v>
      </c>
      <c r="J89" s="295" t="e">
        <f t="shared" si="29"/>
        <v>#DIV/0!</v>
      </c>
      <c r="L89" s="101">
        <f t="shared" si="30"/>
        <v>10</v>
      </c>
      <c r="M89" s="103" t="e">
        <f t="shared" si="25"/>
        <v>#DIV/0!</v>
      </c>
      <c r="N89" s="103" t="e">
        <f t="shared" si="25"/>
        <v>#DIV/0!</v>
      </c>
      <c r="P89" s="304" t="s">
        <v>717</v>
      </c>
      <c r="Q89" s="474" t="s">
        <v>437</v>
      </c>
      <c r="R89" s="476"/>
      <c r="S89" s="474" t="s">
        <v>438</v>
      </c>
      <c r="T89" s="476"/>
    </row>
    <row r="90" spans="2:26" x14ac:dyDescent="0.3">
      <c r="B90" s="342">
        <f t="shared" si="31"/>
        <v>20</v>
      </c>
      <c r="C90" s="295" t="e">
        <f t="shared" si="26"/>
        <v>#DIV/0!</v>
      </c>
      <c r="D90" s="295" t="e">
        <f t="shared" si="26"/>
        <v>#DIV/0!</v>
      </c>
      <c r="E90" s="295" t="e">
        <f t="shared" si="26"/>
        <v>#DIV/0!</v>
      </c>
      <c r="F90" s="295" t="e">
        <f t="shared" si="27"/>
        <v>#DIV/0!</v>
      </c>
      <c r="G90" s="295" t="e">
        <f t="shared" si="27"/>
        <v>#DIV/0!</v>
      </c>
      <c r="H90" s="295" t="e">
        <f t="shared" si="27"/>
        <v>#DIV/0!</v>
      </c>
      <c r="I90" s="295" t="e">
        <f t="shared" si="28"/>
        <v>#DIV/0!</v>
      </c>
      <c r="J90" s="295" t="e">
        <f t="shared" si="29"/>
        <v>#DIV/0!</v>
      </c>
      <c r="L90" s="101">
        <f t="shared" si="30"/>
        <v>20</v>
      </c>
      <c r="M90" s="103" t="e">
        <f t="shared" si="25"/>
        <v>#DIV/0!</v>
      </c>
      <c r="N90" s="103" t="e">
        <f t="shared" si="25"/>
        <v>#DIV/0!</v>
      </c>
      <c r="P90" s="453" t="s">
        <v>718</v>
      </c>
      <c r="Q90" s="304" t="s">
        <v>719</v>
      </c>
      <c r="R90" s="304" t="s">
        <v>720</v>
      </c>
      <c r="S90" s="304" t="s">
        <v>719</v>
      </c>
      <c r="T90" s="304" t="s">
        <v>720</v>
      </c>
    </row>
    <row r="91" spans="2:26" x14ac:dyDescent="0.3">
      <c r="B91" s="342">
        <f t="shared" si="31"/>
        <v>30</v>
      </c>
      <c r="C91" s="295" t="e">
        <f t="shared" si="26"/>
        <v>#DIV/0!</v>
      </c>
      <c r="D91" s="295" t="e">
        <f t="shared" si="26"/>
        <v>#DIV/0!</v>
      </c>
      <c r="E91" s="295" t="e">
        <f t="shared" si="26"/>
        <v>#DIV/0!</v>
      </c>
      <c r="F91" s="295" t="e">
        <f t="shared" si="27"/>
        <v>#DIV/0!</v>
      </c>
      <c r="G91" s="295" t="e">
        <f t="shared" si="27"/>
        <v>#DIV/0!</v>
      </c>
      <c r="H91" s="295" t="e">
        <f t="shared" si="27"/>
        <v>#DIV/0!</v>
      </c>
      <c r="I91" s="295" t="e">
        <f t="shared" si="28"/>
        <v>#DIV/0!</v>
      </c>
      <c r="J91" s="295" t="e">
        <f t="shared" si="29"/>
        <v>#DIV/0!</v>
      </c>
      <c r="L91" s="101">
        <f t="shared" si="30"/>
        <v>30</v>
      </c>
      <c r="M91" s="103" t="e">
        <f t="shared" si="25"/>
        <v>#DIV/0!</v>
      </c>
      <c r="N91" s="103" t="e">
        <f t="shared" si="25"/>
        <v>#DIV/0!</v>
      </c>
      <c r="P91" s="454"/>
      <c r="Q91" s="304" t="e">
        <f>I124*$B124</f>
        <v>#DIV/0!</v>
      </c>
      <c r="R91" s="304">
        <f>$B124^2</f>
        <v>25</v>
      </c>
      <c r="S91" s="304" t="e">
        <f>J124*$B124</f>
        <v>#DIV/0!</v>
      </c>
      <c r="T91" s="304">
        <f>$B124^2</f>
        <v>25</v>
      </c>
    </row>
    <row r="92" spans="2:26" x14ac:dyDescent="0.3">
      <c r="B92" s="342">
        <f t="shared" si="31"/>
        <v>40</v>
      </c>
      <c r="C92" s="295" t="e">
        <f t="shared" si="26"/>
        <v>#DIV/0!</v>
      </c>
      <c r="D92" s="295" t="e">
        <f t="shared" si="26"/>
        <v>#DIV/0!</v>
      </c>
      <c r="E92" s="295" t="e">
        <f t="shared" si="26"/>
        <v>#DIV/0!</v>
      </c>
      <c r="F92" s="295" t="e">
        <f t="shared" si="27"/>
        <v>#DIV/0!</v>
      </c>
      <c r="G92" s="295" t="e">
        <f t="shared" si="27"/>
        <v>#DIV/0!</v>
      </c>
      <c r="H92" s="295" t="e">
        <f t="shared" si="27"/>
        <v>#DIV/0!</v>
      </c>
      <c r="I92" s="295" t="e">
        <f t="shared" si="28"/>
        <v>#DIV/0!</v>
      </c>
      <c r="J92" s="295" t="e">
        <f t="shared" si="29"/>
        <v>#DIV/0!</v>
      </c>
      <c r="L92" s="101">
        <f t="shared" si="30"/>
        <v>40</v>
      </c>
      <c r="M92" s="103" t="e">
        <f t="shared" si="25"/>
        <v>#DIV/0!</v>
      </c>
      <c r="N92" s="103" t="e">
        <f t="shared" si="25"/>
        <v>#DIV/0!</v>
      </c>
      <c r="P92" s="454"/>
      <c r="Q92" s="304" t="e">
        <f>I125*$B125</f>
        <v>#DIV/0!</v>
      </c>
      <c r="R92" s="304">
        <f>$B125^2</f>
        <v>100</v>
      </c>
      <c r="S92" s="304" t="e">
        <f>J125*$B125</f>
        <v>#DIV/0!</v>
      </c>
      <c r="T92" s="304">
        <f>$B125^2</f>
        <v>100</v>
      </c>
    </row>
    <row r="93" spans="2:26" x14ac:dyDescent="0.3">
      <c r="P93" s="454"/>
      <c r="Q93" s="304" t="e">
        <f>I126*$B126</f>
        <v>#DIV/0!</v>
      </c>
      <c r="R93" s="304">
        <f>$B126^2</f>
        <v>400</v>
      </c>
      <c r="S93" s="304" t="e">
        <f>J126*$B126</f>
        <v>#DIV/0!</v>
      </c>
      <c r="T93" s="304">
        <f>$B126^2</f>
        <v>400</v>
      </c>
    </row>
    <row r="94" spans="2:26" x14ac:dyDescent="0.3">
      <c r="B94" s="449" t="s">
        <v>455</v>
      </c>
      <c r="C94" s="449"/>
      <c r="D94" s="449"/>
      <c r="E94" s="449"/>
      <c r="F94" s="449"/>
      <c r="G94" s="449"/>
      <c r="H94" s="449"/>
      <c r="I94" s="109" t="s">
        <v>206</v>
      </c>
      <c r="J94" s="109">
        <v>3.5</v>
      </c>
      <c r="L94" s="90" t="s">
        <v>413</v>
      </c>
      <c r="P94" s="454"/>
      <c r="Q94" s="304" t="e">
        <f>I127*$B127</f>
        <v>#DIV/0!</v>
      </c>
      <c r="R94" s="304">
        <f>$B127^2</f>
        <v>900</v>
      </c>
      <c r="S94" s="304" t="e">
        <f>J127*$B127</f>
        <v>#DIV/0!</v>
      </c>
      <c r="T94" s="304">
        <f>$B127^2</f>
        <v>900</v>
      </c>
    </row>
    <row r="95" spans="2:26" x14ac:dyDescent="0.3">
      <c r="B95" s="215" t="s">
        <v>454</v>
      </c>
      <c r="C95" s="215" t="s">
        <v>456</v>
      </c>
      <c r="D95" s="215" t="s">
        <v>457</v>
      </c>
      <c r="E95" s="215" t="s">
        <v>543</v>
      </c>
      <c r="F95" s="215" t="s">
        <v>544</v>
      </c>
      <c r="I95" s="215" t="s">
        <v>406</v>
      </c>
      <c r="J95" s="215" t="e">
        <f>IF(MAX(C96:D101)&lt;=J94,TRUE, FALSE)</f>
        <v>#DIV/0!</v>
      </c>
      <c r="L95" s="90" t="e">
        <f>IF(J95,0,IF(MAX($C$96:$D$101)&lt;$J$94*1.2,'FTS-Initialization'!$N$101,'FTS-Initialization'!$N$91))</f>
        <v>#DIV/0!</v>
      </c>
      <c r="P95" s="455"/>
      <c r="Q95" s="304" t="e">
        <f>I128*$B128</f>
        <v>#DIV/0!</v>
      </c>
      <c r="R95" s="304">
        <f>$B128^2</f>
        <v>1600</v>
      </c>
      <c r="S95" s="304" t="e">
        <f>J128*$B128</f>
        <v>#DIV/0!</v>
      </c>
      <c r="T95" s="304">
        <f>$B128^2</f>
        <v>1600</v>
      </c>
    </row>
    <row r="96" spans="2:26" x14ac:dyDescent="0.3">
      <c r="B96" s="215">
        <f>B74/2</f>
        <v>0</v>
      </c>
      <c r="C96" s="295">
        <f>0</f>
        <v>0</v>
      </c>
      <c r="D96" s="295">
        <f>0</f>
        <v>0</v>
      </c>
      <c r="E96" s="153"/>
      <c r="F96" s="153"/>
      <c r="P96" s="304" t="s">
        <v>721</v>
      </c>
      <c r="Q96" s="304" t="e">
        <f>SUM(Q91:Q95)</f>
        <v>#DIV/0!</v>
      </c>
      <c r="R96" s="304">
        <f>SUM(R91:R95)</f>
        <v>3025</v>
      </c>
      <c r="S96" s="304" t="e">
        <f>SUM(S91:S95)</f>
        <v>#DIV/0!</v>
      </c>
      <c r="T96" s="304">
        <f>SUM(T91:T95)</f>
        <v>3025</v>
      </c>
    </row>
    <row r="97" spans="2:20" x14ac:dyDescent="0.3">
      <c r="B97" s="215">
        <f>B75/2</f>
        <v>5</v>
      </c>
      <c r="C97" s="295" t="e">
        <f>ABS(B97-I88)</f>
        <v>#DIV/0!</v>
      </c>
      <c r="D97" s="295" t="e">
        <f>ABS(B97-J88)</f>
        <v>#DIV/0!</v>
      </c>
      <c r="E97" s="153" t="e">
        <f>AVERAGE(C97:C101)</f>
        <v>#DIV/0!</v>
      </c>
      <c r="F97" s="153" t="e">
        <f>AVERAGE(D97:D101)</f>
        <v>#DIV/0!</v>
      </c>
      <c r="G97" s="154" t="s">
        <v>545</v>
      </c>
      <c r="H97" s="154">
        <v>-2</v>
      </c>
      <c r="I97" s="154" t="s">
        <v>11</v>
      </c>
    </row>
    <row r="98" spans="2:20" x14ac:dyDescent="0.3">
      <c r="B98" s="342">
        <f t="shared" ref="B98:B101" si="32">B76/2</f>
        <v>10</v>
      </c>
      <c r="C98" s="295" t="e">
        <f>ABS(B98-I89)</f>
        <v>#DIV/0!</v>
      </c>
      <c r="D98" s="295" t="e">
        <f>ABS(B98-J89)</f>
        <v>#DIV/0!</v>
      </c>
      <c r="E98" s="153" t="e">
        <f>STDEV(C97:C101)</f>
        <v>#DIV/0!</v>
      </c>
      <c r="F98" s="153" t="e">
        <f>STDEV(D97:D101)</f>
        <v>#DIV/0!</v>
      </c>
      <c r="G98" s="154" t="s">
        <v>546</v>
      </c>
      <c r="H98" s="154">
        <v>1</v>
      </c>
      <c r="I98" s="154">
        <v>2</v>
      </c>
    </row>
    <row r="99" spans="2:20" x14ac:dyDescent="0.3">
      <c r="B99" s="342">
        <f t="shared" si="32"/>
        <v>20</v>
      </c>
      <c r="C99" s="295" t="e">
        <f>ABS(B99-I90)</f>
        <v>#DIV/0!</v>
      </c>
      <c r="D99" s="295" t="e">
        <f>ABS(B99-J90)</f>
        <v>#DIV/0!</v>
      </c>
      <c r="E99" s="153" t="e">
        <f>ABS(SLOPE(C97:C101,$B$97:$B$101))</f>
        <v>#DIV/0!</v>
      </c>
      <c r="F99" s="153" t="e">
        <f>ABS(SLOPE(D97:D101,$B$97:$B$101))</f>
        <v>#DIV/0!</v>
      </c>
      <c r="G99" s="154" t="s">
        <v>547</v>
      </c>
      <c r="H99" s="154">
        <v>0.05</v>
      </c>
      <c r="I99" s="154" t="s">
        <v>11</v>
      </c>
    </row>
    <row r="100" spans="2:20" x14ac:dyDescent="0.3">
      <c r="B100" s="342">
        <f t="shared" si="32"/>
        <v>30</v>
      </c>
      <c r="C100" s="295" t="e">
        <f>ABS(B100-I91)</f>
        <v>#DIV/0!</v>
      </c>
      <c r="D100" s="295" t="e">
        <f>ABS(B100-J91)</f>
        <v>#DIV/0!</v>
      </c>
      <c r="E100" s="153" t="e">
        <f>IF(E98&gt;$I$98,TRUE,FALSE)</f>
        <v>#DIV/0!</v>
      </c>
      <c r="F100" s="153" t="e">
        <f>IF(F98&gt;$I$98,TRUE,FALSE)</f>
        <v>#DIV/0!</v>
      </c>
      <c r="G100" t="s">
        <v>549</v>
      </c>
      <c r="L100" s="275" t="s">
        <v>681</v>
      </c>
    </row>
    <row r="101" spans="2:20" x14ac:dyDescent="0.3">
      <c r="B101" s="342">
        <f t="shared" si="32"/>
        <v>40</v>
      </c>
      <c r="C101" s="295" t="e">
        <f>ABS(B101-I92)</f>
        <v>#DIV/0!</v>
      </c>
      <c r="D101" s="295" t="e">
        <f>ABS(B101-J92)</f>
        <v>#DIV/0!</v>
      </c>
      <c r="E101" s="153" t="e">
        <f>IF(AND(E97&lt;$H$97,E98&lt;$H$98,E99&gt;$H$99),TRUE,FALSE)</f>
        <v>#DIV/0!</v>
      </c>
      <c r="F101" s="153" t="e">
        <f>IF(AND(F97&lt;$H$97,F98&lt;$H$98,F99&gt;$H$99),TRUE,FALSE)</f>
        <v>#DIV/0!</v>
      </c>
      <c r="G101" t="s">
        <v>548</v>
      </c>
      <c r="L101" s="275">
        <v>0</v>
      </c>
    </row>
    <row r="105" spans="2:20" x14ac:dyDescent="0.3">
      <c r="B105" s="439" t="s">
        <v>759</v>
      </c>
      <c r="C105" s="440"/>
      <c r="D105" s="440"/>
      <c r="E105" s="440"/>
      <c r="F105" s="440"/>
      <c r="G105" s="440"/>
      <c r="H105" s="440"/>
      <c r="I105" s="440"/>
      <c r="J105" s="440"/>
      <c r="K105" s="441"/>
      <c r="M105" s="439" t="s">
        <v>759</v>
      </c>
      <c r="N105" s="440"/>
      <c r="O105" s="440"/>
      <c r="P105" s="440"/>
      <c r="Q105" s="440"/>
      <c r="R105" s="440"/>
      <c r="S105" s="440"/>
      <c r="T105" s="332"/>
    </row>
    <row r="106" spans="2:20" x14ac:dyDescent="0.3">
      <c r="B106" s="328" t="s">
        <v>222</v>
      </c>
      <c r="C106" s="328" t="s">
        <v>779</v>
      </c>
      <c r="D106" s="339" t="s">
        <v>223</v>
      </c>
      <c r="E106" s="339" t="s">
        <v>224</v>
      </c>
      <c r="F106" s="339" t="s">
        <v>225</v>
      </c>
      <c r="G106" s="339" t="s">
        <v>226</v>
      </c>
      <c r="H106" s="339" t="s">
        <v>227</v>
      </c>
      <c r="I106" s="328" t="s">
        <v>777</v>
      </c>
      <c r="J106" s="328" t="s">
        <v>778</v>
      </c>
      <c r="K106" s="339" t="s">
        <v>230</v>
      </c>
      <c r="M106" s="330" t="s">
        <v>222</v>
      </c>
      <c r="N106" s="330" t="s">
        <v>779</v>
      </c>
      <c r="O106" s="339" t="s">
        <v>223</v>
      </c>
      <c r="P106" s="339" t="s">
        <v>224</v>
      </c>
      <c r="Q106" s="330" t="s">
        <v>587</v>
      </c>
      <c r="R106" s="339" t="s">
        <v>226</v>
      </c>
      <c r="S106" s="339" t="s">
        <v>227</v>
      </c>
      <c r="T106" s="332"/>
    </row>
    <row r="107" spans="2:20" x14ac:dyDescent="0.3">
      <c r="B107" s="23">
        <v>0</v>
      </c>
      <c r="C107" s="23"/>
      <c r="D107" s="23"/>
      <c r="E107" s="23"/>
      <c r="F107" s="23"/>
      <c r="G107" s="23"/>
      <c r="H107" s="23"/>
      <c r="I107" s="23"/>
      <c r="J107" s="23"/>
      <c r="K107" s="23"/>
      <c r="M107" s="23">
        <f t="shared" ref="M107:S107" si="33">AVERAGE(B107,B119)</f>
        <v>0</v>
      </c>
      <c r="N107" s="23" t="e">
        <f t="shared" si="33"/>
        <v>#DIV/0!</v>
      </c>
      <c r="O107" s="23" t="e">
        <f t="shared" si="33"/>
        <v>#DIV/0!</v>
      </c>
      <c r="P107" s="23" t="e">
        <f t="shared" si="33"/>
        <v>#DIV/0!</v>
      </c>
      <c r="Q107" s="23" t="e">
        <f t="shared" si="33"/>
        <v>#DIV/0!</v>
      </c>
      <c r="R107" s="23" t="e">
        <f t="shared" si="33"/>
        <v>#DIV/0!</v>
      </c>
      <c r="S107" s="23" t="e">
        <f t="shared" si="33"/>
        <v>#DIV/0!</v>
      </c>
      <c r="T107" s="332"/>
    </row>
    <row r="108" spans="2:20" x14ac:dyDescent="0.3">
      <c r="B108" s="23">
        <v>10</v>
      </c>
      <c r="C108" s="23"/>
      <c r="D108" s="23"/>
      <c r="E108" s="23"/>
      <c r="F108" s="23"/>
      <c r="G108" s="23"/>
      <c r="H108" s="23"/>
      <c r="I108" s="23"/>
      <c r="J108" s="23"/>
      <c r="K108" s="23"/>
      <c r="M108" s="23">
        <f t="shared" ref="M108:S108" si="34">AVERAGE(B108,B118)</f>
        <v>10</v>
      </c>
      <c r="N108" s="23" t="e">
        <f t="shared" si="34"/>
        <v>#DIV/0!</v>
      </c>
      <c r="O108" s="23" t="e">
        <f t="shared" si="34"/>
        <v>#DIV/0!</v>
      </c>
      <c r="P108" s="23" t="e">
        <f t="shared" si="34"/>
        <v>#DIV/0!</v>
      </c>
      <c r="Q108" s="23" t="e">
        <f t="shared" si="34"/>
        <v>#DIV/0!</v>
      </c>
      <c r="R108" s="23" t="e">
        <f t="shared" si="34"/>
        <v>#DIV/0!</v>
      </c>
      <c r="S108" s="23" t="e">
        <f t="shared" si="34"/>
        <v>#DIV/0!</v>
      </c>
      <c r="T108" s="332"/>
    </row>
    <row r="109" spans="2:20" x14ac:dyDescent="0.3">
      <c r="B109" s="23">
        <v>20</v>
      </c>
      <c r="C109" s="23"/>
      <c r="D109" s="23"/>
      <c r="E109" s="23"/>
      <c r="F109" s="23"/>
      <c r="G109" s="23"/>
      <c r="H109" s="23"/>
      <c r="I109" s="23"/>
      <c r="J109" s="23"/>
      <c r="K109" s="23"/>
      <c r="M109" s="23">
        <f t="shared" ref="M109:S109" si="35">AVERAGE(B109,B117)</f>
        <v>20</v>
      </c>
      <c r="N109" s="23" t="e">
        <f t="shared" si="35"/>
        <v>#DIV/0!</v>
      </c>
      <c r="O109" s="23" t="e">
        <f t="shared" si="35"/>
        <v>#DIV/0!</v>
      </c>
      <c r="P109" s="23" t="e">
        <f t="shared" si="35"/>
        <v>#DIV/0!</v>
      </c>
      <c r="Q109" s="23" t="e">
        <f t="shared" si="35"/>
        <v>#DIV/0!</v>
      </c>
      <c r="R109" s="23" t="e">
        <f t="shared" si="35"/>
        <v>#DIV/0!</v>
      </c>
      <c r="S109" s="23" t="e">
        <f t="shared" si="35"/>
        <v>#DIV/0!</v>
      </c>
      <c r="T109" s="332"/>
    </row>
    <row r="110" spans="2:20" x14ac:dyDescent="0.3">
      <c r="B110" s="23">
        <v>40</v>
      </c>
      <c r="C110" s="23"/>
      <c r="D110" s="23"/>
      <c r="E110" s="23"/>
      <c r="F110" s="23"/>
      <c r="G110" s="23"/>
      <c r="H110" s="23"/>
      <c r="I110" s="23"/>
      <c r="J110" s="23"/>
      <c r="K110" s="23"/>
      <c r="M110" s="23">
        <f t="shared" ref="M110:S110" si="36">AVERAGE(B110,B116)</f>
        <v>40</v>
      </c>
      <c r="N110" s="23" t="e">
        <f t="shared" si="36"/>
        <v>#DIV/0!</v>
      </c>
      <c r="O110" s="23" t="e">
        <f t="shared" si="36"/>
        <v>#DIV/0!</v>
      </c>
      <c r="P110" s="23" t="e">
        <f t="shared" si="36"/>
        <v>#DIV/0!</v>
      </c>
      <c r="Q110" s="23" t="e">
        <f t="shared" si="36"/>
        <v>#DIV/0!</v>
      </c>
      <c r="R110" s="23" t="e">
        <f t="shared" si="36"/>
        <v>#DIV/0!</v>
      </c>
      <c r="S110" s="23" t="e">
        <f t="shared" si="36"/>
        <v>#DIV/0!</v>
      </c>
      <c r="T110" s="332"/>
    </row>
    <row r="111" spans="2:20" x14ac:dyDescent="0.3">
      <c r="B111" s="231">
        <v>60</v>
      </c>
      <c r="C111" s="231"/>
      <c r="D111" s="231"/>
      <c r="E111" s="231"/>
      <c r="F111" s="231"/>
      <c r="G111" s="231"/>
      <c r="H111" s="231"/>
      <c r="I111" s="231"/>
      <c r="J111" s="231"/>
      <c r="K111" s="231"/>
      <c r="M111" s="231">
        <f t="shared" ref="M111:S111" si="37">AVERAGE(B111,B115)</f>
        <v>60</v>
      </c>
      <c r="N111" s="231" t="e">
        <f t="shared" si="37"/>
        <v>#DIV/0!</v>
      </c>
      <c r="O111" s="231" t="e">
        <f t="shared" si="37"/>
        <v>#DIV/0!</v>
      </c>
      <c r="P111" s="231" t="e">
        <f t="shared" si="37"/>
        <v>#DIV/0!</v>
      </c>
      <c r="Q111" s="231" t="e">
        <f t="shared" si="37"/>
        <v>#DIV/0!</v>
      </c>
      <c r="R111" s="231" t="e">
        <f t="shared" si="37"/>
        <v>#DIV/0!</v>
      </c>
      <c r="S111" s="231" t="e">
        <f t="shared" si="37"/>
        <v>#DIV/0!</v>
      </c>
      <c r="T111" s="332"/>
    </row>
    <row r="112" spans="2:20" x14ac:dyDescent="0.3">
      <c r="B112" s="231">
        <v>80</v>
      </c>
      <c r="C112" s="231"/>
      <c r="D112" s="231"/>
      <c r="E112" s="231"/>
      <c r="F112" s="231"/>
      <c r="G112" s="231"/>
      <c r="H112" s="231"/>
      <c r="I112" s="231"/>
      <c r="J112" s="231"/>
      <c r="K112" s="231"/>
      <c r="M112" s="231">
        <f t="shared" ref="M112:S112" si="38">AVERAGE(B112,B114)</f>
        <v>80</v>
      </c>
      <c r="N112" s="231" t="e">
        <f t="shared" si="38"/>
        <v>#DIV/0!</v>
      </c>
      <c r="O112" s="231" t="e">
        <f t="shared" si="38"/>
        <v>#DIV/0!</v>
      </c>
      <c r="P112" s="231" t="e">
        <f t="shared" si="38"/>
        <v>#DIV/0!</v>
      </c>
      <c r="Q112" s="231" t="e">
        <f t="shared" si="38"/>
        <v>#DIV/0!</v>
      </c>
      <c r="R112" s="231" t="e">
        <f t="shared" si="38"/>
        <v>#DIV/0!</v>
      </c>
      <c r="S112" s="231" t="e">
        <f t="shared" si="38"/>
        <v>#DIV/0!</v>
      </c>
      <c r="T112" s="332"/>
    </row>
    <row r="113" spans="2:11" x14ac:dyDescent="0.3">
      <c r="B113" s="231">
        <v>90</v>
      </c>
      <c r="C113" s="231"/>
      <c r="D113" s="231"/>
      <c r="E113" s="231"/>
      <c r="F113" s="231"/>
      <c r="G113" s="231"/>
      <c r="H113" s="231"/>
      <c r="I113" s="231"/>
      <c r="J113" s="231"/>
      <c r="K113" s="231"/>
    </row>
    <row r="114" spans="2:11" x14ac:dyDescent="0.3">
      <c r="B114" s="231">
        <v>80</v>
      </c>
      <c r="C114" s="231"/>
      <c r="D114" s="231"/>
      <c r="E114" s="231"/>
      <c r="F114" s="231"/>
      <c r="G114" s="231"/>
      <c r="H114" s="231"/>
      <c r="I114" s="231"/>
      <c r="J114" s="231"/>
      <c r="K114" s="231"/>
    </row>
    <row r="115" spans="2:11" x14ac:dyDescent="0.3">
      <c r="B115" s="231">
        <v>60</v>
      </c>
      <c r="C115" s="231"/>
      <c r="D115" s="231"/>
      <c r="E115" s="231"/>
      <c r="F115" s="231"/>
      <c r="G115" s="231"/>
      <c r="H115" s="231"/>
      <c r="I115" s="231"/>
      <c r="J115" s="231"/>
      <c r="K115" s="231"/>
    </row>
    <row r="116" spans="2:11" x14ac:dyDescent="0.3">
      <c r="B116" s="231">
        <v>40</v>
      </c>
      <c r="C116" s="231"/>
      <c r="D116" s="231"/>
      <c r="E116" s="231"/>
      <c r="F116" s="231"/>
      <c r="G116" s="231"/>
      <c r="H116" s="231"/>
      <c r="I116" s="231"/>
      <c r="J116" s="231"/>
      <c r="K116" s="231"/>
    </row>
    <row r="117" spans="2:11" x14ac:dyDescent="0.3">
      <c r="B117" s="231">
        <v>20</v>
      </c>
      <c r="C117" s="231"/>
      <c r="D117" s="231"/>
      <c r="E117" s="231"/>
      <c r="F117" s="231"/>
      <c r="G117" s="231"/>
      <c r="H117" s="231"/>
      <c r="I117" s="231"/>
      <c r="J117" s="231"/>
      <c r="K117" s="231"/>
    </row>
    <row r="118" spans="2:11" x14ac:dyDescent="0.3">
      <c r="B118" s="231">
        <v>10</v>
      </c>
      <c r="C118" s="231"/>
      <c r="D118" s="231"/>
      <c r="E118" s="231"/>
      <c r="F118" s="231"/>
      <c r="G118" s="231"/>
      <c r="H118" s="231"/>
      <c r="I118" s="231"/>
      <c r="J118" s="231"/>
      <c r="K118" s="231"/>
    </row>
    <row r="119" spans="2:11" x14ac:dyDescent="0.3">
      <c r="B119" s="231">
        <v>0</v>
      </c>
      <c r="C119" s="231"/>
      <c r="D119" s="231"/>
      <c r="E119" s="231"/>
      <c r="F119" s="231"/>
      <c r="G119" s="231"/>
      <c r="H119" s="231"/>
      <c r="I119" s="231"/>
      <c r="J119" s="231"/>
      <c r="K119" s="231"/>
    </row>
    <row r="121" spans="2:11" x14ac:dyDescent="0.3">
      <c r="B121" s="439" t="s">
        <v>760</v>
      </c>
      <c r="C121" s="440"/>
      <c r="D121" s="440"/>
      <c r="E121" s="440"/>
      <c r="F121" s="440"/>
      <c r="G121" s="440"/>
      <c r="H121" s="440"/>
      <c r="I121" s="440"/>
      <c r="J121" s="441"/>
    </row>
    <row r="122" spans="2:11" x14ac:dyDescent="0.3">
      <c r="B122" s="329" t="s">
        <v>758</v>
      </c>
      <c r="C122" s="329" t="s">
        <v>779</v>
      </c>
      <c r="D122" s="339" t="s">
        <v>223</v>
      </c>
      <c r="E122" s="339" t="s">
        <v>224</v>
      </c>
      <c r="F122" s="339" t="s">
        <v>225</v>
      </c>
      <c r="G122" s="339" t="s">
        <v>226</v>
      </c>
      <c r="H122" s="339" t="s">
        <v>227</v>
      </c>
      <c r="I122" s="329" t="s">
        <v>437</v>
      </c>
      <c r="J122" s="329" t="s">
        <v>438</v>
      </c>
    </row>
    <row r="123" spans="2:11" x14ac:dyDescent="0.3">
      <c r="B123" s="23">
        <v>0</v>
      </c>
      <c r="C123" s="23">
        <v>0</v>
      </c>
      <c r="D123" s="23">
        <v>0</v>
      </c>
      <c r="E123" s="23">
        <v>0</v>
      </c>
      <c r="F123" s="23">
        <v>0</v>
      </c>
      <c r="G123" s="23">
        <v>0</v>
      </c>
      <c r="H123" s="23">
        <v>0</v>
      </c>
      <c r="I123" s="23">
        <v>0</v>
      </c>
      <c r="J123" s="23">
        <v>0</v>
      </c>
    </row>
    <row r="124" spans="2:11" x14ac:dyDescent="0.3">
      <c r="B124" s="23">
        <f>(M108-M$107)/2</f>
        <v>5</v>
      </c>
      <c r="C124" s="23" t="e">
        <f t="shared" ref="C124:H128" si="39">IF((N108-N$107)&gt;0,(N108-N$107),0)</f>
        <v>#DIV/0!</v>
      </c>
      <c r="D124" s="23" t="e">
        <f t="shared" si="39"/>
        <v>#DIV/0!</v>
      </c>
      <c r="E124" s="23" t="e">
        <f t="shared" si="39"/>
        <v>#DIV/0!</v>
      </c>
      <c r="F124" s="23" t="e">
        <f t="shared" si="39"/>
        <v>#DIV/0!</v>
      </c>
      <c r="G124" s="23" t="e">
        <f t="shared" si="39"/>
        <v>#DIV/0!</v>
      </c>
      <c r="H124" s="23" t="e">
        <f t="shared" si="39"/>
        <v>#DIV/0!</v>
      </c>
      <c r="I124" s="23" t="e">
        <f>SUM(C124:E124)</f>
        <v>#DIV/0!</v>
      </c>
      <c r="J124" s="23" t="e">
        <f>SUM(F124:H124)</f>
        <v>#DIV/0!</v>
      </c>
    </row>
    <row r="125" spans="2:11" x14ac:dyDescent="0.3">
      <c r="B125" s="23">
        <f>(M109-M$107)/2</f>
        <v>10</v>
      </c>
      <c r="C125" s="23" t="e">
        <f t="shared" si="39"/>
        <v>#DIV/0!</v>
      </c>
      <c r="D125" s="23" t="e">
        <f t="shared" si="39"/>
        <v>#DIV/0!</v>
      </c>
      <c r="E125" s="23" t="e">
        <f t="shared" si="39"/>
        <v>#DIV/0!</v>
      </c>
      <c r="F125" s="23" t="e">
        <f t="shared" si="39"/>
        <v>#DIV/0!</v>
      </c>
      <c r="G125" s="23" t="e">
        <f t="shared" si="39"/>
        <v>#DIV/0!</v>
      </c>
      <c r="H125" s="23" t="e">
        <f t="shared" si="39"/>
        <v>#DIV/0!</v>
      </c>
      <c r="I125" s="23" t="e">
        <f>SUM(C125:E125)</f>
        <v>#DIV/0!</v>
      </c>
      <c r="J125" s="23" t="e">
        <f>SUM(F125:H125)</f>
        <v>#DIV/0!</v>
      </c>
    </row>
    <row r="126" spans="2:11" x14ac:dyDescent="0.3">
      <c r="B126" s="23">
        <f>(M110-M$107)/2</f>
        <v>20</v>
      </c>
      <c r="C126" s="23" t="e">
        <f t="shared" si="39"/>
        <v>#DIV/0!</v>
      </c>
      <c r="D126" s="23" t="e">
        <f t="shared" si="39"/>
        <v>#DIV/0!</v>
      </c>
      <c r="E126" s="23" t="e">
        <f t="shared" si="39"/>
        <v>#DIV/0!</v>
      </c>
      <c r="F126" s="23" t="e">
        <f t="shared" si="39"/>
        <v>#DIV/0!</v>
      </c>
      <c r="G126" s="23" t="e">
        <f t="shared" si="39"/>
        <v>#DIV/0!</v>
      </c>
      <c r="H126" s="23" t="e">
        <f t="shared" si="39"/>
        <v>#DIV/0!</v>
      </c>
      <c r="I126" s="23" t="e">
        <f t="shared" ref="I126:I128" si="40">SUM(C126:E126)</f>
        <v>#DIV/0!</v>
      </c>
      <c r="J126" s="23" t="e">
        <f t="shared" ref="J126:J128" si="41">SUM(F126:H126)</f>
        <v>#DIV/0!</v>
      </c>
    </row>
    <row r="127" spans="2:11" x14ac:dyDescent="0.3">
      <c r="B127" s="23">
        <f>(M111-M$107)/2</f>
        <v>30</v>
      </c>
      <c r="C127" s="23" t="e">
        <f t="shared" si="39"/>
        <v>#DIV/0!</v>
      </c>
      <c r="D127" s="23" t="e">
        <f t="shared" si="39"/>
        <v>#DIV/0!</v>
      </c>
      <c r="E127" s="23" t="e">
        <f t="shared" si="39"/>
        <v>#DIV/0!</v>
      </c>
      <c r="F127" s="23" t="e">
        <f t="shared" si="39"/>
        <v>#DIV/0!</v>
      </c>
      <c r="G127" s="23" t="e">
        <f t="shared" si="39"/>
        <v>#DIV/0!</v>
      </c>
      <c r="H127" s="23" t="e">
        <f t="shared" si="39"/>
        <v>#DIV/0!</v>
      </c>
      <c r="I127" s="23" t="e">
        <f t="shared" si="40"/>
        <v>#DIV/0!</v>
      </c>
      <c r="J127" s="23" t="e">
        <f t="shared" si="41"/>
        <v>#DIV/0!</v>
      </c>
    </row>
    <row r="128" spans="2:11" x14ac:dyDescent="0.3">
      <c r="B128" s="23">
        <f>(M112-M$107)/2</f>
        <v>40</v>
      </c>
      <c r="C128" s="23" t="e">
        <f t="shared" si="39"/>
        <v>#DIV/0!</v>
      </c>
      <c r="D128" s="23" t="e">
        <f t="shared" si="39"/>
        <v>#DIV/0!</v>
      </c>
      <c r="E128" s="23" t="e">
        <f t="shared" si="39"/>
        <v>#DIV/0!</v>
      </c>
      <c r="F128" s="23" t="e">
        <f t="shared" si="39"/>
        <v>#DIV/0!</v>
      </c>
      <c r="G128" s="23" t="e">
        <f t="shared" si="39"/>
        <v>#DIV/0!</v>
      </c>
      <c r="H128" s="23" t="e">
        <f t="shared" si="39"/>
        <v>#DIV/0!</v>
      </c>
      <c r="I128" s="23" t="e">
        <f t="shared" si="40"/>
        <v>#DIV/0!</v>
      </c>
      <c r="J128" s="23" t="e">
        <f t="shared" si="41"/>
        <v>#DIV/0!</v>
      </c>
    </row>
    <row r="136" spans="2:12" x14ac:dyDescent="0.3">
      <c r="B136" s="446" t="s">
        <v>414</v>
      </c>
      <c r="C136" s="447"/>
      <c r="D136" s="447"/>
      <c r="E136" s="447"/>
      <c r="F136" s="447"/>
      <c r="G136" s="448"/>
      <c r="H136" s="196"/>
      <c r="I136" s="337" t="s">
        <v>414</v>
      </c>
      <c r="J136" s="338"/>
    </row>
    <row r="137" spans="2:12" x14ac:dyDescent="0.3">
      <c r="B137" s="104" t="s">
        <v>415</v>
      </c>
      <c r="C137" s="46" t="e">
        <f>IF(MAX(L157:M159,L64,L67,L83,L95,S81,U81,U86,V81,V86,W81,W86,X81,X86,Y81,Y86,Z81,Z86)=0,MAX(L157:M159,L64,L67,L83,L95,L208:M208,L171,O211,U86,V86,W86,X86,Y86,Z86),IF(MAX(L157:M159)=0,MAX(L157:M159,L64,L67,L83,L95,S81,U81,U86,V81,V86,W81,W86,X81,X86,Y81,Y86,Z81,Z86),MAX(L157:M159)))</f>
        <v>#DIV/0!</v>
      </c>
      <c r="D137" s="104" t="s">
        <v>199</v>
      </c>
      <c r="E137" s="326" t="e">
        <f>F70</f>
        <v>#DIV/0!</v>
      </c>
      <c r="F137" s="104" t="s">
        <v>200</v>
      </c>
      <c r="G137" s="327" t="e">
        <f>G70</f>
        <v>#DIV/0!</v>
      </c>
      <c r="H137" s="196"/>
      <c r="I137" s="104" t="s">
        <v>415</v>
      </c>
      <c r="J137" s="46" t="e">
        <f>IF(MAX(L157:M159,L64,L67,L83,L95,S81,U81,U86,V81,V86,W81,W86,X81,X86,Y81,Y86,Z81,Z86)=0,MAX(L157:M159,L64,L67,L83,L95,L207:M208,L171,O211,U86,V86,W86,X86,Y86,Z86),IF(MAX(L157:M159)=0,MAX(L157:M159,L64,L67,L83,L95,S81,U81,U86,V81,V86,W81,W86,X81,X86,Y81,Y86,Z81,Z86),MAX(L157:M159)))</f>
        <v>#DIV/0!</v>
      </c>
    </row>
    <row r="139" spans="2:12" x14ac:dyDescent="0.3">
      <c r="B139" s="446" t="s">
        <v>453</v>
      </c>
      <c r="C139" s="447"/>
      <c r="D139" s="447"/>
      <c r="E139" s="447"/>
      <c r="F139" s="447"/>
      <c r="G139" s="447"/>
      <c r="H139" s="447"/>
      <c r="I139" s="447"/>
      <c r="J139" s="447"/>
      <c r="K139" s="447"/>
      <c r="L139" s="448"/>
    </row>
    <row r="140" spans="2:12" x14ac:dyDescent="0.3">
      <c r="B140" s="114" t="s">
        <v>454</v>
      </c>
      <c r="C140" s="114" t="s">
        <v>780</v>
      </c>
      <c r="D140" s="340" t="s">
        <v>463</v>
      </c>
      <c r="E140" s="340" t="s">
        <v>464</v>
      </c>
      <c r="F140" s="340" t="s">
        <v>465</v>
      </c>
      <c r="G140" s="340" t="s">
        <v>466</v>
      </c>
      <c r="H140" s="340" t="s">
        <v>467</v>
      </c>
      <c r="I140" s="114" t="s">
        <v>470</v>
      </c>
      <c r="J140" s="132" t="s">
        <v>515</v>
      </c>
      <c r="K140" s="114" t="s">
        <v>471</v>
      </c>
      <c r="L140" s="114" t="s">
        <v>472</v>
      </c>
    </row>
    <row r="141" spans="2:12" x14ac:dyDescent="0.3">
      <c r="B141" s="78">
        <f>B87</f>
        <v>0</v>
      </c>
      <c r="C141" s="126" t="e">
        <f>C87</f>
        <v>#DIV/0!</v>
      </c>
      <c r="D141" s="78" t="e">
        <f t="shared" ref="D141:H141" si="42">D87</f>
        <v>#DIV/0!</v>
      </c>
      <c r="E141" s="126" t="e">
        <f t="shared" si="42"/>
        <v>#DIV/0!</v>
      </c>
      <c r="F141" s="78" t="e">
        <f t="shared" si="42"/>
        <v>#DIV/0!</v>
      </c>
      <c r="G141" s="126" t="e">
        <f t="shared" si="42"/>
        <v>#DIV/0!</v>
      </c>
      <c r="H141" s="78" t="e">
        <f t="shared" si="42"/>
        <v>#DIV/0!</v>
      </c>
      <c r="I141" s="117" t="e">
        <f t="shared" ref="I141:I146" si="43">SUM(C141:E141)</f>
        <v>#DIV/0!</v>
      </c>
      <c r="J141" s="117" t="e">
        <f t="shared" ref="J141:J146" si="44">SUM(F141:H141)</f>
        <v>#DIV/0!</v>
      </c>
      <c r="K141" s="117" t="e">
        <f t="shared" ref="K141:L146" si="45">I141-$B141</f>
        <v>#DIV/0!</v>
      </c>
      <c r="L141" s="117" t="e">
        <f t="shared" si="45"/>
        <v>#DIV/0!</v>
      </c>
    </row>
    <row r="142" spans="2:12" x14ac:dyDescent="0.3">
      <c r="B142" s="78">
        <f>B88</f>
        <v>5</v>
      </c>
      <c r="C142" s="126" t="e">
        <f>C88</f>
        <v>#DIV/0!</v>
      </c>
      <c r="D142" s="78" t="e">
        <f t="shared" ref="D142:H142" si="46">D88</f>
        <v>#DIV/0!</v>
      </c>
      <c r="E142" s="126" t="e">
        <f t="shared" si="46"/>
        <v>#DIV/0!</v>
      </c>
      <c r="F142" s="78" t="e">
        <f t="shared" si="46"/>
        <v>#DIV/0!</v>
      </c>
      <c r="G142" s="126" t="e">
        <f t="shared" si="46"/>
        <v>#DIV/0!</v>
      </c>
      <c r="H142" s="78" t="e">
        <f t="shared" si="46"/>
        <v>#DIV/0!</v>
      </c>
      <c r="I142" s="117" t="e">
        <f t="shared" si="43"/>
        <v>#DIV/0!</v>
      </c>
      <c r="J142" s="117" t="e">
        <f t="shared" si="44"/>
        <v>#DIV/0!</v>
      </c>
      <c r="K142" s="117" t="e">
        <f t="shared" si="45"/>
        <v>#DIV/0!</v>
      </c>
      <c r="L142" s="117" t="e">
        <f t="shared" si="45"/>
        <v>#DIV/0!</v>
      </c>
    </row>
    <row r="143" spans="2:12" x14ac:dyDescent="0.3">
      <c r="B143" s="78">
        <f t="shared" ref="B143:H146" si="47">B89</f>
        <v>10</v>
      </c>
      <c r="C143" s="126" t="e">
        <f t="shared" si="47"/>
        <v>#DIV/0!</v>
      </c>
      <c r="D143" s="78" t="e">
        <f t="shared" si="47"/>
        <v>#DIV/0!</v>
      </c>
      <c r="E143" s="126" t="e">
        <f t="shared" si="47"/>
        <v>#DIV/0!</v>
      </c>
      <c r="F143" s="78" t="e">
        <f t="shared" si="47"/>
        <v>#DIV/0!</v>
      </c>
      <c r="G143" s="126" t="e">
        <f t="shared" si="47"/>
        <v>#DIV/0!</v>
      </c>
      <c r="H143" s="78" t="e">
        <f t="shared" si="47"/>
        <v>#DIV/0!</v>
      </c>
      <c r="I143" s="117" t="e">
        <f t="shared" si="43"/>
        <v>#DIV/0!</v>
      </c>
      <c r="J143" s="117" t="e">
        <f t="shared" si="44"/>
        <v>#DIV/0!</v>
      </c>
      <c r="K143" s="117" t="e">
        <f t="shared" si="45"/>
        <v>#DIV/0!</v>
      </c>
      <c r="L143" s="117" t="e">
        <f t="shared" si="45"/>
        <v>#DIV/0!</v>
      </c>
    </row>
    <row r="144" spans="2:12" x14ac:dyDescent="0.3">
      <c r="B144" s="78">
        <f t="shared" si="47"/>
        <v>20</v>
      </c>
      <c r="C144" s="126" t="e">
        <f t="shared" si="47"/>
        <v>#DIV/0!</v>
      </c>
      <c r="D144" s="78" t="e">
        <f t="shared" si="47"/>
        <v>#DIV/0!</v>
      </c>
      <c r="E144" s="126" t="e">
        <f t="shared" si="47"/>
        <v>#DIV/0!</v>
      </c>
      <c r="F144" s="78" t="e">
        <f t="shared" si="47"/>
        <v>#DIV/0!</v>
      </c>
      <c r="G144" s="126" t="e">
        <f t="shared" si="47"/>
        <v>#DIV/0!</v>
      </c>
      <c r="H144" s="78" t="e">
        <f t="shared" si="47"/>
        <v>#DIV/0!</v>
      </c>
      <c r="I144" s="117" t="e">
        <f t="shared" si="43"/>
        <v>#DIV/0!</v>
      </c>
      <c r="J144" s="117" t="e">
        <f t="shared" si="44"/>
        <v>#DIV/0!</v>
      </c>
      <c r="K144" s="117" t="e">
        <f t="shared" si="45"/>
        <v>#DIV/0!</v>
      </c>
      <c r="L144" s="117" t="e">
        <f t="shared" si="45"/>
        <v>#DIV/0!</v>
      </c>
    </row>
    <row r="145" spans="2:30" x14ac:dyDescent="0.3">
      <c r="B145" s="78">
        <f t="shared" si="47"/>
        <v>30</v>
      </c>
      <c r="C145" s="126" t="e">
        <f t="shared" si="47"/>
        <v>#DIV/0!</v>
      </c>
      <c r="D145" s="78" t="e">
        <f t="shared" si="47"/>
        <v>#DIV/0!</v>
      </c>
      <c r="E145" s="126" t="e">
        <f t="shared" si="47"/>
        <v>#DIV/0!</v>
      </c>
      <c r="F145" s="78" t="e">
        <f t="shared" si="47"/>
        <v>#DIV/0!</v>
      </c>
      <c r="G145" s="126" t="e">
        <f t="shared" si="47"/>
        <v>#DIV/0!</v>
      </c>
      <c r="H145" s="78" t="e">
        <f t="shared" si="47"/>
        <v>#DIV/0!</v>
      </c>
      <c r="I145" s="117" t="e">
        <f t="shared" si="43"/>
        <v>#DIV/0!</v>
      </c>
      <c r="J145" s="117" t="e">
        <f t="shared" si="44"/>
        <v>#DIV/0!</v>
      </c>
      <c r="K145" s="117" t="e">
        <f t="shared" si="45"/>
        <v>#DIV/0!</v>
      </c>
      <c r="L145" s="117" t="e">
        <f t="shared" si="45"/>
        <v>#DIV/0!</v>
      </c>
    </row>
    <row r="146" spans="2:30" x14ac:dyDescent="0.3">
      <c r="B146" s="78">
        <f t="shared" si="47"/>
        <v>40</v>
      </c>
      <c r="C146" s="126" t="e">
        <f t="shared" si="47"/>
        <v>#DIV/0!</v>
      </c>
      <c r="D146" s="78" t="e">
        <f t="shared" si="47"/>
        <v>#DIV/0!</v>
      </c>
      <c r="E146" s="126" t="e">
        <f t="shared" si="47"/>
        <v>#DIV/0!</v>
      </c>
      <c r="F146" s="78" t="e">
        <f t="shared" si="47"/>
        <v>#DIV/0!</v>
      </c>
      <c r="G146" s="126" t="e">
        <f t="shared" si="47"/>
        <v>#DIV/0!</v>
      </c>
      <c r="H146" s="78" t="e">
        <f t="shared" si="47"/>
        <v>#DIV/0!</v>
      </c>
      <c r="I146" s="117" t="e">
        <f t="shared" si="43"/>
        <v>#DIV/0!</v>
      </c>
      <c r="J146" s="117" t="e">
        <f t="shared" si="44"/>
        <v>#DIV/0!</v>
      </c>
      <c r="K146" s="117" t="e">
        <f t="shared" si="45"/>
        <v>#DIV/0!</v>
      </c>
      <c r="L146" s="117" t="e">
        <f t="shared" si="45"/>
        <v>#DIV/0!</v>
      </c>
    </row>
    <row r="148" spans="2:30" x14ac:dyDescent="0.3">
      <c r="B148" s="442" t="s">
        <v>473</v>
      </c>
      <c r="C148" s="443"/>
      <c r="D148" s="443"/>
      <c r="E148" s="443"/>
      <c r="F148" s="443"/>
      <c r="G148" s="443"/>
      <c r="H148" s="443"/>
      <c r="I148" s="443"/>
      <c r="J148" s="456"/>
      <c r="K148" s="219"/>
      <c r="N148" s="219"/>
      <c r="O148" s="219"/>
      <c r="S148" s="219"/>
      <c r="T148" s="219"/>
      <c r="X148" s="219"/>
      <c r="Y148" s="219"/>
      <c r="AC148" s="219"/>
      <c r="AD148" s="219"/>
    </row>
    <row r="149" spans="2:30" x14ac:dyDescent="0.3">
      <c r="B149" s="129" t="s">
        <v>475</v>
      </c>
      <c r="C149" s="121"/>
      <c r="D149" s="121"/>
      <c r="E149" s="121"/>
      <c r="F149" s="121"/>
      <c r="G149" s="122"/>
      <c r="H149" s="125" t="s">
        <v>476</v>
      </c>
      <c r="I149" s="125" t="s">
        <v>478</v>
      </c>
      <c r="J149" s="220" t="s">
        <v>802</v>
      </c>
    </row>
    <row r="150" spans="2:30" x14ac:dyDescent="0.3">
      <c r="B150" s="129" t="s">
        <v>474</v>
      </c>
      <c r="C150" s="121"/>
      <c r="D150" s="121"/>
      <c r="E150" s="121"/>
      <c r="F150" s="121"/>
      <c r="G150" s="122"/>
      <c r="H150" s="231">
        <v>32768</v>
      </c>
      <c r="I150" s="231">
        <v>58000</v>
      </c>
      <c r="J150" s="231">
        <v>58000</v>
      </c>
    </row>
    <row r="151" spans="2:30" x14ac:dyDescent="0.3">
      <c r="B151" s="129" t="s">
        <v>479</v>
      </c>
      <c r="C151" s="121"/>
      <c r="D151" s="121"/>
      <c r="E151" s="121"/>
      <c r="F151" s="121"/>
      <c r="G151" s="122"/>
      <c r="H151" s="231">
        <v>48000</v>
      </c>
      <c r="I151" s="231">
        <v>48000</v>
      </c>
      <c r="J151" s="231">
        <v>48000</v>
      </c>
    </row>
    <row r="152" spans="2:30" x14ac:dyDescent="0.3">
      <c r="B152" s="129" t="s">
        <v>480</v>
      </c>
      <c r="C152" s="121"/>
      <c r="D152" s="121"/>
      <c r="E152" s="121"/>
      <c r="F152" s="121"/>
      <c r="G152" s="122"/>
      <c r="H152" s="231">
        <v>58000</v>
      </c>
      <c r="I152" s="231">
        <v>32768</v>
      </c>
      <c r="J152" s="231">
        <v>32768</v>
      </c>
    </row>
    <row r="154" spans="2:30" x14ac:dyDescent="0.3">
      <c r="B154" s="439" t="s">
        <v>481</v>
      </c>
      <c r="C154" s="440"/>
      <c r="D154" s="440"/>
      <c r="E154" s="440"/>
      <c r="F154" s="440"/>
      <c r="G154" s="440"/>
      <c r="H154" s="440"/>
      <c r="I154" s="133" t="s">
        <v>516</v>
      </c>
      <c r="J154" s="109" t="b">
        <f>IF(FLOOR($B$4/1000,1)=4,TRUE,FALSE)</f>
        <v>0</v>
      </c>
    </row>
    <row r="155" spans="2:30" x14ac:dyDescent="0.3">
      <c r="B155" s="127" t="s">
        <v>502</v>
      </c>
      <c r="C155" s="127">
        <f>'FTS-Initialization'!$AE$25</f>
        <v>65000</v>
      </c>
      <c r="D155" s="127" t="s">
        <v>503</v>
      </c>
      <c r="E155" s="127">
        <f>'FTS-Initialization'!$AE$24</f>
        <v>45000</v>
      </c>
      <c r="F155" s="127"/>
      <c r="G155" s="127" t="s">
        <v>504</v>
      </c>
      <c r="H155" s="127">
        <f>'FTS-Initialization'!$AE$23</f>
        <v>42000</v>
      </c>
      <c r="I155" s="127" t="s">
        <v>505</v>
      </c>
      <c r="J155" s="127">
        <f>'FTS-Initialization'!$AE$22</f>
        <v>22000</v>
      </c>
    </row>
    <row r="156" spans="2:30" x14ac:dyDescent="0.3">
      <c r="B156" s="128" t="s">
        <v>506</v>
      </c>
      <c r="C156" s="128"/>
      <c r="D156" s="128"/>
      <c r="E156" s="128"/>
      <c r="F156" s="128"/>
      <c r="G156" s="125" t="s">
        <v>507</v>
      </c>
      <c r="H156" s="125" t="s">
        <v>406</v>
      </c>
      <c r="I156" s="125" t="s">
        <v>508</v>
      </c>
      <c r="J156" s="125" t="s">
        <v>406</v>
      </c>
      <c r="L156" s="90" t="s">
        <v>413</v>
      </c>
      <c r="M156" s="90" t="s">
        <v>413</v>
      </c>
    </row>
    <row r="157" spans="2:30" x14ac:dyDescent="0.3">
      <c r="B157" s="129" t="s">
        <v>499</v>
      </c>
      <c r="C157" s="130"/>
      <c r="D157" s="130"/>
      <c r="E157" s="130"/>
      <c r="F157" s="130"/>
      <c r="G157" s="127">
        <f>IF($J$154,"N/A",H152)</f>
        <v>58000</v>
      </c>
      <c r="H157" s="127" t="b">
        <f>IF(AND(G157&gt;$E$155,G157&lt;$C$155),TRUE,IF($J$154,TRUE,FALSE))</f>
        <v>1</v>
      </c>
      <c r="I157" s="127">
        <f>IF($J$154,H151,H150)</f>
        <v>32768</v>
      </c>
      <c r="J157" s="127" t="b">
        <f>IF(AND(I157&gt;$J$155,I157&lt;$H$155),TRUE,FALSE)</f>
        <v>1</v>
      </c>
      <c r="L157" s="167">
        <f>IF(H157,0,'FTS-Initialization'!N82)</f>
        <v>0</v>
      </c>
      <c r="M157" s="167">
        <f>IF(J157,0,'FTS-Initialization'!N81)</f>
        <v>0</v>
      </c>
    </row>
    <row r="158" spans="2:30" x14ac:dyDescent="0.3">
      <c r="B158" s="129" t="s">
        <v>501</v>
      </c>
      <c r="C158" s="130"/>
      <c r="D158" s="130"/>
      <c r="E158" s="130"/>
      <c r="F158" s="130"/>
      <c r="G158" s="127">
        <f>I150</f>
        <v>58000</v>
      </c>
      <c r="H158" s="127" t="b">
        <f>IF(AND(G158&gt;$E$155,G158&lt;$C$155),TRUE,FALSE)</f>
        <v>1</v>
      </c>
      <c r="I158" s="127">
        <f>I152</f>
        <v>32768</v>
      </c>
      <c r="J158" s="127" t="b">
        <f>IF(AND(I158&gt;$J$155,I158&lt;$H$155),TRUE,FALSE)</f>
        <v>1</v>
      </c>
      <c r="L158" s="167">
        <f>IF(H158,0,'FTS-Initialization'!N86)</f>
        <v>0</v>
      </c>
      <c r="M158" s="167">
        <f>IF(J158,0,'FTS-Initialization'!N85)</f>
        <v>0</v>
      </c>
    </row>
    <row r="159" spans="2:30" x14ac:dyDescent="0.3">
      <c r="B159" s="129" t="s">
        <v>802</v>
      </c>
      <c r="C159" s="130"/>
      <c r="D159" s="130"/>
      <c r="E159" s="130"/>
      <c r="F159" s="130"/>
      <c r="G159" s="127">
        <f>J150</f>
        <v>58000</v>
      </c>
      <c r="H159" s="127" t="b">
        <f>IF(AND(G159&gt;$E$155,G159&lt;$C$155),TRUE,FALSE)</f>
        <v>1</v>
      </c>
      <c r="I159" s="127">
        <f>J152</f>
        <v>32768</v>
      </c>
      <c r="J159" s="127" t="b">
        <f t="shared" ref="J159" si="48">IF(AND(I159&gt;$J$155,I159&lt;$H$155),TRUE,FALSE)</f>
        <v>1</v>
      </c>
      <c r="L159" s="167">
        <v>0</v>
      </c>
      <c r="M159" s="167">
        <v>0</v>
      </c>
    </row>
    <row r="167" spans="2:20" x14ac:dyDescent="0.3">
      <c r="K167" t="s">
        <v>561</v>
      </c>
      <c r="R167" t="s">
        <v>592</v>
      </c>
      <c r="S167" t="s">
        <v>411</v>
      </c>
    </row>
    <row r="168" spans="2:20" x14ac:dyDescent="0.3">
      <c r="B168" s="495" t="s">
        <v>556</v>
      </c>
      <c r="C168" s="496"/>
      <c r="D168" s="496"/>
      <c r="E168" s="496"/>
      <c r="F168" s="496"/>
      <c r="G168" s="496"/>
      <c r="H168" s="496"/>
      <c r="I168" s="496"/>
      <c r="J168" s="497"/>
      <c r="K168" s="158" t="s">
        <v>557</v>
      </c>
      <c r="L168" s="158" t="s">
        <v>558</v>
      </c>
      <c r="M168" s="158" t="s">
        <v>199</v>
      </c>
      <c r="N168" s="158" t="s">
        <v>200</v>
      </c>
      <c r="O168" s="188" t="s">
        <v>587</v>
      </c>
      <c r="P168" s="189">
        <v>3</v>
      </c>
      <c r="Q168" s="457" t="s">
        <v>646</v>
      </c>
      <c r="R168" s="158">
        <v>8000</v>
      </c>
      <c r="S168" s="158">
        <v>15000</v>
      </c>
      <c r="T168" t="s">
        <v>583</v>
      </c>
    </row>
    <row r="169" spans="2:20" x14ac:dyDescent="0.3">
      <c r="B169" s="120" t="s">
        <v>482</v>
      </c>
      <c r="C169" s="121"/>
      <c r="D169" s="121"/>
      <c r="E169" s="121"/>
      <c r="F169" s="121"/>
      <c r="G169" s="121"/>
      <c r="H169" s="121"/>
      <c r="I169" s="122"/>
      <c r="J169" s="224">
        <v>0</v>
      </c>
      <c r="K169" s="224"/>
      <c r="L169" s="224">
        <v>0</v>
      </c>
      <c r="M169" s="225" t="e">
        <f>E137</f>
        <v>#DIV/0!</v>
      </c>
      <c r="N169" s="225" t="e">
        <f>G137</f>
        <v>#DIV/0!</v>
      </c>
      <c r="O169" s="225"/>
      <c r="P169" s="160" t="s">
        <v>586</v>
      </c>
      <c r="Q169" s="457"/>
      <c r="R169" s="160" t="s">
        <v>567</v>
      </c>
      <c r="S169" s="160" t="s">
        <v>567</v>
      </c>
    </row>
    <row r="170" spans="2:20" x14ac:dyDescent="0.3">
      <c r="L170" s="167" t="s">
        <v>413</v>
      </c>
      <c r="P170" s="166" t="s">
        <v>413</v>
      </c>
      <c r="Q170" s="166" t="s">
        <v>413</v>
      </c>
      <c r="R170" s="166" t="s">
        <v>413</v>
      </c>
      <c r="S170" s="166" t="s">
        <v>413</v>
      </c>
    </row>
    <row r="171" spans="2:20" x14ac:dyDescent="0.3">
      <c r="L171" s="77">
        <f>IF(L64=0,IF(J169&lt;H63,'FTS-Initialization'!$N$89,IF(J169&gt;J63,'FTS-Initialization'!$N$90,0)),L64)</f>
        <v>52</v>
      </c>
      <c r="P171" s="166">
        <f>IF(O169&gt;P168,0,'FTS-Initialization'!$N$89)</f>
        <v>52</v>
      </c>
      <c r="Q171" s="166">
        <f>IF(J56=20000,R171,MAX(R171,L67))</f>
        <v>63</v>
      </c>
      <c r="R171" s="166">
        <f>IF(AND((L169-K169)&gt;R168,(L169-K169)&lt;S168),0,'FTS-Initialization'!$N$80)</f>
        <v>43</v>
      </c>
      <c r="S171" s="281"/>
    </row>
    <row r="177" spans="2:12" x14ac:dyDescent="0.3">
      <c r="B177" s="439" t="s">
        <v>781</v>
      </c>
      <c r="C177" s="440"/>
      <c r="D177" s="440"/>
      <c r="E177" s="440"/>
      <c r="F177" s="440"/>
      <c r="G177" s="440"/>
      <c r="H177" s="440"/>
      <c r="I177" s="440"/>
      <c r="J177" s="440"/>
      <c r="K177" s="332"/>
    </row>
    <row r="178" spans="2:12" x14ac:dyDescent="0.3">
      <c r="B178" s="339" t="s">
        <v>222</v>
      </c>
      <c r="C178" s="339" t="s">
        <v>779</v>
      </c>
      <c r="D178" s="339" t="s">
        <v>223</v>
      </c>
      <c r="E178" s="339" t="s">
        <v>224</v>
      </c>
      <c r="F178" s="339" t="s">
        <v>225</v>
      </c>
      <c r="G178" s="339" t="s">
        <v>226</v>
      </c>
      <c r="H178" s="339" t="s">
        <v>227</v>
      </c>
      <c r="I178" s="339" t="s">
        <v>437</v>
      </c>
      <c r="J178" s="339" t="s">
        <v>438</v>
      </c>
      <c r="K178" s="332"/>
    </row>
    <row r="179" spans="2:12" x14ac:dyDescent="0.3">
      <c r="B179" s="23">
        <f>L165</f>
        <v>0</v>
      </c>
      <c r="C179" s="325">
        <v>0</v>
      </c>
      <c r="D179" s="325">
        <v>0</v>
      </c>
      <c r="E179" s="325">
        <v>0</v>
      </c>
      <c r="F179" s="325">
        <v>0</v>
      </c>
      <c r="G179" s="325">
        <v>0</v>
      </c>
      <c r="H179" s="325">
        <v>0</v>
      </c>
      <c r="I179" s="325">
        <v>0</v>
      </c>
      <c r="J179" s="325">
        <v>0</v>
      </c>
      <c r="K179" s="332"/>
    </row>
    <row r="180" spans="2:12" x14ac:dyDescent="0.3">
      <c r="B180" s="23">
        <v>10</v>
      </c>
      <c r="C180" s="325">
        <f>IF((C198-C$189)&gt;0,(C198-C$189),0)</f>
        <v>0</v>
      </c>
      <c r="D180" s="325">
        <f>IF((D198-D$189)&gt;0,(D198-D$189),0)</f>
        <v>0</v>
      </c>
      <c r="E180" s="325">
        <f t="shared" ref="E180:H180" si="49">IF((E198-E$189)&gt;0,(E198-E$189),0)</f>
        <v>0</v>
      </c>
      <c r="F180" s="325">
        <f t="shared" si="49"/>
        <v>0</v>
      </c>
      <c r="G180" s="325">
        <f t="shared" si="49"/>
        <v>0</v>
      </c>
      <c r="H180" s="325">
        <f t="shared" si="49"/>
        <v>0</v>
      </c>
      <c r="I180" s="325">
        <f t="shared" ref="I180:I184" si="50">SUM(C180:E180)</f>
        <v>0</v>
      </c>
      <c r="J180" s="325">
        <f t="shared" ref="J180:J184" si="51">SUM(F180:H180)</f>
        <v>0</v>
      </c>
      <c r="K180" s="332"/>
    </row>
    <row r="181" spans="2:12" x14ac:dyDescent="0.3">
      <c r="B181" s="23">
        <v>20</v>
      </c>
      <c r="C181" s="325">
        <f>IF((C199-C$189)&gt;0,(C199-C$189),0)</f>
        <v>0</v>
      </c>
      <c r="D181" s="325">
        <f t="shared" ref="D181:H184" si="52">IF((D199-D$189)&gt;0,(D199-D$189),0)</f>
        <v>0</v>
      </c>
      <c r="E181" s="325">
        <f t="shared" si="52"/>
        <v>0</v>
      </c>
      <c r="F181" s="325">
        <f t="shared" si="52"/>
        <v>0</v>
      </c>
      <c r="G181" s="325">
        <f t="shared" si="52"/>
        <v>0</v>
      </c>
      <c r="H181" s="325">
        <f t="shared" si="52"/>
        <v>0</v>
      </c>
      <c r="I181" s="325">
        <f t="shared" si="50"/>
        <v>0</v>
      </c>
      <c r="J181" s="325">
        <f t="shared" si="51"/>
        <v>0</v>
      </c>
      <c r="K181" s="332"/>
    </row>
    <row r="182" spans="2:12" x14ac:dyDescent="0.3">
      <c r="B182" s="23">
        <v>40</v>
      </c>
      <c r="C182" s="325">
        <f t="shared" ref="C182:C184" si="53">IF((C200-C$189)&gt;0,(C200-C$189),0)</f>
        <v>0</v>
      </c>
      <c r="D182" s="325">
        <f t="shared" si="52"/>
        <v>0</v>
      </c>
      <c r="E182" s="325">
        <f t="shared" si="52"/>
        <v>0</v>
      </c>
      <c r="F182" s="325">
        <f t="shared" si="52"/>
        <v>0</v>
      </c>
      <c r="G182" s="325">
        <f t="shared" si="52"/>
        <v>0</v>
      </c>
      <c r="H182" s="325">
        <f t="shared" si="52"/>
        <v>0</v>
      </c>
      <c r="I182" s="325">
        <f t="shared" si="50"/>
        <v>0</v>
      </c>
      <c r="J182" s="325">
        <f t="shared" si="51"/>
        <v>0</v>
      </c>
      <c r="K182" s="332"/>
    </row>
    <row r="183" spans="2:12" x14ac:dyDescent="0.3">
      <c r="B183" s="23">
        <v>60</v>
      </c>
      <c r="C183" s="325">
        <f t="shared" si="53"/>
        <v>0</v>
      </c>
      <c r="D183" s="325">
        <f t="shared" si="52"/>
        <v>0</v>
      </c>
      <c r="E183" s="325">
        <f t="shared" si="52"/>
        <v>0</v>
      </c>
      <c r="F183" s="325">
        <f t="shared" si="52"/>
        <v>0</v>
      </c>
      <c r="G183" s="325">
        <f t="shared" si="52"/>
        <v>0</v>
      </c>
      <c r="H183" s="325">
        <f t="shared" si="52"/>
        <v>0</v>
      </c>
      <c r="I183" s="325">
        <f t="shared" si="50"/>
        <v>0</v>
      </c>
      <c r="J183" s="325">
        <f t="shared" si="51"/>
        <v>0</v>
      </c>
      <c r="K183" s="332"/>
    </row>
    <row r="184" spans="2:12" x14ac:dyDescent="0.3">
      <c r="B184" s="23">
        <v>80</v>
      </c>
      <c r="C184" s="325">
        <f t="shared" si="53"/>
        <v>0</v>
      </c>
      <c r="D184" s="325">
        <f t="shared" si="52"/>
        <v>0</v>
      </c>
      <c r="E184" s="325">
        <f t="shared" si="52"/>
        <v>0</v>
      </c>
      <c r="F184" s="325">
        <f t="shared" si="52"/>
        <v>0</v>
      </c>
      <c r="G184" s="325">
        <f t="shared" si="52"/>
        <v>0</v>
      </c>
      <c r="H184" s="325">
        <f t="shared" si="52"/>
        <v>0</v>
      </c>
      <c r="I184" s="325">
        <f t="shared" si="50"/>
        <v>0</v>
      </c>
      <c r="J184" s="325">
        <f t="shared" si="51"/>
        <v>0</v>
      </c>
      <c r="K184" s="332"/>
      <c r="L184" s="332"/>
    </row>
    <row r="187" spans="2:12" x14ac:dyDescent="0.3">
      <c r="B187" s="439" t="s">
        <v>782</v>
      </c>
      <c r="C187" s="440"/>
      <c r="D187" s="440"/>
      <c r="E187" s="440"/>
      <c r="F187" s="440"/>
      <c r="G187" s="440"/>
      <c r="H187" s="440"/>
      <c r="I187" s="440"/>
      <c r="J187" s="440"/>
      <c r="K187" s="441"/>
    </row>
    <row r="188" spans="2:12" x14ac:dyDescent="0.3">
      <c r="B188" s="262" t="s">
        <v>222</v>
      </c>
      <c r="C188" s="339" t="s">
        <v>779</v>
      </c>
      <c r="D188" s="339" t="s">
        <v>223</v>
      </c>
      <c r="E188" s="339" t="s">
        <v>224</v>
      </c>
      <c r="F188" s="339" t="s">
        <v>225</v>
      </c>
      <c r="G188" s="339" t="s">
        <v>226</v>
      </c>
      <c r="H188" s="339" t="s">
        <v>227</v>
      </c>
      <c r="I188" s="339" t="s">
        <v>777</v>
      </c>
      <c r="J188" s="339" t="s">
        <v>778</v>
      </c>
      <c r="K188" s="339" t="s">
        <v>230</v>
      </c>
    </row>
    <row r="189" spans="2:12" x14ac:dyDescent="0.3">
      <c r="B189" s="23">
        <v>0</v>
      </c>
      <c r="C189" s="23"/>
      <c r="D189" s="23"/>
      <c r="E189" s="23"/>
      <c r="F189" s="23"/>
      <c r="G189" s="23"/>
      <c r="H189" s="23"/>
      <c r="I189" s="23"/>
      <c r="J189" s="23"/>
      <c r="K189" s="23"/>
    </row>
    <row r="190" spans="2:12" x14ac:dyDescent="0.3">
      <c r="B190" s="23">
        <v>0</v>
      </c>
      <c r="C190" s="23"/>
      <c r="D190" s="23"/>
      <c r="E190" s="23"/>
      <c r="F190" s="23"/>
      <c r="G190" s="23"/>
      <c r="H190" s="23"/>
      <c r="I190" s="23"/>
      <c r="J190" s="23"/>
      <c r="K190" s="23"/>
    </row>
    <row r="191" spans="2:12" x14ac:dyDescent="0.3">
      <c r="B191" s="23">
        <v>0</v>
      </c>
      <c r="C191" s="23"/>
      <c r="D191" s="23"/>
      <c r="E191" s="23"/>
      <c r="F191" s="23"/>
      <c r="G191" s="23"/>
      <c r="H191" s="23"/>
      <c r="I191" s="23"/>
      <c r="J191" s="23"/>
      <c r="K191" s="23"/>
    </row>
    <row r="192" spans="2:12" x14ac:dyDescent="0.3">
      <c r="B192" s="23">
        <v>0</v>
      </c>
      <c r="C192" s="23"/>
      <c r="D192" s="23"/>
      <c r="E192" s="23"/>
      <c r="F192" s="23"/>
      <c r="G192" s="23"/>
      <c r="H192" s="23"/>
      <c r="I192" s="23"/>
      <c r="J192" s="23"/>
      <c r="K192" s="23"/>
    </row>
    <row r="193" spans="2:22" x14ac:dyDescent="0.3">
      <c r="B193" s="23">
        <v>0</v>
      </c>
      <c r="C193" s="23"/>
      <c r="D193" s="23"/>
      <c r="E193" s="23"/>
      <c r="F193" s="23"/>
      <c r="G193" s="23"/>
      <c r="H193" s="23"/>
      <c r="I193" s="23"/>
      <c r="J193" s="23"/>
      <c r="K193" s="23"/>
    </row>
    <row r="194" spans="2:22" x14ac:dyDescent="0.3">
      <c r="B194" s="332"/>
      <c r="C194" s="332"/>
      <c r="D194" s="332"/>
      <c r="E194" s="332"/>
      <c r="F194" s="332"/>
      <c r="G194" s="332"/>
      <c r="H194" s="332"/>
      <c r="I194" s="332"/>
      <c r="J194" s="332"/>
    </row>
    <row r="195" spans="2:22" x14ac:dyDescent="0.3">
      <c r="B195" s="439" t="s">
        <v>783</v>
      </c>
      <c r="C195" s="440"/>
      <c r="D195" s="440"/>
      <c r="E195" s="440"/>
      <c r="F195" s="440"/>
      <c r="G195" s="440"/>
      <c r="H195" s="440"/>
      <c r="I195" s="440"/>
      <c r="J195" s="440"/>
      <c r="K195" s="441"/>
      <c r="M195" s="459" t="s">
        <v>705</v>
      </c>
      <c r="N195" s="459"/>
      <c r="O195" s="459"/>
    </row>
    <row r="196" spans="2:22" x14ac:dyDescent="0.3">
      <c r="B196" s="262" t="s">
        <v>222</v>
      </c>
      <c r="C196" s="339" t="s">
        <v>779</v>
      </c>
      <c r="D196" s="339" t="s">
        <v>223</v>
      </c>
      <c r="E196" s="339" t="s">
        <v>224</v>
      </c>
      <c r="F196" s="339" t="s">
        <v>225</v>
      </c>
      <c r="G196" s="339" t="s">
        <v>226</v>
      </c>
      <c r="H196" s="339" t="s">
        <v>227</v>
      </c>
      <c r="I196" s="262" t="s">
        <v>777</v>
      </c>
      <c r="J196" s="262" t="s">
        <v>778</v>
      </c>
      <c r="K196" s="339" t="s">
        <v>230</v>
      </c>
      <c r="M196" s="289" t="s">
        <v>697</v>
      </c>
      <c r="N196" s="289">
        <v>0</v>
      </c>
      <c r="O196" s="289">
        <v>0</v>
      </c>
    </row>
    <row r="197" spans="2:22" x14ac:dyDescent="0.3">
      <c r="B197" s="23">
        <v>0</v>
      </c>
      <c r="C197" s="323"/>
      <c r="D197" s="323"/>
      <c r="E197" s="323"/>
      <c r="F197" s="323"/>
      <c r="G197" s="323"/>
      <c r="H197" s="323"/>
      <c r="I197" s="323"/>
      <c r="J197" s="323"/>
      <c r="K197" s="325"/>
      <c r="M197" s="289" t="s">
        <v>698</v>
      </c>
      <c r="N197" s="289">
        <v>125</v>
      </c>
      <c r="O197" s="289">
        <v>2.5</v>
      </c>
      <c r="U197" s="291"/>
      <c r="V197" s="199"/>
    </row>
    <row r="198" spans="2:22" x14ac:dyDescent="0.3">
      <c r="B198" s="23">
        <v>10</v>
      </c>
      <c r="C198" s="323"/>
      <c r="D198" s="323"/>
      <c r="E198" s="323"/>
      <c r="F198" s="323"/>
      <c r="G198" s="323"/>
      <c r="H198" s="323"/>
      <c r="I198" s="323"/>
      <c r="J198" s="323"/>
      <c r="K198" s="325"/>
      <c r="M198" s="289" t="s">
        <v>699</v>
      </c>
      <c r="N198" s="289">
        <v>250</v>
      </c>
      <c r="O198" s="289">
        <v>5</v>
      </c>
    </row>
    <row r="199" spans="2:22" x14ac:dyDescent="0.3">
      <c r="B199" s="23">
        <v>20</v>
      </c>
      <c r="C199" s="323"/>
      <c r="D199" s="323"/>
      <c r="E199" s="323"/>
      <c r="F199" s="323"/>
      <c r="G199" s="323"/>
      <c r="H199" s="323"/>
      <c r="I199" s="323"/>
      <c r="J199" s="323"/>
      <c r="K199" s="325"/>
      <c r="M199" s="289" t="s">
        <v>700</v>
      </c>
      <c r="N199" s="289">
        <v>500</v>
      </c>
      <c r="O199" s="289">
        <v>10</v>
      </c>
    </row>
    <row r="200" spans="2:22" x14ac:dyDescent="0.3">
      <c r="B200" s="23">
        <v>40</v>
      </c>
      <c r="C200" s="323"/>
      <c r="D200" s="323"/>
      <c r="E200" s="323"/>
      <c r="F200" s="323"/>
      <c r="G200" s="323"/>
      <c r="H200" s="323"/>
      <c r="I200" s="323"/>
      <c r="J200" s="323"/>
      <c r="K200" s="325"/>
      <c r="M200" s="290" t="s">
        <v>701</v>
      </c>
      <c r="N200" s="290">
        <v>1000</v>
      </c>
      <c r="O200" s="290">
        <v>20</v>
      </c>
    </row>
    <row r="201" spans="2:22" x14ac:dyDescent="0.3">
      <c r="B201" s="23">
        <v>60</v>
      </c>
      <c r="C201" s="231"/>
      <c r="D201" s="231"/>
      <c r="E201" s="231"/>
      <c r="F201" s="231"/>
      <c r="G201" s="231"/>
      <c r="H201" s="231"/>
      <c r="I201" s="231"/>
      <c r="J201" s="231"/>
      <c r="K201" s="231"/>
      <c r="M201" s="290" t="s">
        <v>702</v>
      </c>
      <c r="N201" s="290">
        <v>2000</v>
      </c>
      <c r="O201" s="290">
        <v>40</v>
      </c>
    </row>
    <row r="202" spans="2:22" x14ac:dyDescent="0.3">
      <c r="B202" s="23">
        <v>80</v>
      </c>
      <c r="C202" s="231"/>
      <c r="D202" s="231"/>
      <c r="E202" s="231"/>
      <c r="F202" s="231"/>
      <c r="G202" s="231"/>
      <c r="H202" s="231"/>
      <c r="I202" s="231"/>
      <c r="J202" s="231"/>
      <c r="K202" s="231"/>
      <c r="M202" s="290" t="s">
        <v>703</v>
      </c>
      <c r="N202" s="290">
        <v>4000</v>
      </c>
      <c r="O202" s="290">
        <v>80</v>
      </c>
    </row>
    <row r="203" spans="2:22" x14ac:dyDescent="0.3">
      <c r="M203" s="290" t="s">
        <v>704</v>
      </c>
      <c r="N203" s="290">
        <v>8000</v>
      </c>
      <c r="O203" s="290">
        <v>160</v>
      </c>
    </row>
    <row r="205" spans="2:22" x14ac:dyDescent="0.3">
      <c r="B205" s="458" t="s">
        <v>678</v>
      </c>
      <c r="C205" s="458"/>
      <c r="D205" s="458"/>
      <c r="E205" s="458"/>
      <c r="F205" s="458"/>
      <c r="G205" s="458"/>
      <c r="H205" s="458"/>
      <c r="I205" s="458"/>
      <c r="J205" s="458"/>
    </row>
    <row r="206" spans="2:22" x14ac:dyDescent="0.3">
      <c r="B206" s="262" t="s">
        <v>222</v>
      </c>
      <c r="C206" s="339" t="s">
        <v>779</v>
      </c>
      <c r="D206" s="339" t="s">
        <v>223</v>
      </c>
      <c r="E206" s="339" t="s">
        <v>224</v>
      </c>
      <c r="F206" s="339" t="s">
        <v>225</v>
      </c>
      <c r="G206" s="339" t="s">
        <v>226</v>
      </c>
      <c r="H206" s="339" t="s">
        <v>227</v>
      </c>
      <c r="I206" s="262" t="s">
        <v>437</v>
      </c>
      <c r="J206" s="262" t="s">
        <v>438</v>
      </c>
      <c r="L206" s="167" t="s">
        <v>413</v>
      </c>
      <c r="M206" s="167" t="s">
        <v>413</v>
      </c>
      <c r="O206" s="279" t="s">
        <v>675</v>
      </c>
    </row>
    <row r="207" spans="2:22" x14ac:dyDescent="0.3">
      <c r="B207" s="263">
        <f t="shared" ref="B207:B212" si="54">B197</f>
        <v>0</v>
      </c>
      <c r="C207" s="217">
        <v>0</v>
      </c>
      <c r="D207" s="217">
        <v>0</v>
      </c>
      <c r="E207" s="217">
        <v>0</v>
      </c>
      <c r="F207" s="217">
        <v>0</v>
      </c>
      <c r="G207" s="217">
        <v>0</v>
      </c>
      <c r="H207" s="217">
        <v>0</v>
      </c>
      <c r="I207" s="217">
        <f t="shared" ref="I207:I212" si="55">SUM(C207:E207)</f>
        <v>0</v>
      </c>
      <c r="J207" s="217">
        <f t="shared" ref="J207:J212" si="56">SUM(F207:H207)</f>
        <v>0</v>
      </c>
      <c r="L207" s="167" t="e">
        <f>IF(AND((C216&gt;-3.5),(D216&lt;3.5)),0,'FTS-Initialization'!N117)</f>
        <v>#DIV/0!</v>
      </c>
      <c r="M207" s="167" t="e">
        <f>IF(AND((E216&gt;-3.5),(F216&lt;3.5)),0,'FTS-Initialization'!N118)</f>
        <v>#DIV/0!</v>
      </c>
      <c r="O207" s="280" t="s">
        <v>677</v>
      </c>
    </row>
    <row r="208" spans="2:22" x14ac:dyDescent="0.3">
      <c r="B208" s="283">
        <f t="shared" si="54"/>
        <v>10</v>
      </c>
      <c r="C208" s="217" t="e">
        <f>C180*$F$71</f>
        <v>#DIV/0!</v>
      </c>
      <c r="D208" s="217" t="e">
        <f>D180*$F$71</f>
        <v>#DIV/0!</v>
      </c>
      <c r="E208" s="217" t="e">
        <f t="shared" ref="E208" si="57">E180*$F$71</f>
        <v>#DIV/0!</v>
      </c>
      <c r="F208" s="217" t="e">
        <f>F180*$G$71</f>
        <v>#DIV/0!</v>
      </c>
      <c r="G208" s="217" t="e">
        <f t="shared" ref="G208:H208" si="58">G180*$G$71</f>
        <v>#DIV/0!</v>
      </c>
      <c r="H208" s="217" t="e">
        <f t="shared" si="58"/>
        <v>#DIV/0!</v>
      </c>
      <c r="I208" s="217" t="e">
        <f t="shared" si="55"/>
        <v>#DIV/0!</v>
      </c>
      <c r="J208" s="217" t="e">
        <f t="shared" si="56"/>
        <v>#DIV/0!</v>
      </c>
      <c r="L208" s="167" t="e">
        <f>IF(AND((C216&gt;-7),(D216&lt;7)),0,'FTS-Initialization'!N128)</f>
        <v>#DIV/0!</v>
      </c>
      <c r="M208" s="167" t="e">
        <f>IF(AND((E216&gt;-7),(F216&lt;7)),0,'FTS-Initialization'!N129)</f>
        <v>#DIV/0!</v>
      </c>
    </row>
    <row r="209" spans="2:15" x14ac:dyDescent="0.3">
      <c r="B209" s="283">
        <f t="shared" si="54"/>
        <v>20</v>
      </c>
      <c r="C209" s="217" t="e">
        <f>C181*$F$71</f>
        <v>#DIV/0!</v>
      </c>
      <c r="D209" s="217" t="e">
        <f t="shared" ref="D209:E212" si="59">D181*$F$71</f>
        <v>#DIV/0!</v>
      </c>
      <c r="E209" s="217" t="e">
        <f t="shared" si="59"/>
        <v>#DIV/0!</v>
      </c>
      <c r="F209" s="217" t="e">
        <f t="shared" ref="F209:H212" si="60">F181*$G$71</f>
        <v>#DIV/0!</v>
      </c>
      <c r="G209" s="217" t="e">
        <f t="shared" si="60"/>
        <v>#DIV/0!</v>
      </c>
      <c r="H209" s="217" t="e">
        <f t="shared" si="60"/>
        <v>#DIV/0!</v>
      </c>
      <c r="I209" s="217" t="e">
        <f t="shared" si="55"/>
        <v>#DIV/0!</v>
      </c>
      <c r="J209" s="217" t="e">
        <f t="shared" si="56"/>
        <v>#DIV/0!</v>
      </c>
      <c r="L209" s="356"/>
      <c r="M209" s="356"/>
    </row>
    <row r="210" spans="2:15" x14ac:dyDescent="0.3">
      <c r="B210" s="283">
        <f t="shared" si="54"/>
        <v>40</v>
      </c>
      <c r="C210" s="217" t="e">
        <f t="shared" ref="C210:C212" si="61">C182*$F$71</f>
        <v>#DIV/0!</v>
      </c>
      <c r="D210" s="217" t="e">
        <f t="shared" si="59"/>
        <v>#DIV/0!</v>
      </c>
      <c r="E210" s="217" t="e">
        <f t="shared" si="59"/>
        <v>#DIV/0!</v>
      </c>
      <c r="F210" s="217" t="e">
        <f t="shared" si="60"/>
        <v>#DIV/0!</v>
      </c>
      <c r="G210" s="217" t="e">
        <f t="shared" si="60"/>
        <v>#DIV/0!</v>
      </c>
      <c r="H210" s="217" t="e">
        <f t="shared" si="60"/>
        <v>#DIV/0!</v>
      </c>
      <c r="I210" s="217" t="e">
        <f t="shared" si="55"/>
        <v>#DIV/0!</v>
      </c>
      <c r="J210" s="217" t="e">
        <f t="shared" si="56"/>
        <v>#DIV/0!</v>
      </c>
      <c r="L210" s="356"/>
      <c r="M210" s="356"/>
      <c r="O210" s="167" t="s">
        <v>413</v>
      </c>
    </row>
    <row r="211" spans="2:15" x14ac:dyDescent="0.3">
      <c r="B211" s="331">
        <f t="shared" si="54"/>
        <v>60</v>
      </c>
      <c r="C211" s="217" t="e">
        <f t="shared" si="61"/>
        <v>#DIV/0!</v>
      </c>
      <c r="D211" s="217" t="e">
        <f t="shared" si="59"/>
        <v>#DIV/0!</v>
      </c>
      <c r="E211" s="217" t="e">
        <f t="shared" ref="E211" si="62">E183*$F$71</f>
        <v>#DIV/0!</v>
      </c>
      <c r="F211" s="217" t="e">
        <f t="shared" si="60"/>
        <v>#DIV/0!</v>
      </c>
      <c r="G211" s="217" t="e">
        <f t="shared" si="60"/>
        <v>#DIV/0!</v>
      </c>
      <c r="H211" s="217" t="e">
        <f t="shared" si="60"/>
        <v>#DIV/0!</v>
      </c>
      <c r="I211" s="217" t="e">
        <f t="shared" si="55"/>
        <v>#DIV/0!</v>
      </c>
      <c r="J211" s="217" t="e">
        <f t="shared" si="56"/>
        <v>#DIV/0!</v>
      </c>
      <c r="L211" s="356"/>
      <c r="M211" s="356"/>
      <c r="O211" s="167" t="e">
        <f>IF((MAX(L157:M159,L64,L67,L83,L95,L207:M208,U86,V86,W86,X86,Y86,Z86))&gt;0,0,(IF(J215,0,'FTS-Initialization'!$N$127)))</f>
        <v>#DIV/0!</v>
      </c>
    </row>
    <row r="212" spans="2:15" x14ac:dyDescent="0.3">
      <c r="B212" s="331">
        <f t="shared" si="54"/>
        <v>80</v>
      </c>
      <c r="C212" s="217" t="e">
        <f t="shared" si="61"/>
        <v>#DIV/0!</v>
      </c>
      <c r="D212" s="217" t="e">
        <f t="shared" si="59"/>
        <v>#DIV/0!</v>
      </c>
      <c r="E212" s="217" t="e">
        <f t="shared" si="59"/>
        <v>#DIV/0!</v>
      </c>
      <c r="F212" s="217" t="e">
        <f t="shared" si="60"/>
        <v>#DIV/0!</v>
      </c>
      <c r="G212" s="217" t="e">
        <f t="shared" si="60"/>
        <v>#DIV/0!</v>
      </c>
      <c r="H212" s="217" t="e">
        <f t="shared" si="60"/>
        <v>#DIV/0!</v>
      </c>
      <c r="I212" s="217" t="e">
        <f t="shared" si="55"/>
        <v>#DIV/0!</v>
      </c>
      <c r="J212" s="217" t="e">
        <f t="shared" si="56"/>
        <v>#DIV/0!</v>
      </c>
      <c r="L212" s="356"/>
      <c r="M212" s="356"/>
    </row>
    <row r="213" spans="2:15" x14ac:dyDescent="0.3">
      <c r="B213" s="270"/>
      <c r="C213" s="270"/>
      <c r="D213" s="270"/>
      <c r="E213" s="270"/>
      <c r="F213" s="270"/>
      <c r="G213" s="270"/>
      <c r="H213" s="270"/>
      <c r="I213" s="270"/>
      <c r="J213" s="270"/>
      <c r="L213" s="356"/>
      <c r="M213" s="356"/>
    </row>
    <row r="214" spans="2:15" x14ac:dyDescent="0.3">
      <c r="B214" s="458" t="s">
        <v>796</v>
      </c>
      <c r="C214" s="458"/>
      <c r="D214" s="458"/>
      <c r="E214" s="458"/>
      <c r="F214" s="458"/>
      <c r="G214" s="458"/>
      <c r="H214" s="458"/>
      <c r="I214" s="274" t="s">
        <v>206</v>
      </c>
      <c r="J214" s="271">
        <v>3.5</v>
      </c>
      <c r="L214" s="356"/>
      <c r="M214" s="356"/>
    </row>
    <row r="215" spans="2:15" x14ac:dyDescent="0.3">
      <c r="B215" s="263" t="s">
        <v>454</v>
      </c>
      <c r="C215" s="263" t="s">
        <v>794</v>
      </c>
      <c r="D215" s="263" t="s">
        <v>793</v>
      </c>
      <c r="E215" s="263" t="s">
        <v>809</v>
      </c>
      <c r="F215" s="263" t="s">
        <v>810</v>
      </c>
      <c r="G215" s="273" t="s">
        <v>801</v>
      </c>
      <c r="H215" s="272">
        <v>1.7370000000000001</v>
      </c>
      <c r="I215" s="263" t="s">
        <v>406</v>
      </c>
      <c r="J215" s="263" t="e">
        <f>IF(MAX(C216:D221)&lt;=J214,TRUE, FALSE)</f>
        <v>#DIV/0!</v>
      </c>
      <c r="L215" s="356"/>
      <c r="M215" s="356"/>
    </row>
    <row r="216" spans="2:15" x14ac:dyDescent="0.3">
      <c r="B216" s="263" t="s">
        <v>795</v>
      </c>
      <c r="C216" s="217" t="e">
        <f>$T238-($H$215*$U238)</f>
        <v>#DIV/0!</v>
      </c>
      <c r="D216" s="217" t="e">
        <f>$T238+($H$215*$U238)</f>
        <v>#DIV/0!</v>
      </c>
      <c r="E216" s="217" t="e">
        <f>$X238-($H$215*$Y238)</f>
        <v>#DIV/0!</v>
      </c>
      <c r="F216" s="217" t="e">
        <f>$X238+($H$215*$Y238)</f>
        <v>#DIV/0!</v>
      </c>
      <c r="L216" s="356"/>
      <c r="M216" s="356"/>
    </row>
    <row r="217" spans="2:15" x14ac:dyDescent="0.3">
      <c r="B217" s="359"/>
      <c r="C217" s="359"/>
      <c r="D217" s="359"/>
      <c r="E217" s="359"/>
      <c r="F217" s="359"/>
      <c r="G217" s="359"/>
      <c r="H217" s="359"/>
      <c r="I217" s="359"/>
      <c r="L217" s="356"/>
      <c r="M217" s="356"/>
    </row>
    <row r="218" spans="2:15" x14ac:dyDescent="0.3">
      <c r="B218" s="359"/>
      <c r="C218" s="359"/>
      <c r="D218" s="359"/>
      <c r="E218" s="359"/>
      <c r="F218" s="359"/>
      <c r="G218" s="359"/>
      <c r="H218" s="359"/>
      <c r="I218" s="359"/>
    </row>
    <row r="219" spans="2:15" x14ac:dyDescent="0.3">
      <c r="B219" s="359"/>
      <c r="C219" s="359"/>
      <c r="D219" s="359"/>
      <c r="E219" s="359"/>
      <c r="F219" s="359"/>
      <c r="G219" s="359"/>
      <c r="H219" s="359"/>
      <c r="I219" s="359"/>
      <c r="N219" s="356"/>
    </row>
    <row r="220" spans="2:15" x14ac:dyDescent="0.3">
      <c r="B220" s="359"/>
      <c r="C220" s="359"/>
      <c r="D220" s="359"/>
      <c r="E220" s="359"/>
      <c r="F220" s="359"/>
      <c r="G220" s="359"/>
      <c r="H220" s="359"/>
      <c r="I220" s="359"/>
    </row>
    <row r="221" spans="2:15" x14ac:dyDescent="0.3">
      <c r="B221" s="359"/>
      <c r="C221" s="359"/>
      <c r="D221" s="359"/>
      <c r="E221" s="359"/>
      <c r="F221" s="359"/>
      <c r="G221" s="359"/>
      <c r="H221" s="359"/>
      <c r="I221" s="359"/>
    </row>
    <row r="222" spans="2:15" x14ac:dyDescent="0.3">
      <c r="O222" s="356"/>
    </row>
    <row r="223" spans="2:15" x14ac:dyDescent="0.3">
      <c r="B223" s="270"/>
      <c r="C223" s="270"/>
      <c r="D223" s="270"/>
      <c r="E223" s="270"/>
      <c r="F223" s="270"/>
      <c r="G223" s="270"/>
      <c r="H223" s="270"/>
      <c r="I223" s="270"/>
      <c r="J223" s="270"/>
    </row>
    <row r="224" spans="2:15" x14ac:dyDescent="0.3">
      <c r="B224" s="270"/>
      <c r="C224" s="270"/>
      <c r="D224" s="270"/>
      <c r="E224" s="270"/>
      <c r="F224" s="270"/>
      <c r="G224" s="270"/>
      <c r="H224" s="270"/>
      <c r="I224" s="270"/>
      <c r="J224" s="270"/>
    </row>
    <row r="225" spans="2:25" x14ac:dyDescent="0.3">
      <c r="B225" s="270"/>
      <c r="C225" s="270"/>
      <c r="D225" s="270"/>
      <c r="E225" s="270"/>
      <c r="F225" s="270"/>
      <c r="G225" s="270"/>
      <c r="H225" s="270"/>
      <c r="I225" s="270"/>
      <c r="J225" s="270"/>
    </row>
    <row r="231" spans="2:25" x14ac:dyDescent="0.3">
      <c r="B231" s="451" t="s">
        <v>761</v>
      </c>
      <c r="C231" s="452"/>
      <c r="D231" s="452"/>
      <c r="E231" s="452"/>
      <c r="F231" s="452"/>
      <c r="G231" s="452"/>
      <c r="H231" s="452"/>
      <c r="I231" s="452"/>
      <c r="J231" s="452"/>
      <c r="K231" s="452"/>
      <c r="M231" s="451" t="s">
        <v>762</v>
      </c>
      <c r="N231" s="452"/>
      <c r="O231" s="452"/>
      <c r="P231" s="407" t="s">
        <v>763</v>
      </c>
      <c r="Q231" s="409"/>
      <c r="S231" s="451" t="s">
        <v>767</v>
      </c>
      <c r="T231" s="452"/>
      <c r="U231" s="452"/>
      <c r="W231" s="451" t="s">
        <v>768</v>
      </c>
      <c r="X231" s="452"/>
      <c r="Y231" s="452"/>
    </row>
    <row r="232" spans="2:25" x14ac:dyDescent="0.3">
      <c r="B232" s="230" t="s">
        <v>222</v>
      </c>
      <c r="C232" s="230" t="s">
        <v>779</v>
      </c>
      <c r="D232" s="230" t="s">
        <v>223</v>
      </c>
      <c r="E232" s="230" t="s">
        <v>224</v>
      </c>
      <c r="F232" s="230" t="s">
        <v>225</v>
      </c>
      <c r="G232" s="230" t="s">
        <v>226</v>
      </c>
      <c r="H232" s="230" t="s">
        <v>227</v>
      </c>
      <c r="I232" s="230" t="s">
        <v>789</v>
      </c>
      <c r="J232" s="230" t="s">
        <v>790</v>
      </c>
      <c r="K232" s="230" t="s">
        <v>230</v>
      </c>
      <c r="M232" s="230" t="s">
        <v>764</v>
      </c>
      <c r="N232" s="230" t="s">
        <v>437</v>
      </c>
      <c r="O232" s="230" t="s">
        <v>438</v>
      </c>
      <c r="P232" s="226" t="s">
        <v>437</v>
      </c>
      <c r="Q232" s="226" t="s">
        <v>438</v>
      </c>
      <c r="S232" s="230" t="s">
        <v>764</v>
      </c>
      <c r="T232" s="230" t="s">
        <v>765</v>
      </c>
      <c r="U232" s="230" t="s">
        <v>766</v>
      </c>
      <c r="W232" s="230" t="s">
        <v>764</v>
      </c>
      <c r="X232" s="230" t="s">
        <v>765</v>
      </c>
      <c r="Y232" s="230" t="s">
        <v>766</v>
      </c>
    </row>
    <row r="233" spans="2:25" x14ac:dyDescent="0.3">
      <c r="B233" s="333">
        <v>0</v>
      </c>
      <c r="C233" s="333"/>
      <c r="D233" s="333"/>
      <c r="E233" s="333"/>
      <c r="F233" s="333"/>
      <c r="G233" s="333"/>
      <c r="H233" s="333"/>
      <c r="I233" s="333"/>
      <c r="J233" s="333"/>
      <c r="K233" s="333"/>
      <c r="M233" s="333">
        <f t="shared" ref="M233:M264" si="63">B233/2</f>
        <v>0</v>
      </c>
      <c r="N233" s="333" t="e">
        <f t="shared" ref="N233:N264" si="64">(SUM(C233:E233)-SUM($C$189:$E$189))*$F$71</f>
        <v>#DIV/0!</v>
      </c>
      <c r="O233" s="333" t="e">
        <f t="shared" ref="O233:O264" si="65">(SUM(F233:H233)-SUM($F$189:$H$189))*$G$71</f>
        <v>#DIV/0!</v>
      </c>
      <c r="P233" s="334" t="e">
        <f>N233-M233</f>
        <v>#DIV/0!</v>
      </c>
      <c r="Q233" s="334" t="e">
        <f>O233-M233</f>
        <v>#DIV/0!</v>
      </c>
      <c r="S233" s="333">
        <f>AVERAGE(M253:M272,M377:M396,M502:M521)</f>
        <v>5</v>
      </c>
      <c r="T233" s="333" t="e">
        <f>AVERAGE(P253:P272,P377:P396,P502:P521,P627:P646,P752:P771)</f>
        <v>#DIV/0!</v>
      </c>
      <c r="U233" s="333" t="e">
        <f>_xlfn.STDEV.P(P253:P272,P377:P396,P502:P521,P627:P646,P752:P771)</f>
        <v>#DIV/0!</v>
      </c>
      <c r="W233" s="333">
        <f>AVERAGE(M253:M272,M377:M396,M502:M521)</f>
        <v>5</v>
      </c>
      <c r="X233" s="333" t="e">
        <f>AVERAGE(Q253:Q272,Q377:Q396,Q502:Q521,Q627:Q646,Q752:Q771)</f>
        <v>#DIV/0!</v>
      </c>
      <c r="Y233" s="333" t="e">
        <f>_xlfn.STDEV.P(Q253:Q272,Q377:Q396,Q502:Q521,Q627:Q646,Q752:Q771)</f>
        <v>#DIV/0!</v>
      </c>
    </row>
    <row r="234" spans="2:25" x14ac:dyDescent="0.3">
      <c r="B234" s="333">
        <v>0</v>
      </c>
      <c r="C234" s="333"/>
      <c r="D234" s="333"/>
      <c r="E234" s="333"/>
      <c r="F234" s="333"/>
      <c r="G234" s="333"/>
      <c r="H234" s="333"/>
      <c r="I234" s="333"/>
      <c r="J234" s="333"/>
      <c r="K234" s="333"/>
      <c r="M234" s="333">
        <f t="shared" si="63"/>
        <v>0</v>
      </c>
      <c r="N234" s="333" t="e">
        <f t="shared" si="64"/>
        <v>#DIV/0!</v>
      </c>
      <c r="O234" s="333" t="e">
        <f t="shared" si="65"/>
        <v>#DIV/0!</v>
      </c>
      <c r="P234" s="334" t="e">
        <f>N234-M234</f>
        <v>#DIV/0!</v>
      </c>
      <c r="Q234" s="334" t="e">
        <f>O234-M234</f>
        <v>#DIV/0!</v>
      </c>
      <c r="S234" s="333">
        <f>AVERAGE(M273:M292,M397:M416,M522:M541)</f>
        <v>10</v>
      </c>
      <c r="T234" s="333" t="e">
        <f>AVERAGE(P273:P292,P397:P416,P522:P541,P647:P666,P772:P791)</f>
        <v>#DIV/0!</v>
      </c>
      <c r="U234" s="333" t="e">
        <f>_xlfn.STDEV.P(P273:P292,P397:P416,P522:P541,P647:P666,P772:P791)</f>
        <v>#DIV/0!</v>
      </c>
      <c r="W234" s="333">
        <f>AVERAGE(M273:M292,M397:M416,M522:M541)</f>
        <v>10</v>
      </c>
      <c r="X234" s="333" t="e">
        <f>AVERAGE(Q273:Q292,Q397:Q416,Q522:Q541,Q647:Q666,Q772:Q791)</f>
        <v>#DIV/0!</v>
      </c>
      <c r="Y234" s="333" t="e">
        <f>_xlfn.STDEV.P(Q273:Q292,Q397:Q416,Q522:Q541,Q647:Q666,Q772:Q791)</f>
        <v>#DIV/0!</v>
      </c>
    </row>
    <row r="235" spans="2:25" x14ac:dyDescent="0.3">
      <c r="B235" s="333">
        <v>0</v>
      </c>
      <c r="C235" s="333"/>
      <c r="D235" s="333"/>
      <c r="E235" s="333"/>
      <c r="F235" s="333"/>
      <c r="G235" s="333"/>
      <c r="H235" s="333"/>
      <c r="I235" s="333"/>
      <c r="J235" s="333"/>
      <c r="K235" s="333"/>
      <c r="M235" s="333">
        <f t="shared" si="63"/>
        <v>0</v>
      </c>
      <c r="N235" s="333" t="e">
        <f t="shared" si="64"/>
        <v>#DIV/0!</v>
      </c>
      <c r="O235" s="333" t="e">
        <f t="shared" si="65"/>
        <v>#DIV/0!</v>
      </c>
      <c r="P235" s="334" t="e">
        <f t="shared" ref="P235:P298" si="66">N235-M235</f>
        <v>#DIV/0!</v>
      </c>
      <c r="Q235" s="334" t="e">
        <f t="shared" ref="Q235:Q298" si="67">O235-M235</f>
        <v>#DIV/0!</v>
      </c>
      <c r="S235" s="333">
        <f>AVERAGE(M293:M312,M417:M436,M542:M561)</f>
        <v>20</v>
      </c>
      <c r="T235" s="333" t="e">
        <f>AVERAGE(P293:P312,P417:P436,P542:P561,P667:P686,P792:P811)</f>
        <v>#DIV/0!</v>
      </c>
      <c r="U235" s="333" t="e">
        <f>_xlfn.STDEV.P(P293:P312,P417:P436,P542:P561,P667:P686,P792:P811)</f>
        <v>#DIV/0!</v>
      </c>
      <c r="W235" s="333">
        <f>AVERAGE(M293:M312,M417:M436,M542:M561)</f>
        <v>20</v>
      </c>
      <c r="X235" s="333" t="e">
        <f>AVERAGE(Q293:Q312,Q417:Q436,Q542:Q561,Q667:Q686,Q792:Q811)</f>
        <v>#DIV/0!</v>
      </c>
      <c r="Y235" s="333" t="e">
        <f>_xlfn.STDEV.P(Q293:Q312,Q417:Q436,Q542:Q561,Q667:Q686,Q792:Q811)</f>
        <v>#DIV/0!</v>
      </c>
    </row>
    <row r="236" spans="2:25" x14ac:dyDescent="0.3">
      <c r="B236" s="333">
        <v>0</v>
      </c>
      <c r="C236" s="333"/>
      <c r="D236" s="333"/>
      <c r="E236" s="333"/>
      <c r="F236" s="333"/>
      <c r="G236" s="333"/>
      <c r="H236" s="333"/>
      <c r="I236" s="333"/>
      <c r="J236" s="333"/>
      <c r="K236" s="333"/>
      <c r="M236" s="333">
        <f t="shared" si="63"/>
        <v>0</v>
      </c>
      <c r="N236" s="333" t="e">
        <f t="shared" si="64"/>
        <v>#DIV/0!</v>
      </c>
      <c r="O236" s="333" t="e">
        <f t="shared" si="65"/>
        <v>#DIV/0!</v>
      </c>
      <c r="P236" s="334" t="e">
        <f t="shared" si="66"/>
        <v>#DIV/0!</v>
      </c>
      <c r="Q236" s="334" t="e">
        <f t="shared" si="67"/>
        <v>#DIV/0!</v>
      </c>
      <c r="S236" s="333">
        <f>AVERAGE(M313:M332,M437:M456,M562:M581)</f>
        <v>30</v>
      </c>
      <c r="T236" s="333" t="e">
        <f>AVERAGE(P313:P332,P437:P456,P562:P581,P687:P706,P812:P831)</f>
        <v>#DIV/0!</v>
      </c>
      <c r="U236" s="333" t="e">
        <f>_xlfn.STDEV.P(P313:P332,P437:P456,P562:P581,P687:P706,P812:P831)</f>
        <v>#DIV/0!</v>
      </c>
      <c r="W236" s="333">
        <f>AVERAGE(M313:M332,M437:M456,M562:M581)</f>
        <v>30</v>
      </c>
      <c r="X236" s="333" t="e">
        <f>AVERAGE(Q313:Q332,Q437:Q456,Q562:Q581,Q687:Q706,Q812:Q831)</f>
        <v>#DIV/0!</v>
      </c>
      <c r="Y236" s="333" t="e">
        <f>_xlfn.STDEV.P(Q313:Q332,Q437:Q456,Q562:Q581,Q687:Q706,Q812:Q831)</f>
        <v>#DIV/0!</v>
      </c>
    </row>
    <row r="237" spans="2:25" x14ac:dyDescent="0.3">
      <c r="B237" s="333">
        <v>0</v>
      </c>
      <c r="C237" s="333"/>
      <c r="D237" s="333"/>
      <c r="E237" s="333"/>
      <c r="F237" s="333"/>
      <c r="G237" s="333"/>
      <c r="H237" s="333"/>
      <c r="I237" s="333"/>
      <c r="J237" s="333"/>
      <c r="K237" s="333"/>
      <c r="M237" s="333">
        <f t="shared" si="63"/>
        <v>0</v>
      </c>
      <c r="N237" s="333" t="e">
        <f t="shared" si="64"/>
        <v>#DIV/0!</v>
      </c>
      <c r="O237" s="333" t="e">
        <f t="shared" si="65"/>
        <v>#DIV/0!</v>
      </c>
      <c r="P237" s="334" t="e">
        <f t="shared" si="66"/>
        <v>#DIV/0!</v>
      </c>
      <c r="Q237" s="334" t="e">
        <f t="shared" si="67"/>
        <v>#DIV/0!</v>
      </c>
      <c r="S237" s="333">
        <f>AVERAGE(M333:M352,M457:M476,M582:M601)</f>
        <v>40</v>
      </c>
      <c r="T237" s="333" t="e">
        <f>AVERAGE(P333:P352,P457:P476,P582:P601,P707:P726,P832:P851)</f>
        <v>#DIV/0!</v>
      </c>
      <c r="U237" s="333" t="e">
        <f>_xlfn.STDEV.P(P333:P352,P457:P476,P582:P601,P707:P726,P832:P851)</f>
        <v>#DIV/0!</v>
      </c>
      <c r="W237" s="333">
        <f>AVERAGE(M333:M352,M457:M476,M582:M601)</f>
        <v>40</v>
      </c>
      <c r="X237" s="333" t="e">
        <f>AVERAGE(Q333:Q352,Q457:Q476,Q582:Q601,Q707:Q726,Q832:Q851)</f>
        <v>#DIV/0!</v>
      </c>
      <c r="Y237" s="333" t="e">
        <f>_xlfn.STDEV.P(Q333:Q352,Q457:Q476,Q582:Q601,Q707:Q726,Q832:Q851)</f>
        <v>#DIV/0!</v>
      </c>
    </row>
    <row r="238" spans="2:25" x14ac:dyDescent="0.3">
      <c r="B238" s="333">
        <v>0</v>
      </c>
      <c r="C238" s="333"/>
      <c r="D238" s="333"/>
      <c r="E238" s="333"/>
      <c r="F238" s="333"/>
      <c r="G238" s="333"/>
      <c r="H238" s="333"/>
      <c r="I238" s="333"/>
      <c r="J238" s="333"/>
      <c r="K238" s="333"/>
      <c r="M238" s="333">
        <f t="shared" si="63"/>
        <v>0</v>
      </c>
      <c r="N238" s="333" t="e">
        <f t="shared" si="64"/>
        <v>#DIV/0!</v>
      </c>
      <c r="O238" s="333" t="e">
        <f t="shared" si="65"/>
        <v>#DIV/0!</v>
      </c>
      <c r="P238" s="334" t="e">
        <f t="shared" si="66"/>
        <v>#DIV/0!</v>
      </c>
      <c r="Q238" s="334" t="e">
        <f t="shared" si="67"/>
        <v>#DIV/0!</v>
      </c>
      <c r="S238" s="358" t="s">
        <v>795</v>
      </c>
      <c r="T238" s="333" t="e">
        <f>AVERAGE(P253:P352,P377:P476,P502:P601,P627:P726,P752:P851)</f>
        <v>#DIV/0!</v>
      </c>
      <c r="U238" s="333" t="e">
        <f>_xlfn.STDEV.P(P253:P352,P377:P476,P502:P601,P627:P726,P752:P851)</f>
        <v>#DIV/0!</v>
      </c>
      <c r="W238" s="358" t="s">
        <v>795</v>
      </c>
      <c r="X238" s="333" t="e">
        <f>AVERAGE(Q253:Q352,Q377:Q476,Q502:Q601,Q627:Q726,Q752:Q851)</f>
        <v>#DIV/0!</v>
      </c>
      <c r="Y238" s="333" t="e">
        <f>_xlfn.STDEV.P(Q253:Q352,Q377:Q476,Q502:Q601,Q627:Q726,Q752:Q851)</f>
        <v>#DIV/0!</v>
      </c>
    </row>
    <row r="239" spans="2:25" x14ac:dyDescent="0.3">
      <c r="B239" s="333">
        <v>0</v>
      </c>
      <c r="C239" s="333"/>
      <c r="D239" s="333"/>
      <c r="E239" s="333"/>
      <c r="F239" s="333"/>
      <c r="G239" s="333"/>
      <c r="H239" s="333"/>
      <c r="I239" s="333"/>
      <c r="J239" s="333"/>
      <c r="K239" s="333"/>
      <c r="M239" s="333">
        <f t="shared" si="63"/>
        <v>0</v>
      </c>
      <c r="N239" s="333" t="e">
        <f t="shared" si="64"/>
        <v>#DIV/0!</v>
      </c>
      <c r="O239" s="333" t="e">
        <f t="shared" si="65"/>
        <v>#DIV/0!</v>
      </c>
      <c r="P239" s="334" t="e">
        <f t="shared" si="66"/>
        <v>#DIV/0!</v>
      </c>
      <c r="Q239" s="334" t="e">
        <f t="shared" si="67"/>
        <v>#DIV/0!</v>
      </c>
    </row>
    <row r="240" spans="2:25" x14ac:dyDescent="0.3">
      <c r="B240" s="333">
        <v>0</v>
      </c>
      <c r="C240" s="333"/>
      <c r="D240" s="333"/>
      <c r="E240" s="333"/>
      <c r="F240" s="333"/>
      <c r="G240" s="333"/>
      <c r="H240" s="333"/>
      <c r="I240" s="333"/>
      <c r="J240" s="333"/>
      <c r="K240" s="333"/>
      <c r="M240" s="333">
        <f t="shared" si="63"/>
        <v>0</v>
      </c>
      <c r="N240" s="333" t="e">
        <f t="shared" si="64"/>
        <v>#DIV/0!</v>
      </c>
      <c r="O240" s="333" t="e">
        <f t="shared" si="65"/>
        <v>#DIV/0!</v>
      </c>
      <c r="P240" s="334" t="e">
        <f t="shared" si="66"/>
        <v>#DIV/0!</v>
      </c>
      <c r="Q240" s="334" t="e">
        <f t="shared" si="67"/>
        <v>#DIV/0!</v>
      </c>
      <c r="S240" s="450"/>
      <c r="T240" s="450"/>
      <c r="U240" s="450"/>
      <c r="V240" s="332"/>
      <c r="W240" s="450"/>
      <c r="X240" s="450"/>
      <c r="Y240" s="450"/>
    </row>
    <row r="241" spans="2:25" x14ac:dyDescent="0.3">
      <c r="B241" s="333">
        <v>0</v>
      </c>
      <c r="C241" s="333"/>
      <c r="D241" s="333"/>
      <c r="E241" s="333"/>
      <c r="F241" s="333"/>
      <c r="G241" s="333"/>
      <c r="H241" s="333"/>
      <c r="I241" s="333"/>
      <c r="J241" s="333"/>
      <c r="K241" s="333"/>
      <c r="M241" s="333">
        <f t="shared" si="63"/>
        <v>0</v>
      </c>
      <c r="N241" s="333" t="e">
        <f t="shared" si="64"/>
        <v>#DIV/0!</v>
      </c>
      <c r="O241" s="333" t="e">
        <f t="shared" si="65"/>
        <v>#DIV/0!</v>
      </c>
      <c r="P241" s="334" t="e">
        <f t="shared" si="66"/>
        <v>#DIV/0!</v>
      </c>
      <c r="Q241" s="334" t="e">
        <f t="shared" si="67"/>
        <v>#DIV/0!</v>
      </c>
      <c r="S241" s="332"/>
      <c r="T241" s="332"/>
      <c r="U241" s="332"/>
      <c r="V241" s="332"/>
      <c r="W241" s="332"/>
      <c r="X241" s="332"/>
      <c r="Y241" s="332"/>
    </row>
    <row r="242" spans="2:25" x14ac:dyDescent="0.3">
      <c r="B242" s="333">
        <v>0</v>
      </c>
      <c r="C242" s="333"/>
      <c r="D242" s="333"/>
      <c r="E242" s="333"/>
      <c r="F242" s="333"/>
      <c r="G242" s="333"/>
      <c r="H242" s="333"/>
      <c r="I242" s="333"/>
      <c r="J242" s="333"/>
      <c r="K242" s="333"/>
      <c r="M242" s="333">
        <f t="shared" si="63"/>
        <v>0</v>
      </c>
      <c r="N242" s="333" t="e">
        <f t="shared" si="64"/>
        <v>#DIV/0!</v>
      </c>
      <c r="O242" s="333" t="e">
        <f t="shared" si="65"/>
        <v>#DIV/0!</v>
      </c>
      <c r="P242" s="334" t="e">
        <f t="shared" si="66"/>
        <v>#DIV/0!</v>
      </c>
      <c r="Q242" s="334" t="e">
        <f t="shared" si="67"/>
        <v>#DIV/0!</v>
      </c>
      <c r="S242" s="332"/>
      <c r="T242" s="332"/>
      <c r="U242" s="332"/>
      <c r="V242" s="332"/>
      <c r="W242" s="332"/>
      <c r="X242" s="332"/>
      <c r="Y242" s="332"/>
    </row>
    <row r="243" spans="2:25" x14ac:dyDescent="0.3">
      <c r="B243" s="333">
        <v>0</v>
      </c>
      <c r="C243" s="333"/>
      <c r="D243" s="333"/>
      <c r="E243" s="333"/>
      <c r="F243" s="333"/>
      <c r="G243" s="333"/>
      <c r="H243" s="333"/>
      <c r="I243" s="333"/>
      <c r="J243" s="333"/>
      <c r="K243" s="333"/>
      <c r="M243" s="333">
        <f t="shared" si="63"/>
        <v>0</v>
      </c>
      <c r="N243" s="333" t="e">
        <f t="shared" si="64"/>
        <v>#DIV/0!</v>
      </c>
      <c r="O243" s="333" t="e">
        <f t="shared" si="65"/>
        <v>#DIV/0!</v>
      </c>
      <c r="P243" s="334" t="e">
        <f t="shared" si="66"/>
        <v>#DIV/0!</v>
      </c>
      <c r="Q243" s="334" t="e">
        <f t="shared" si="67"/>
        <v>#DIV/0!</v>
      </c>
      <c r="S243" s="332"/>
      <c r="T243" s="332"/>
      <c r="U243" s="332"/>
      <c r="V243" s="332"/>
      <c r="W243" s="332"/>
      <c r="X243" s="332"/>
      <c r="Y243" s="332"/>
    </row>
    <row r="244" spans="2:25" x14ac:dyDescent="0.3">
      <c r="B244" s="333">
        <v>0</v>
      </c>
      <c r="C244" s="333"/>
      <c r="D244" s="333"/>
      <c r="E244" s="333"/>
      <c r="F244" s="333"/>
      <c r="G244" s="333"/>
      <c r="H244" s="333"/>
      <c r="I244" s="333"/>
      <c r="J244" s="333"/>
      <c r="K244" s="333"/>
      <c r="M244" s="333">
        <f t="shared" si="63"/>
        <v>0</v>
      </c>
      <c r="N244" s="333" t="e">
        <f t="shared" si="64"/>
        <v>#DIV/0!</v>
      </c>
      <c r="O244" s="333" t="e">
        <f t="shared" si="65"/>
        <v>#DIV/0!</v>
      </c>
      <c r="P244" s="334" t="e">
        <f t="shared" si="66"/>
        <v>#DIV/0!</v>
      </c>
      <c r="Q244" s="334" t="e">
        <f t="shared" si="67"/>
        <v>#DIV/0!</v>
      </c>
      <c r="S244" s="332"/>
      <c r="T244" s="332"/>
      <c r="U244" s="332"/>
      <c r="V244" s="332"/>
      <c r="W244" s="332"/>
      <c r="X244" s="332"/>
      <c r="Y244" s="332"/>
    </row>
    <row r="245" spans="2:25" x14ac:dyDescent="0.3">
      <c r="B245" s="333">
        <v>0</v>
      </c>
      <c r="C245" s="333"/>
      <c r="D245" s="333"/>
      <c r="E245" s="333"/>
      <c r="F245" s="333"/>
      <c r="G245" s="333"/>
      <c r="H245" s="333"/>
      <c r="I245" s="333"/>
      <c r="J245" s="333"/>
      <c r="K245" s="333"/>
      <c r="M245" s="333">
        <f t="shared" si="63"/>
        <v>0</v>
      </c>
      <c r="N245" s="333" t="e">
        <f t="shared" si="64"/>
        <v>#DIV/0!</v>
      </c>
      <c r="O245" s="333" t="e">
        <f t="shared" si="65"/>
        <v>#DIV/0!</v>
      </c>
      <c r="P245" s="334" t="e">
        <f t="shared" si="66"/>
        <v>#DIV/0!</v>
      </c>
      <c r="Q245" s="334" t="e">
        <f t="shared" si="67"/>
        <v>#DIV/0!</v>
      </c>
      <c r="S245" s="332"/>
      <c r="T245" s="332"/>
      <c r="U245" s="332"/>
      <c r="V245" s="332"/>
      <c r="W245" s="332"/>
      <c r="X245" s="332"/>
      <c r="Y245" s="332"/>
    </row>
    <row r="246" spans="2:25" x14ac:dyDescent="0.3">
      <c r="B246" s="333">
        <v>0</v>
      </c>
      <c r="C246" s="333"/>
      <c r="D246" s="333"/>
      <c r="E246" s="333"/>
      <c r="F246" s="333"/>
      <c r="G246" s="333"/>
      <c r="H246" s="333"/>
      <c r="I246" s="333"/>
      <c r="J246" s="333"/>
      <c r="K246" s="333"/>
      <c r="M246" s="333">
        <f t="shared" si="63"/>
        <v>0</v>
      </c>
      <c r="N246" s="333" t="e">
        <f t="shared" si="64"/>
        <v>#DIV/0!</v>
      </c>
      <c r="O246" s="333" t="e">
        <f t="shared" si="65"/>
        <v>#DIV/0!</v>
      </c>
      <c r="P246" s="334" t="e">
        <f t="shared" si="66"/>
        <v>#DIV/0!</v>
      </c>
      <c r="Q246" s="334" t="e">
        <f t="shared" si="67"/>
        <v>#DIV/0!</v>
      </c>
      <c r="S246" s="332"/>
      <c r="T246" s="332"/>
      <c r="U246" s="332"/>
      <c r="V246" s="332"/>
      <c r="W246" s="332"/>
      <c r="X246" s="332"/>
      <c r="Y246" s="332"/>
    </row>
    <row r="247" spans="2:25" x14ac:dyDescent="0.3">
      <c r="B247" s="333">
        <v>0</v>
      </c>
      <c r="C247" s="333"/>
      <c r="D247" s="333"/>
      <c r="E247" s="333"/>
      <c r="F247" s="333"/>
      <c r="G247" s="333"/>
      <c r="H247" s="333"/>
      <c r="I247" s="333"/>
      <c r="J247" s="333"/>
      <c r="K247" s="333"/>
      <c r="M247" s="333">
        <f t="shared" si="63"/>
        <v>0</v>
      </c>
      <c r="N247" s="333" t="e">
        <f t="shared" si="64"/>
        <v>#DIV/0!</v>
      </c>
      <c r="O247" s="333" t="e">
        <f t="shared" si="65"/>
        <v>#DIV/0!</v>
      </c>
      <c r="P247" s="334" t="e">
        <f t="shared" si="66"/>
        <v>#DIV/0!</v>
      </c>
      <c r="Q247" s="334" t="e">
        <f t="shared" si="67"/>
        <v>#DIV/0!</v>
      </c>
      <c r="S247" s="332"/>
      <c r="T247" s="332"/>
      <c r="U247" s="332"/>
      <c r="V247" s="332"/>
      <c r="W247" s="332"/>
      <c r="X247" s="332"/>
      <c r="Y247" s="332"/>
    </row>
    <row r="248" spans="2:25" x14ac:dyDescent="0.3">
      <c r="B248" s="333">
        <v>0</v>
      </c>
      <c r="C248" s="333"/>
      <c r="D248" s="333"/>
      <c r="E248" s="333"/>
      <c r="F248" s="333"/>
      <c r="G248" s="333"/>
      <c r="H248" s="333"/>
      <c r="I248" s="333"/>
      <c r="J248" s="333"/>
      <c r="K248" s="333"/>
      <c r="M248" s="333">
        <f t="shared" si="63"/>
        <v>0</v>
      </c>
      <c r="N248" s="333" t="e">
        <f t="shared" si="64"/>
        <v>#DIV/0!</v>
      </c>
      <c r="O248" s="333" t="e">
        <f t="shared" si="65"/>
        <v>#DIV/0!</v>
      </c>
      <c r="P248" s="334" t="e">
        <f t="shared" si="66"/>
        <v>#DIV/0!</v>
      </c>
      <c r="Q248" s="334" t="e">
        <f t="shared" si="67"/>
        <v>#DIV/0!</v>
      </c>
      <c r="S248" s="332"/>
      <c r="T248" s="332"/>
      <c r="U248" s="332"/>
      <c r="V248" s="332"/>
      <c r="W248" s="332"/>
      <c r="X248" s="332"/>
      <c r="Y248" s="332"/>
    </row>
    <row r="249" spans="2:25" x14ac:dyDescent="0.3">
      <c r="B249" s="333">
        <v>0</v>
      </c>
      <c r="C249" s="333"/>
      <c r="D249" s="333"/>
      <c r="E249" s="333"/>
      <c r="F249" s="333"/>
      <c r="G249" s="333"/>
      <c r="H249" s="333"/>
      <c r="I249" s="333"/>
      <c r="J249" s="333"/>
      <c r="K249" s="333"/>
      <c r="M249" s="333">
        <f t="shared" si="63"/>
        <v>0</v>
      </c>
      <c r="N249" s="333" t="e">
        <f t="shared" si="64"/>
        <v>#DIV/0!</v>
      </c>
      <c r="O249" s="333" t="e">
        <f t="shared" si="65"/>
        <v>#DIV/0!</v>
      </c>
      <c r="P249" s="334" t="e">
        <f t="shared" si="66"/>
        <v>#DIV/0!</v>
      </c>
      <c r="Q249" s="334" t="e">
        <f t="shared" si="67"/>
        <v>#DIV/0!</v>
      </c>
      <c r="S249" s="450"/>
      <c r="T249" s="450"/>
      <c r="U249" s="450"/>
      <c r="V249" s="332"/>
      <c r="W249" s="450"/>
      <c r="X249" s="450"/>
      <c r="Y249" s="450"/>
    </row>
    <row r="250" spans="2:25" x14ac:dyDescent="0.3">
      <c r="B250" s="333">
        <v>0</v>
      </c>
      <c r="C250" s="333"/>
      <c r="D250" s="333"/>
      <c r="E250" s="333"/>
      <c r="F250" s="333"/>
      <c r="G250" s="333"/>
      <c r="H250" s="333"/>
      <c r="I250" s="333"/>
      <c r="J250" s="333"/>
      <c r="K250" s="333"/>
      <c r="M250" s="333">
        <f t="shared" si="63"/>
        <v>0</v>
      </c>
      <c r="N250" s="333" t="e">
        <f t="shared" si="64"/>
        <v>#DIV/0!</v>
      </c>
      <c r="O250" s="333" t="e">
        <f t="shared" si="65"/>
        <v>#DIV/0!</v>
      </c>
      <c r="P250" s="334" t="e">
        <f t="shared" si="66"/>
        <v>#DIV/0!</v>
      </c>
      <c r="Q250" s="334" t="e">
        <f t="shared" si="67"/>
        <v>#DIV/0!</v>
      </c>
      <c r="S250" s="332"/>
      <c r="T250" s="332"/>
      <c r="U250" s="332"/>
      <c r="V250" s="332"/>
      <c r="W250" s="332"/>
      <c r="X250" s="332"/>
      <c r="Y250" s="332"/>
    </row>
    <row r="251" spans="2:25" x14ac:dyDescent="0.3">
      <c r="B251" s="333">
        <v>0</v>
      </c>
      <c r="C251" s="333"/>
      <c r="D251" s="333"/>
      <c r="E251" s="333"/>
      <c r="F251" s="333"/>
      <c r="G251" s="333"/>
      <c r="H251" s="333"/>
      <c r="I251" s="333"/>
      <c r="J251" s="333"/>
      <c r="K251" s="333"/>
      <c r="M251" s="333">
        <f t="shared" si="63"/>
        <v>0</v>
      </c>
      <c r="N251" s="333" t="e">
        <f t="shared" si="64"/>
        <v>#DIV/0!</v>
      </c>
      <c r="O251" s="333" t="e">
        <f t="shared" si="65"/>
        <v>#DIV/0!</v>
      </c>
      <c r="P251" s="334" t="e">
        <f t="shared" si="66"/>
        <v>#DIV/0!</v>
      </c>
      <c r="Q251" s="334" t="e">
        <f t="shared" si="67"/>
        <v>#DIV/0!</v>
      </c>
      <c r="S251" s="332"/>
      <c r="T251" s="332"/>
      <c r="U251" s="332"/>
      <c r="V251" s="332"/>
      <c r="W251" s="332"/>
      <c r="X251" s="332"/>
      <c r="Y251" s="332"/>
    </row>
    <row r="252" spans="2:25" x14ac:dyDescent="0.3">
      <c r="B252" s="333">
        <v>0</v>
      </c>
      <c r="C252" s="333"/>
      <c r="D252" s="333"/>
      <c r="E252" s="333"/>
      <c r="F252" s="333"/>
      <c r="G252" s="333"/>
      <c r="H252" s="333"/>
      <c r="I252" s="333"/>
      <c r="J252" s="333"/>
      <c r="K252" s="333"/>
      <c r="M252" s="333">
        <f t="shared" si="63"/>
        <v>0</v>
      </c>
      <c r="N252" s="333" t="e">
        <f t="shared" si="64"/>
        <v>#DIV/0!</v>
      </c>
      <c r="O252" s="333" t="e">
        <f t="shared" si="65"/>
        <v>#DIV/0!</v>
      </c>
      <c r="P252" s="334" t="e">
        <f t="shared" si="66"/>
        <v>#DIV/0!</v>
      </c>
      <c r="Q252" s="334" t="e">
        <f t="shared" si="67"/>
        <v>#DIV/0!</v>
      </c>
      <c r="S252" s="332"/>
      <c r="T252" s="332"/>
      <c r="U252" s="332"/>
      <c r="V252" s="332"/>
      <c r="W252" s="332"/>
      <c r="X252" s="332"/>
      <c r="Y252" s="332"/>
    </row>
    <row r="253" spans="2:25" x14ac:dyDescent="0.3">
      <c r="B253" s="333">
        <v>10</v>
      </c>
      <c r="C253" s="333"/>
      <c r="D253" s="333"/>
      <c r="E253" s="333"/>
      <c r="F253" s="333"/>
      <c r="G253" s="333"/>
      <c r="H253" s="333"/>
      <c r="I253" s="333"/>
      <c r="J253" s="333"/>
      <c r="K253" s="333"/>
      <c r="M253" s="333">
        <f t="shared" si="63"/>
        <v>5</v>
      </c>
      <c r="N253" s="333" t="e">
        <f t="shared" si="64"/>
        <v>#DIV/0!</v>
      </c>
      <c r="O253" s="333" t="e">
        <f t="shared" si="65"/>
        <v>#DIV/0!</v>
      </c>
      <c r="P253" s="334" t="e">
        <f t="shared" si="66"/>
        <v>#DIV/0!</v>
      </c>
      <c r="Q253" s="334" t="e">
        <f t="shared" si="67"/>
        <v>#DIV/0!</v>
      </c>
      <c r="S253" s="332"/>
      <c r="T253" s="332"/>
      <c r="U253" s="332"/>
      <c r="V253" s="332"/>
      <c r="W253" s="332"/>
      <c r="X253" s="332"/>
      <c r="Y253" s="332"/>
    </row>
    <row r="254" spans="2:25" x14ac:dyDescent="0.3">
      <c r="B254" s="333">
        <v>10</v>
      </c>
      <c r="C254" s="333"/>
      <c r="D254" s="333"/>
      <c r="E254" s="333"/>
      <c r="F254" s="333"/>
      <c r="G254" s="333"/>
      <c r="H254" s="333"/>
      <c r="I254" s="333"/>
      <c r="J254" s="333"/>
      <c r="K254" s="333"/>
      <c r="M254" s="333">
        <f t="shared" si="63"/>
        <v>5</v>
      </c>
      <c r="N254" s="333" t="e">
        <f t="shared" si="64"/>
        <v>#DIV/0!</v>
      </c>
      <c r="O254" s="333" t="e">
        <f t="shared" si="65"/>
        <v>#DIV/0!</v>
      </c>
      <c r="P254" s="334" t="e">
        <f t="shared" si="66"/>
        <v>#DIV/0!</v>
      </c>
      <c r="Q254" s="334" t="e">
        <f t="shared" si="67"/>
        <v>#DIV/0!</v>
      </c>
      <c r="S254" s="332"/>
      <c r="T254" s="332"/>
      <c r="U254" s="332"/>
      <c r="V254" s="332"/>
      <c r="W254" s="332"/>
      <c r="X254" s="332"/>
      <c r="Y254" s="332"/>
    </row>
    <row r="255" spans="2:25" x14ac:dyDescent="0.3">
      <c r="B255" s="333">
        <v>10</v>
      </c>
      <c r="C255" s="333"/>
      <c r="D255" s="333"/>
      <c r="E255" s="333"/>
      <c r="F255" s="333"/>
      <c r="G255" s="333"/>
      <c r="H255" s="333"/>
      <c r="I255" s="333"/>
      <c r="J255" s="333"/>
      <c r="K255" s="333"/>
      <c r="M255" s="333">
        <f t="shared" si="63"/>
        <v>5</v>
      </c>
      <c r="N255" s="333" t="e">
        <f t="shared" si="64"/>
        <v>#DIV/0!</v>
      </c>
      <c r="O255" s="333" t="e">
        <f t="shared" si="65"/>
        <v>#DIV/0!</v>
      </c>
      <c r="P255" s="334" t="e">
        <f t="shared" si="66"/>
        <v>#DIV/0!</v>
      </c>
      <c r="Q255" s="334" t="e">
        <f t="shared" si="67"/>
        <v>#DIV/0!</v>
      </c>
      <c r="S255" s="332"/>
      <c r="T255" s="332"/>
      <c r="U255" s="332"/>
      <c r="V255" s="332"/>
      <c r="W255" s="332"/>
      <c r="X255" s="332"/>
      <c r="Y255" s="332"/>
    </row>
    <row r="256" spans="2:25" x14ac:dyDescent="0.3">
      <c r="B256" s="333">
        <v>10</v>
      </c>
      <c r="C256" s="333"/>
      <c r="D256" s="333"/>
      <c r="E256" s="333"/>
      <c r="F256" s="333"/>
      <c r="G256" s="333"/>
      <c r="H256" s="333"/>
      <c r="I256" s="333"/>
      <c r="J256" s="333"/>
      <c r="K256" s="333"/>
      <c r="M256" s="333">
        <f t="shared" si="63"/>
        <v>5</v>
      </c>
      <c r="N256" s="333" t="e">
        <f t="shared" si="64"/>
        <v>#DIV/0!</v>
      </c>
      <c r="O256" s="333" t="e">
        <f t="shared" si="65"/>
        <v>#DIV/0!</v>
      </c>
      <c r="P256" s="334" t="e">
        <f t="shared" si="66"/>
        <v>#DIV/0!</v>
      </c>
      <c r="Q256" s="334" t="e">
        <f t="shared" si="67"/>
        <v>#DIV/0!</v>
      </c>
    </row>
    <row r="257" spans="2:17" x14ac:dyDescent="0.3">
      <c r="B257" s="333">
        <v>10</v>
      </c>
      <c r="C257" s="333"/>
      <c r="D257" s="333"/>
      <c r="E257" s="333"/>
      <c r="F257" s="333"/>
      <c r="G257" s="333"/>
      <c r="H257" s="333"/>
      <c r="I257" s="333"/>
      <c r="J257" s="333"/>
      <c r="K257" s="333"/>
      <c r="M257" s="333">
        <f t="shared" si="63"/>
        <v>5</v>
      </c>
      <c r="N257" s="333" t="e">
        <f t="shared" si="64"/>
        <v>#DIV/0!</v>
      </c>
      <c r="O257" s="333" t="e">
        <f t="shared" si="65"/>
        <v>#DIV/0!</v>
      </c>
      <c r="P257" s="334" t="e">
        <f t="shared" si="66"/>
        <v>#DIV/0!</v>
      </c>
      <c r="Q257" s="334" t="e">
        <f t="shared" si="67"/>
        <v>#DIV/0!</v>
      </c>
    </row>
    <row r="258" spans="2:17" x14ac:dyDescent="0.3">
      <c r="B258" s="333">
        <v>10</v>
      </c>
      <c r="C258" s="333"/>
      <c r="D258" s="333"/>
      <c r="E258" s="333"/>
      <c r="F258" s="333"/>
      <c r="G258" s="333"/>
      <c r="H258" s="333"/>
      <c r="I258" s="333"/>
      <c r="J258" s="333"/>
      <c r="K258" s="333"/>
      <c r="M258" s="333">
        <f t="shared" si="63"/>
        <v>5</v>
      </c>
      <c r="N258" s="333" t="e">
        <f t="shared" si="64"/>
        <v>#DIV/0!</v>
      </c>
      <c r="O258" s="333" t="e">
        <f t="shared" si="65"/>
        <v>#DIV/0!</v>
      </c>
      <c r="P258" s="334" t="e">
        <f t="shared" si="66"/>
        <v>#DIV/0!</v>
      </c>
      <c r="Q258" s="334" t="e">
        <f t="shared" si="67"/>
        <v>#DIV/0!</v>
      </c>
    </row>
    <row r="259" spans="2:17" x14ac:dyDescent="0.3">
      <c r="B259" s="333">
        <v>10</v>
      </c>
      <c r="C259" s="333"/>
      <c r="D259" s="333"/>
      <c r="E259" s="333"/>
      <c r="F259" s="333"/>
      <c r="G259" s="333"/>
      <c r="H259" s="333"/>
      <c r="I259" s="333"/>
      <c r="J259" s="333"/>
      <c r="K259" s="333"/>
      <c r="M259" s="333">
        <f t="shared" si="63"/>
        <v>5</v>
      </c>
      <c r="N259" s="333" t="e">
        <f t="shared" si="64"/>
        <v>#DIV/0!</v>
      </c>
      <c r="O259" s="333" t="e">
        <f t="shared" si="65"/>
        <v>#DIV/0!</v>
      </c>
      <c r="P259" s="334" t="e">
        <f t="shared" si="66"/>
        <v>#DIV/0!</v>
      </c>
      <c r="Q259" s="334" t="e">
        <f t="shared" si="67"/>
        <v>#DIV/0!</v>
      </c>
    </row>
    <row r="260" spans="2:17" x14ac:dyDescent="0.3">
      <c r="B260" s="333">
        <v>10</v>
      </c>
      <c r="C260" s="333"/>
      <c r="D260" s="333"/>
      <c r="E260" s="333"/>
      <c r="F260" s="333"/>
      <c r="G260" s="333"/>
      <c r="H260" s="333"/>
      <c r="I260" s="333"/>
      <c r="J260" s="333"/>
      <c r="K260" s="333"/>
      <c r="M260" s="333">
        <f t="shared" si="63"/>
        <v>5</v>
      </c>
      <c r="N260" s="333" t="e">
        <f t="shared" si="64"/>
        <v>#DIV/0!</v>
      </c>
      <c r="O260" s="333" t="e">
        <f t="shared" si="65"/>
        <v>#DIV/0!</v>
      </c>
      <c r="P260" s="334" t="e">
        <f t="shared" si="66"/>
        <v>#DIV/0!</v>
      </c>
      <c r="Q260" s="334" t="e">
        <f t="shared" si="67"/>
        <v>#DIV/0!</v>
      </c>
    </row>
    <row r="261" spans="2:17" x14ac:dyDescent="0.3">
      <c r="B261" s="333">
        <v>10</v>
      </c>
      <c r="C261" s="333"/>
      <c r="D261" s="333"/>
      <c r="E261" s="333"/>
      <c r="F261" s="333"/>
      <c r="G261" s="333"/>
      <c r="H261" s="333"/>
      <c r="I261" s="333"/>
      <c r="J261" s="333"/>
      <c r="K261" s="333"/>
      <c r="M261" s="333">
        <f t="shared" si="63"/>
        <v>5</v>
      </c>
      <c r="N261" s="333" t="e">
        <f t="shared" si="64"/>
        <v>#DIV/0!</v>
      </c>
      <c r="O261" s="333" t="e">
        <f t="shared" si="65"/>
        <v>#DIV/0!</v>
      </c>
      <c r="P261" s="334" t="e">
        <f t="shared" si="66"/>
        <v>#DIV/0!</v>
      </c>
      <c r="Q261" s="334" t="e">
        <f t="shared" si="67"/>
        <v>#DIV/0!</v>
      </c>
    </row>
    <row r="262" spans="2:17" x14ac:dyDescent="0.3">
      <c r="B262" s="333">
        <v>10</v>
      </c>
      <c r="C262" s="333"/>
      <c r="D262" s="333"/>
      <c r="E262" s="333"/>
      <c r="F262" s="333"/>
      <c r="G262" s="333"/>
      <c r="H262" s="333"/>
      <c r="I262" s="333"/>
      <c r="J262" s="333"/>
      <c r="K262" s="333"/>
      <c r="M262" s="333">
        <f t="shared" si="63"/>
        <v>5</v>
      </c>
      <c r="N262" s="333" t="e">
        <f t="shared" si="64"/>
        <v>#DIV/0!</v>
      </c>
      <c r="O262" s="333" t="e">
        <f t="shared" si="65"/>
        <v>#DIV/0!</v>
      </c>
      <c r="P262" s="334" t="e">
        <f t="shared" si="66"/>
        <v>#DIV/0!</v>
      </c>
      <c r="Q262" s="334" t="e">
        <f t="shared" si="67"/>
        <v>#DIV/0!</v>
      </c>
    </row>
    <row r="263" spans="2:17" x14ac:dyDescent="0.3">
      <c r="B263" s="333">
        <v>10</v>
      </c>
      <c r="C263" s="333"/>
      <c r="D263" s="333"/>
      <c r="E263" s="333"/>
      <c r="F263" s="333"/>
      <c r="G263" s="333"/>
      <c r="H263" s="333"/>
      <c r="I263" s="333"/>
      <c r="J263" s="333"/>
      <c r="K263" s="333"/>
      <c r="M263" s="333">
        <f t="shared" si="63"/>
        <v>5</v>
      </c>
      <c r="N263" s="333" t="e">
        <f t="shared" si="64"/>
        <v>#DIV/0!</v>
      </c>
      <c r="O263" s="333" t="e">
        <f t="shared" si="65"/>
        <v>#DIV/0!</v>
      </c>
      <c r="P263" s="334" t="e">
        <f t="shared" si="66"/>
        <v>#DIV/0!</v>
      </c>
      <c r="Q263" s="334" t="e">
        <f t="shared" si="67"/>
        <v>#DIV/0!</v>
      </c>
    </row>
    <row r="264" spans="2:17" x14ac:dyDescent="0.3">
      <c r="B264" s="333">
        <v>10</v>
      </c>
      <c r="C264" s="333"/>
      <c r="D264" s="333"/>
      <c r="E264" s="333"/>
      <c r="F264" s="333"/>
      <c r="G264" s="333"/>
      <c r="H264" s="333"/>
      <c r="I264" s="333"/>
      <c r="J264" s="333"/>
      <c r="K264" s="333"/>
      <c r="M264" s="333">
        <f t="shared" si="63"/>
        <v>5</v>
      </c>
      <c r="N264" s="333" t="e">
        <f t="shared" si="64"/>
        <v>#DIV/0!</v>
      </c>
      <c r="O264" s="333" t="e">
        <f t="shared" si="65"/>
        <v>#DIV/0!</v>
      </c>
      <c r="P264" s="334" t="e">
        <f t="shared" si="66"/>
        <v>#DIV/0!</v>
      </c>
      <c r="Q264" s="334" t="e">
        <f t="shared" si="67"/>
        <v>#DIV/0!</v>
      </c>
    </row>
    <row r="265" spans="2:17" x14ac:dyDescent="0.3">
      <c r="B265" s="333">
        <v>10</v>
      </c>
      <c r="C265" s="333"/>
      <c r="D265" s="333"/>
      <c r="E265" s="333"/>
      <c r="F265" s="333"/>
      <c r="G265" s="333"/>
      <c r="H265" s="333"/>
      <c r="I265" s="333"/>
      <c r="J265" s="333"/>
      <c r="K265" s="333"/>
      <c r="M265" s="333">
        <f t="shared" ref="M265:M296" si="68">B265/2</f>
        <v>5</v>
      </c>
      <c r="N265" s="333" t="e">
        <f t="shared" ref="N265:N296" si="69">(SUM(C265:E265)-SUM($C$189:$E$189))*$F$71</f>
        <v>#DIV/0!</v>
      </c>
      <c r="O265" s="333" t="e">
        <f t="shared" ref="O265:O296" si="70">(SUM(F265:H265)-SUM($F$189:$H$189))*$G$71</f>
        <v>#DIV/0!</v>
      </c>
      <c r="P265" s="334" t="e">
        <f t="shared" si="66"/>
        <v>#DIV/0!</v>
      </c>
      <c r="Q265" s="334" t="e">
        <f t="shared" si="67"/>
        <v>#DIV/0!</v>
      </c>
    </row>
    <row r="266" spans="2:17" x14ac:dyDescent="0.3">
      <c r="B266" s="333">
        <v>10</v>
      </c>
      <c r="C266" s="333"/>
      <c r="D266" s="333"/>
      <c r="E266" s="333"/>
      <c r="F266" s="333"/>
      <c r="G266" s="333"/>
      <c r="H266" s="333"/>
      <c r="I266" s="333"/>
      <c r="J266" s="333"/>
      <c r="K266" s="333"/>
      <c r="M266" s="333">
        <f t="shared" si="68"/>
        <v>5</v>
      </c>
      <c r="N266" s="333" t="e">
        <f t="shared" si="69"/>
        <v>#DIV/0!</v>
      </c>
      <c r="O266" s="333" t="e">
        <f t="shared" si="70"/>
        <v>#DIV/0!</v>
      </c>
      <c r="P266" s="334" t="e">
        <f t="shared" si="66"/>
        <v>#DIV/0!</v>
      </c>
      <c r="Q266" s="334" t="e">
        <f t="shared" si="67"/>
        <v>#DIV/0!</v>
      </c>
    </row>
    <row r="267" spans="2:17" x14ac:dyDescent="0.3">
      <c r="B267" s="333">
        <v>10</v>
      </c>
      <c r="C267" s="333"/>
      <c r="D267" s="333"/>
      <c r="E267" s="333"/>
      <c r="F267" s="333"/>
      <c r="G267" s="333"/>
      <c r="H267" s="333"/>
      <c r="I267" s="333"/>
      <c r="J267" s="333"/>
      <c r="K267" s="333"/>
      <c r="M267" s="333">
        <f t="shared" si="68"/>
        <v>5</v>
      </c>
      <c r="N267" s="333" t="e">
        <f t="shared" si="69"/>
        <v>#DIV/0!</v>
      </c>
      <c r="O267" s="333" t="e">
        <f t="shared" si="70"/>
        <v>#DIV/0!</v>
      </c>
      <c r="P267" s="334" t="e">
        <f t="shared" si="66"/>
        <v>#DIV/0!</v>
      </c>
      <c r="Q267" s="334" t="e">
        <f t="shared" si="67"/>
        <v>#DIV/0!</v>
      </c>
    </row>
    <row r="268" spans="2:17" x14ac:dyDescent="0.3">
      <c r="B268" s="333">
        <v>10</v>
      </c>
      <c r="C268" s="333"/>
      <c r="D268" s="333"/>
      <c r="E268" s="333"/>
      <c r="F268" s="333"/>
      <c r="G268" s="333"/>
      <c r="H268" s="333"/>
      <c r="I268" s="333"/>
      <c r="J268" s="333"/>
      <c r="K268" s="333"/>
      <c r="M268" s="333">
        <f t="shared" si="68"/>
        <v>5</v>
      </c>
      <c r="N268" s="333" t="e">
        <f t="shared" si="69"/>
        <v>#DIV/0!</v>
      </c>
      <c r="O268" s="333" t="e">
        <f t="shared" si="70"/>
        <v>#DIV/0!</v>
      </c>
      <c r="P268" s="334" t="e">
        <f t="shared" si="66"/>
        <v>#DIV/0!</v>
      </c>
      <c r="Q268" s="334" t="e">
        <f t="shared" si="67"/>
        <v>#DIV/0!</v>
      </c>
    </row>
    <row r="269" spans="2:17" x14ac:dyDescent="0.3">
      <c r="B269" s="333">
        <v>10</v>
      </c>
      <c r="C269" s="333"/>
      <c r="D269" s="333"/>
      <c r="E269" s="333"/>
      <c r="F269" s="333"/>
      <c r="G269" s="333"/>
      <c r="H269" s="333"/>
      <c r="I269" s="333"/>
      <c r="J269" s="333"/>
      <c r="K269" s="333"/>
      <c r="M269" s="333">
        <f t="shared" si="68"/>
        <v>5</v>
      </c>
      <c r="N269" s="333" t="e">
        <f t="shared" si="69"/>
        <v>#DIV/0!</v>
      </c>
      <c r="O269" s="333" t="e">
        <f t="shared" si="70"/>
        <v>#DIV/0!</v>
      </c>
      <c r="P269" s="334" t="e">
        <f t="shared" si="66"/>
        <v>#DIV/0!</v>
      </c>
      <c r="Q269" s="334" t="e">
        <f t="shared" si="67"/>
        <v>#DIV/0!</v>
      </c>
    </row>
    <row r="270" spans="2:17" x14ac:dyDescent="0.3">
      <c r="B270" s="333">
        <v>10</v>
      </c>
      <c r="C270" s="333"/>
      <c r="D270" s="333"/>
      <c r="E270" s="333"/>
      <c r="F270" s="333"/>
      <c r="G270" s="333"/>
      <c r="H270" s="333"/>
      <c r="I270" s="333"/>
      <c r="J270" s="333"/>
      <c r="K270" s="333"/>
      <c r="M270" s="333">
        <f t="shared" si="68"/>
        <v>5</v>
      </c>
      <c r="N270" s="333" t="e">
        <f t="shared" si="69"/>
        <v>#DIV/0!</v>
      </c>
      <c r="O270" s="333" t="e">
        <f t="shared" si="70"/>
        <v>#DIV/0!</v>
      </c>
      <c r="P270" s="334" t="e">
        <f t="shared" si="66"/>
        <v>#DIV/0!</v>
      </c>
      <c r="Q270" s="334" t="e">
        <f t="shared" si="67"/>
        <v>#DIV/0!</v>
      </c>
    </row>
    <row r="271" spans="2:17" x14ac:dyDescent="0.3">
      <c r="B271" s="333">
        <v>10</v>
      </c>
      <c r="C271" s="333"/>
      <c r="D271" s="333"/>
      <c r="E271" s="333"/>
      <c r="F271" s="333"/>
      <c r="G271" s="333"/>
      <c r="H271" s="333"/>
      <c r="I271" s="333"/>
      <c r="J271" s="333"/>
      <c r="K271" s="333"/>
      <c r="M271" s="333">
        <f t="shared" si="68"/>
        <v>5</v>
      </c>
      <c r="N271" s="333" t="e">
        <f t="shared" si="69"/>
        <v>#DIV/0!</v>
      </c>
      <c r="O271" s="333" t="e">
        <f t="shared" si="70"/>
        <v>#DIV/0!</v>
      </c>
      <c r="P271" s="334" t="e">
        <f t="shared" si="66"/>
        <v>#DIV/0!</v>
      </c>
      <c r="Q271" s="334" t="e">
        <f t="shared" si="67"/>
        <v>#DIV/0!</v>
      </c>
    </row>
    <row r="272" spans="2:17" x14ac:dyDescent="0.3">
      <c r="B272" s="333">
        <v>10</v>
      </c>
      <c r="C272" s="333"/>
      <c r="D272" s="333"/>
      <c r="E272" s="333"/>
      <c r="F272" s="333"/>
      <c r="G272" s="333"/>
      <c r="H272" s="333"/>
      <c r="I272" s="333"/>
      <c r="J272" s="333"/>
      <c r="K272" s="333"/>
      <c r="M272" s="333">
        <f t="shared" si="68"/>
        <v>5</v>
      </c>
      <c r="N272" s="333" t="e">
        <f t="shared" si="69"/>
        <v>#DIV/0!</v>
      </c>
      <c r="O272" s="333" t="e">
        <f t="shared" si="70"/>
        <v>#DIV/0!</v>
      </c>
      <c r="P272" s="334" t="e">
        <f t="shared" si="66"/>
        <v>#DIV/0!</v>
      </c>
      <c r="Q272" s="334" t="e">
        <f t="shared" si="67"/>
        <v>#DIV/0!</v>
      </c>
    </row>
    <row r="273" spans="2:17" x14ac:dyDescent="0.3">
      <c r="B273" s="333">
        <v>20</v>
      </c>
      <c r="C273" s="333"/>
      <c r="D273" s="333"/>
      <c r="E273" s="333"/>
      <c r="F273" s="333"/>
      <c r="G273" s="333"/>
      <c r="H273" s="333"/>
      <c r="I273" s="333"/>
      <c r="J273" s="333"/>
      <c r="K273" s="333"/>
      <c r="M273" s="333">
        <f t="shared" si="68"/>
        <v>10</v>
      </c>
      <c r="N273" s="333" t="e">
        <f t="shared" si="69"/>
        <v>#DIV/0!</v>
      </c>
      <c r="O273" s="333" t="e">
        <f t="shared" si="70"/>
        <v>#DIV/0!</v>
      </c>
      <c r="P273" s="334" t="e">
        <f t="shared" si="66"/>
        <v>#DIV/0!</v>
      </c>
      <c r="Q273" s="334" t="e">
        <f t="shared" si="67"/>
        <v>#DIV/0!</v>
      </c>
    </row>
    <row r="274" spans="2:17" x14ac:dyDescent="0.3">
      <c r="B274" s="333">
        <v>20</v>
      </c>
      <c r="C274" s="333"/>
      <c r="D274" s="333"/>
      <c r="E274" s="333"/>
      <c r="F274" s="333"/>
      <c r="G274" s="333"/>
      <c r="H274" s="333"/>
      <c r="I274" s="333"/>
      <c r="J274" s="333"/>
      <c r="K274" s="333"/>
      <c r="M274" s="333">
        <f t="shared" si="68"/>
        <v>10</v>
      </c>
      <c r="N274" s="333" t="e">
        <f t="shared" si="69"/>
        <v>#DIV/0!</v>
      </c>
      <c r="O274" s="333" t="e">
        <f t="shared" si="70"/>
        <v>#DIV/0!</v>
      </c>
      <c r="P274" s="334" t="e">
        <f t="shared" si="66"/>
        <v>#DIV/0!</v>
      </c>
      <c r="Q274" s="334" t="e">
        <f t="shared" si="67"/>
        <v>#DIV/0!</v>
      </c>
    </row>
    <row r="275" spans="2:17" x14ac:dyDescent="0.3">
      <c r="B275" s="333">
        <v>20</v>
      </c>
      <c r="C275" s="333"/>
      <c r="D275" s="333"/>
      <c r="E275" s="333"/>
      <c r="F275" s="333"/>
      <c r="G275" s="333"/>
      <c r="H275" s="333"/>
      <c r="I275" s="333"/>
      <c r="J275" s="333"/>
      <c r="K275" s="333"/>
      <c r="M275" s="333">
        <f t="shared" si="68"/>
        <v>10</v>
      </c>
      <c r="N275" s="333" t="e">
        <f t="shared" si="69"/>
        <v>#DIV/0!</v>
      </c>
      <c r="O275" s="333" t="e">
        <f t="shared" si="70"/>
        <v>#DIV/0!</v>
      </c>
      <c r="P275" s="334" t="e">
        <f t="shared" si="66"/>
        <v>#DIV/0!</v>
      </c>
      <c r="Q275" s="334" t="e">
        <f t="shared" si="67"/>
        <v>#DIV/0!</v>
      </c>
    </row>
    <row r="276" spans="2:17" x14ac:dyDescent="0.3">
      <c r="B276" s="333">
        <v>20</v>
      </c>
      <c r="C276" s="333"/>
      <c r="D276" s="333"/>
      <c r="E276" s="333"/>
      <c r="F276" s="333"/>
      <c r="G276" s="333"/>
      <c r="H276" s="333"/>
      <c r="I276" s="333"/>
      <c r="J276" s="333"/>
      <c r="K276" s="333"/>
      <c r="M276" s="333">
        <f t="shared" si="68"/>
        <v>10</v>
      </c>
      <c r="N276" s="333" t="e">
        <f t="shared" si="69"/>
        <v>#DIV/0!</v>
      </c>
      <c r="O276" s="333" t="e">
        <f t="shared" si="70"/>
        <v>#DIV/0!</v>
      </c>
      <c r="P276" s="334" t="e">
        <f t="shared" si="66"/>
        <v>#DIV/0!</v>
      </c>
      <c r="Q276" s="334" t="e">
        <f t="shared" si="67"/>
        <v>#DIV/0!</v>
      </c>
    </row>
    <row r="277" spans="2:17" x14ac:dyDescent="0.3">
      <c r="B277" s="333">
        <v>20</v>
      </c>
      <c r="C277" s="333"/>
      <c r="D277" s="333"/>
      <c r="E277" s="333"/>
      <c r="F277" s="333"/>
      <c r="G277" s="333"/>
      <c r="H277" s="333"/>
      <c r="I277" s="333"/>
      <c r="J277" s="333"/>
      <c r="K277" s="333"/>
      <c r="M277" s="333">
        <f t="shared" si="68"/>
        <v>10</v>
      </c>
      <c r="N277" s="333" t="e">
        <f t="shared" si="69"/>
        <v>#DIV/0!</v>
      </c>
      <c r="O277" s="333" t="e">
        <f t="shared" si="70"/>
        <v>#DIV/0!</v>
      </c>
      <c r="P277" s="334" t="e">
        <f t="shared" si="66"/>
        <v>#DIV/0!</v>
      </c>
      <c r="Q277" s="334" t="e">
        <f t="shared" si="67"/>
        <v>#DIV/0!</v>
      </c>
    </row>
    <row r="278" spans="2:17" x14ac:dyDescent="0.3">
      <c r="B278" s="333">
        <v>20</v>
      </c>
      <c r="C278" s="333"/>
      <c r="D278" s="333"/>
      <c r="E278" s="333"/>
      <c r="F278" s="333"/>
      <c r="G278" s="333"/>
      <c r="H278" s="333"/>
      <c r="I278" s="333"/>
      <c r="J278" s="333"/>
      <c r="K278" s="333"/>
      <c r="M278" s="333">
        <f t="shared" si="68"/>
        <v>10</v>
      </c>
      <c r="N278" s="333" t="e">
        <f t="shared" si="69"/>
        <v>#DIV/0!</v>
      </c>
      <c r="O278" s="333" t="e">
        <f t="shared" si="70"/>
        <v>#DIV/0!</v>
      </c>
      <c r="P278" s="334" t="e">
        <f t="shared" si="66"/>
        <v>#DIV/0!</v>
      </c>
      <c r="Q278" s="334" t="e">
        <f t="shared" si="67"/>
        <v>#DIV/0!</v>
      </c>
    </row>
    <row r="279" spans="2:17" x14ac:dyDescent="0.3">
      <c r="B279" s="333">
        <v>20</v>
      </c>
      <c r="C279" s="333"/>
      <c r="D279" s="333"/>
      <c r="E279" s="333"/>
      <c r="F279" s="333"/>
      <c r="G279" s="333"/>
      <c r="H279" s="333"/>
      <c r="I279" s="333"/>
      <c r="J279" s="333"/>
      <c r="K279" s="333"/>
      <c r="M279" s="333">
        <f t="shared" si="68"/>
        <v>10</v>
      </c>
      <c r="N279" s="333" t="e">
        <f t="shared" si="69"/>
        <v>#DIV/0!</v>
      </c>
      <c r="O279" s="333" t="e">
        <f t="shared" si="70"/>
        <v>#DIV/0!</v>
      </c>
      <c r="P279" s="334" t="e">
        <f t="shared" si="66"/>
        <v>#DIV/0!</v>
      </c>
      <c r="Q279" s="334" t="e">
        <f t="shared" si="67"/>
        <v>#DIV/0!</v>
      </c>
    </row>
    <row r="280" spans="2:17" x14ac:dyDescent="0.3">
      <c r="B280" s="333">
        <v>20</v>
      </c>
      <c r="C280" s="333"/>
      <c r="D280" s="333"/>
      <c r="E280" s="333"/>
      <c r="F280" s="333"/>
      <c r="G280" s="333"/>
      <c r="H280" s="333"/>
      <c r="I280" s="333"/>
      <c r="J280" s="333"/>
      <c r="K280" s="333"/>
      <c r="M280" s="333">
        <f t="shared" si="68"/>
        <v>10</v>
      </c>
      <c r="N280" s="333" t="e">
        <f t="shared" si="69"/>
        <v>#DIV/0!</v>
      </c>
      <c r="O280" s="333" t="e">
        <f t="shared" si="70"/>
        <v>#DIV/0!</v>
      </c>
      <c r="P280" s="334" t="e">
        <f t="shared" si="66"/>
        <v>#DIV/0!</v>
      </c>
      <c r="Q280" s="334" t="e">
        <f t="shared" si="67"/>
        <v>#DIV/0!</v>
      </c>
    </row>
    <row r="281" spans="2:17" x14ac:dyDescent="0.3">
      <c r="B281" s="333">
        <v>20</v>
      </c>
      <c r="C281" s="333"/>
      <c r="D281" s="333"/>
      <c r="E281" s="333"/>
      <c r="F281" s="333"/>
      <c r="G281" s="333"/>
      <c r="H281" s="333"/>
      <c r="I281" s="333"/>
      <c r="J281" s="333"/>
      <c r="K281" s="333"/>
      <c r="M281" s="333">
        <f t="shared" si="68"/>
        <v>10</v>
      </c>
      <c r="N281" s="333" t="e">
        <f t="shared" si="69"/>
        <v>#DIV/0!</v>
      </c>
      <c r="O281" s="333" t="e">
        <f t="shared" si="70"/>
        <v>#DIV/0!</v>
      </c>
      <c r="P281" s="334" t="e">
        <f t="shared" si="66"/>
        <v>#DIV/0!</v>
      </c>
      <c r="Q281" s="334" t="e">
        <f t="shared" si="67"/>
        <v>#DIV/0!</v>
      </c>
    </row>
    <row r="282" spans="2:17" x14ac:dyDescent="0.3">
      <c r="B282" s="333">
        <v>20</v>
      </c>
      <c r="C282" s="333"/>
      <c r="D282" s="333"/>
      <c r="E282" s="333"/>
      <c r="F282" s="333"/>
      <c r="G282" s="333"/>
      <c r="H282" s="333"/>
      <c r="I282" s="333"/>
      <c r="J282" s="333"/>
      <c r="K282" s="333"/>
      <c r="M282" s="333">
        <f t="shared" si="68"/>
        <v>10</v>
      </c>
      <c r="N282" s="333" t="e">
        <f t="shared" si="69"/>
        <v>#DIV/0!</v>
      </c>
      <c r="O282" s="333" t="e">
        <f t="shared" si="70"/>
        <v>#DIV/0!</v>
      </c>
      <c r="P282" s="334" t="e">
        <f t="shared" si="66"/>
        <v>#DIV/0!</v>
      </c>
      <c r="Q282" s="334" t="e">
        <f t="shared" si="67"/>
        <v>#DIV/0!</v>
      </c>
    </row>
    <row r="283" spans="2:17" x14ac:dyDescent="0.3">
      <c r="B283" s="333">
        <v>20</v>
      </c>
      <c r="C283" s="333"/>
      <c r="D283" s="333"/>
      <c r="E283" s="333"/>
      <c r="F283" s="333"/>
      <c r="G283" s="333"/>
      <c r="H283" s="333"/>
      <c r="I283" s="333"/>
      <c r="J283" s="333"/>
      <c r="K283" s="333"/>
      <c r="M283" s="333">
        <f t="shared" si="68"/>
        <v>10</v>
      </c>
      <c r="N283" s="333" t="e">
        <f t="shared" si="69"/>
        <v>#DIV/0!</v>
      </c>
      <c r="O283" s="333" t="e">
        <f t="shared" si="70"/>
        <v>#DIV/0!</v>
      </c>
      <c r="P283" s="334" t="e">
        <f t="shared" si="66"/>
        <v>#DIV/0!</v>
      </c>
      <c r="Q283" s="334" t="e">
        <f t="shared" si="67"/>
        <v>#DIV/0!</v>
      </c>
    </row>
    <row r="284" spans="2:17" x14ac:dyDescent="0.3">
      <c r="B284" s="333">
        <v>20</v>
      </c>
      <c r="C284" s="333"/>
      <c r="D284" s="333"/>
      <c r="E284" s="333"/>
      <c r="F284" s="333"/>
      <c r="G284" s="333"/>
      <c r="H284" s="333"/>
      <c r="I284" s="333"/>
      <c r="J284" s="333"/>
      <c r="K284" s="333"/>
      <c r="M284" s="333">
        <f t="shared" si="68"/>
        <v>10</v>
      </c>
      <c r="N284" s="333" t="e">
        <f t="shared" si="69"/>
        <v>#DIV/0!</v>
      </c>
      <c r="O284" s="333" t="e">
        <f t="shared" si="70"/>
        <v>#DIV/0!</v>
      </c>
      <c r="P284" s="334" t="e">
        <f t="shared" si="66"/>
        <v>#DIV/0!</v>
      </c>
      <c r="Q284" s="334" t="e">
        <f t="shared" si="67"/>
        <v>#DIV/0!</v>
      </c>
    </row>
    <row r="285" spans="2:17" x14ac:dyDescent="0.3">
      <c r="B285" s="333">
        <v>20</v>
      </c>
      <c r="C285" s="333"/>
      <c r="D285" s="333"/>
      <c r="E285" s="333"/>
      <c r="F285" s="333"/>
      <c r="G285" s="333"/>
      <c r="H285" s="333"/>
      <c r="I285" s="333"/>
      <c r="J285" s="333"/>
      <c r="K285" s="333"/>
      <c r="M285" s="333">
        <f t="shared" si="68"/>
        <v>10</v>
      </c>
      <c r="N285" s="333" t="e">
        <f t="shared" si="69"/>
        <v>#DIV/0!</v>
      </c>
      <c r="O285" s="333" t="e">
        <f t="shared" si="70"/>
        <v>#DIV/0!</v>
      </c>
      <c r="P285" s="334" t="e">
        <f t="shared" si="66"/>
        <v>#DIV/0!</v>
      </c>
      <c r="Q285" s="334" t="e">
        <f t="shared" si="67"/>
        <v>#DIV/0!</v>
      </c>
    </row>
    <row r="286" spans="2:17" x14ac:dyDescent="0.3">
      <c r="B286" s="333">
        <v>20</v>
      </c>
      <c r="C286" s="333"/>
      <c r="D286" s="333"/>
      <c r="E286" s="333"/>
      <c r="F286" s="333"/>
      <c r="G286" s="333"/>
      <c r="H286" s="333"/>
      <c r="I286" s="333"/>
      <c r="J286" s="333"/>
      <c r="K286" s="333"/>
      <c r="M286" s="333">
        <f t="shared" si="68"/>
        <v>10</v>
      </c>
      <c r="N286" s="333" t="e">
        <f t="shared" si="69"/>
        <v>#DIV/0!</v>
      </c>
      <c r="O286" s="333" t="e">
        <f t="shared" si="70"/>
        <v>#DIV/0!</v>
      </c>
      <c r="P286" s="334" t="e">
        <f t="shared" si="66"/>
        <v>#DIV/0!</v>
      </c>
      <c r="Q286" s="334" t="e">
        <f t="shared" si="67"/>
        <v>#DIV/0!</v>
      </c>
    </row>
    <row r="287" spans="2:17" x14ac:dyDescent="0.3">
      <c r="B287" s="333">
        <v>20</v>
      </c>
      <c r="C287" s="333"/>
      <c r="D287" s="333"/>
      <c r="E287" s="333"/>
      <c r="F287" s="333"/>
      <c r="G287" s="333"/>
      <c r="H287" s="333"/>
      <c r="I287" s="333"/>
      <c r="J287" s="333"/>
      <c r="K287" s="333"/>
      <c r="M287" s="333">
        <f t="shared" si="68"/>
        <v>10</v>
      </c>
      <c r="N287" s="333" t="e">
        <f t="shared" si="69"/>
        <v>#DIV/0!</v>
      </c>
      <c r="O287" s="333" t="e">
        <f t="shared" si="70"/>
        <v>#DIV/0!</v>
      </c>
      <c r="P287" s="334" t="e">
        <f t="shared" si="66"/>
        <v>#DIV/0!</v>
      </c>
      <c r="Q287" s="334" t="e">
        <f t="shared" si="67"/>
        <v>#DIV/0!</v>
      </c>
    </row>
    <row r="288" spans="2:17" x14ac:dyDescent="0.3">
      <c r="B288" s="333">
        <v>20</v>
      </c>
      <c r="C288" s="333"/>
      <c r="D288" s="333"/>
      <c r="E288" s="333"/>
      <c r="F288" s="333"/>
      <c r="G288" s="333"/>
      <c r="H288" s="333"/>
      <c r="I288" s="333"/>
      <c r="J288" s="333"/>
      <c r="K288" s="333"/>
      <c r="M288" s="333">
        <f t="shared" si="68"/>
        <v>10</v>
      </c>
      <c r="N288" s="333" t="e">
        <f t="shared" si="69"/>
        <v>#DIV/0!</v>
      </c>
      <c r="O288" s="333" t="e">
        <f t="shared" si="70"/>
        <v>#DIV/0!</v>
      </c>
      <c r="P288" s="334" t="e">
        <f t="shared" si="66"/>
        <v>#DIV/0!</v>
      </c>
      <c r="Q288" s="334" t="e">
        <f t="shared" si="67"/>
        <v>#DIV/0!</v>
      </c>
    </row>
    <row r="289" spans="2:17" x14ac:dyDescent="0.3">
      <c r="B289" s="333">
        <v>20</v>
      </c>
      <c r="C289" s="333"/>
      <c r="D289" s="333"/>
      <c r="E289" s="333"/>
      <c r="F289" s="333"/>
      <c r="G289" s="333"/>
      <c r="H289" s="333"/>
      <c r="I289" s="333"/>
      <c r="J289" s="333"/>
      <c r="K289" s="333"/>
      <c r="M289" s="333">
        <f t="shared" si="68"/>
        <v>10</v>
      </c>
      <c r="N289" s="333" t="e">
        <f t="shared" si="69"/>
        <v>#DIV/0!</v>
      </c>
      <c r="O289" s="333" t="e">
        <f t="shared" si="70"/>
        <v>#DIV/0!</v>
      </c>
      <c r="P289" s="334" t="e">
        <f t="shared" si="66"/>
        <v>#DIV/0!</v>
      </c>
      <c r="Q289" s="334" t="e">
        <f t="shared" si="67"/>
        <v>#DIV/0!</v>
      </c>
    </row>
    <row r="290" spans="2:17" x14ac:dyDescent="0.3">
      <c r="B290" s="333">
        <v>20</v>
      </c>
      <c r="C290" s="333"/>
      <c r="D290" s="333"/>
      <c r="E290" s="333"/>
      <c r="F290" s="333"/>
      <c r="G290" s="333"/>
      <c r="H290" s="333"/>
      <c r="I290" s="333"/>
      <c r="J290" s="333"/>
      <c r="K290" s="333"/>
      <c r="M290" s="333">
        <f t="shared" si="68"/>
        <v>10</v>
      </c>
      <c r="N290" s="333" t="e">
        <f t="shared" si="69"/>
        <v>#DIV/0!</v>
      </c>
      <c r="O290" s="333" t="e">
        <f t="shared" si="70"/>
        <v>#DIV/0!</v>
      </c>
      <c r="P290" s="334" t="e">
        <f t="shared" si="66"/>
        <v>#DIV/0!</v>
      </c>
      <c r="Q290" s="334" t="e">
        <f t="shared" si="67"/>
        <v>#DIV/0!</v>
      </c>
    </row>
    <row r="291" spans="2:17" x14ac:dyDescent="0.3">
      <c r="B291" s="333">
        <v>20</v>
      </c>
      <c r="C291" s="333"/>
      <c r="D291" s="333"/>
      <c r="E291" s="333"/>
      <c r="F291" s="333"/>
      <c r="G291" s="333"/>
      <c r="H291" s="333"/>
      <c r="I291" s="333"/>
      <c r="J291" s="333"/>
      <c r="K291" s="333"/>
      <c r="M291" s="333">
        <f t="shared" si="68"/>
        <v>10</v>
      </c>
      <c r="N291" s="333" t="e">
        <f t="shared" si="69"/>
        <v>#DIV/0!</v>
      </c>
      <c r="O291" s="333" t="e">
        <f t="shared" si="70"/>
        <v>#DIV/0!</v>
      </c>
      <c r="P291" s="334" t="e">
        <f t="shared" si="66"/>
        <v>#DIV/0!</v>
      </c>
      <c r="Q291" s="334" t="e">
        <f t="shared" si="67"/>
        <v>#DIV/0!</v>
      </c>
    </row>
    <row r="292" spans="2:17" x14ac:dyDescent="0.3">
      <c r="B292" s="333">
        <v>20</v>
      </c>
      <c r="C292" s="333"/>
      <c r="D292" s="333"/>
      <c r="E292" s="333"/>
      <c r="F292" s="333"/>
      <c r="G292" s="333"/>
      <c r="H292" s="333"/>
      <c r="I292" s="333"/>
      <c r="J292" s="333"/>
      <c r="K292" s="333"/>
      <c r="M292" s="333">
        <f t="shared" si="68"/>
        <v>10</v>
      </c>
      <c r="N292" s="333" t="e">
        <f t="shared" si="69"/>
        <v>#DIV/0!</v>
      </c>
      <c r="O292" s="333" t="e">
        <f t="shared" si="70"/>
        <v>#DIV/0!</v>
      </c>
      <c r="P292" s="334" t="e">
        <f t="shared" si="66"/>
        <v>#DIV/0!</v>
      </c>
      <c r="Q292" s="334" t="e">
        <f t="shared" si="67"/>
        <v>#DIV/0!</v>
      </c>
    </row>
    <row r="293" spans="2:17" x14ac:dyDescent="0.3">
      <c r="B293" s="333">
        <v>40</v>
      </c>
      <c r="C293" s="333"/>
      <c r="D293" s="333"/>
      <c r="E293" s="333"/>
      <c r="F293" s="333"/>
      <c r="G293" s="333"/>
      <c r="H293" s="333"/>
      <c r="I293" s="333"/>
      <c r="J293" s="333"/>
      <c r="K293" s="333"/>
      <c r="M293" s="333">
        <f t="shared" si="68"/>
        <v>20</v>
      </c>
      <c r="N293" s="333" t="e">
        <f t="shared" si="69"/>
        <v>#DIV/0!</v>
      </c>
      <c r="O293" s="333" t="e">
        <f t="shared" si="70"/>
        <v>#DIV/0!</v>
      </c>
      <c r="P293" s="334" t="e">
        <f t="shared" si="66"/>
        <v>#DIV/0!</v>
      </c>
      <c r="Q293" s="334" t="e">
        <f t="shared" si="67"/>
        <v>#DIV/0!</v>
      </c>
    </row>
    <row r="294" spans="2:17" x14ac:dyDescent="0.3">
      <c r="B294" s="333">
        <v>40</v>
      </c>
      <c r="C294" s="333"/>
      <c r="D294" s="333"/>
      <c r="E294" s="333"/>
      <c r="F294" s="333"/>
      <c r="G294" s="333"/>
      <c r="H294" s="333"/>
      <c r="I294" s="333"/>
      <c r="J294" s="333"/>
      <c r="K294" s="333"/>
      <c r="M294" s="333">
        <f t="shared" si="68"/>
        <v>20</v>
      </c>
      <c r="N294" s="333" t="e">
        <f t="shared" si="69"/>
        <v>#DIV/0!</v>
      </c>
      <c r="O294" s="333" t="e">
        <f t="shared" si="70"/>
        <v>#DIV/0!</v>
      </c>
      <c r="P294" s="334" t="e">
        <f t="shared" si="66"/>
        <v>#DIV/0!</v>
      </c>
      <c r="Q294" s="334" t="e">
        <f t="shared" si="67"/>
        <v>#DIV/0!</v>
      </c>
    </row>
    <row r="295" spans="2:17" x14ac:dyDescent="0.3">
      <c r="B295" s="333">
        <v>40</v>
      </c>
      <c r="C295" s="333"/>
      <c r="D295" s="333"/>
      <c r="E295" s="333"/>
      <c r="F295" s="333"/>
      <c r="G295" s="333"/>
      <c r="H295" s="333"/>
      <c r="I295" s="333"/>
      <c r="J295" s="333"/>
      <c r="K295" s="333"/>
      <c r="M295" s="333">
        <f t="shared" si="68"/>
        <v>20</v>
      </c>
      <c r="N295" s="333" t="e">
        <f t="shared" si="69"/>
        <v>#DIV/0!</v>
      </c>
      <c r="O295" s="333" t="e">
        <f t="shared" si="70"/>
        <v>#DIV/0!</v>
      </c>
      <c r="P295" s="334" t="e">
        <f t="shared" si="66"/>
        <v>#DIV/0!</v>
      </c>
      <c r="Q295" s="334" t="e">
        <f t="shared" si="67"/>
        <v>#DIV/0!</v>
      </c>
    </row>
    <row r="296" spans="2:17" x14ac:dyDescent="0.3">
      <c r="B296" s="333">
        <v>40</v>
      </c>
      <c r="C296" s="333"/>
      <c r="D296" s="333"/>
      <c r="E296" s="333"/>
      <c r="F296" s="333"/>
      <c r="G296" s="333"/>
      <c r="H296" s="333"/>
      <c r="I296" s="333"/>
      <c r="J296" s="333"/>
      <c r="K296" s="333"/>
      <c r="M296" s="333">
        <f t="shared" si="68"/>
        <v>20</v>
      </c>
      <c r="N296" s="333" t="e">
        <f t="shared" si="69"/>
        <v>#DIV/0!</v>
      </c>
      <c r="O296" s="333" t="e">
        <f t="shared" si="70"/>
        <v>#DIV/0!</v>
      </c>
      <c r="P296" s="334" t="e">
        <f t="shared" si="66"/>
        <v>#DIV/0!</v>
      </c>
      <c r="Q296" s="334" t="e">
        <f t="shared" si="67"/>
        <v>#DIV/0!</v>
      </c>
    </row>
    <row r="297" spans="2:17" x14ac:dyDescent="0.3">
      <c r="B297" s="333">
        <v>40</v>
      </c>
      <c r="C297" s="333"/>
      <c r="D297" s="333"/>
      <c r="E297" s="333"/>
      <c r="F297" s="333"/>
      <c r="G297" s="333"/>
      <c r="H297" s="333"/>
      <c r="I297" s="333"/>
      <c r="J297" s="333"/>
      <c r="K297" s="333"/>
      <c r="M297" s="333">
        <f t="shared" ref="M297:M328" si="71">B297/2</f>
        <v>20</v>
      </c>
      <c r="N297" s="333" t="e">
        <f t="shared" ref="N297:N328" si="72">(SUM(C297:E297)-SUM($C$189:$E$189))*$F$71</f>
        <v>#DIV/0!</v>
      </c>
      <c r="O297" s="333" t="e">
        <f t="shared" ref="O297:O328" si="73">(SUM(F297:H297)-SUM($F$189:$H$189))*$G$71</f>
        <v>#DIV/0!</v>
      </c>
      <c r="P297" s="334" t="e">
        <f t="shared" si="66"/>
        <v>#DIV/0!</v>
      </c>
      <c r="Q297" s="334" t="e">
        <f t="shared" si="67"/>
        <v>#DIV/0!</v>
      </c>
    </row>
    <row r="298" spans="2:17" x14ac:dyDescent="0.3">
      <c r="B298" s="333">
        <v>40</v>
      </c>
      <c r="C298" s="333"/>
      <c r="D298" s="333"/>
      <c r="E298" s="333"/>
      <c r="F298" s="333"/>
      <c r="G298" s="333"/>
      <c r="H298" s="333"/>
      <c r="I298" s="333"/>
      <c r="J298" s="333"/>
      <c r="K298" s="333"/>
      <c r="M298" s="333">
        <f t="shared" si="71"/>
        <v>20</v>
      </c>
      <c r="N298" s="333" t="e">
        <f t="shared" si="72"/>
        <v>#DIV/0!</v>
      </c>
      <c r="O298" s="333" t="e">
        <f t="shared" si="73"/>
        <v>#DIV/0!</v>
      </c>
      <c r="P298" s="334" t="e">
        <f t="shared" si="66"/>
        <v>#DIV/0!</v>
      </c>
      <c r="Q298" s="334" t="e">
        <f t="shared" si="67"/>
        <v>#DIV/0!</v>
      </c>
    </row>
    <row r="299" spans="2:17" x14ac:dyDescent="0.3">
      <c r="B299" s="333">
        <v>40</v>
      </c>
      <c r="C299" s="333"/>
      <c r="D299" s="333"/>
      <c r="E299" s="333"/>
      <c r="F299" s="333"/>
      <c r="G299" s="333"/>
      <c r="H299" s="333"/>
      <c r="I299" s="333"/>
      <c r="J299" s="333"/>
      <c r="K299" s="333"/>
      <c r="M299" s="333">
        <f t="shared" si="71"/>
        <v>20</v>
      </c>
      <c r="N299" s="333" t="e">
        <f t="shared" si="72"/>
        <v>#DIV/0!</v>
      </c>
      <c r="O299" s="333" t="e">
        <f t="shared" si="73"/>
        <v>#DIV/0!</v>
      </c>
      <c r="P299" s="334" t="e">
        <f t="shared" ref="P299:P352" si="74">N299-M299</f>
        <v>#DIV/0!</v>
      </c>
      <c r="Q299" s="334" t="e">
        <f t="shared" ref="Q299:Q352" si="75">O299-M299</f>
        <v>#DIV/0!</v>
      </c>
    </row>
    <row r="300" spans="2:17" x14ac:dyDescent="0.3">
      <c r="B300" s="333">
        <v>40</v>
      </c>
      <c r="C300" s="333"/>
      <c r="D300" s="333"/>
      <c r="E300" s="333"/>
      <c r="F300" s="333"/>
      <c r="G300" s="333"/>
      <c r="H300" s="333"/>
      <c r="I300" s="333"/>
      <c r="J300" s="333"/>
      <c r="K300" s="333"/>
      <c r="M300" s="333">
        <f t="shared" si="71"/>
        <v>20</v>
      </c>
      <c r="N300" s="333" t="e">
        <f t="shared" si="72"/>
        <v>#DIV/0!</v>
      </c>
      <c r="O300" s="333" t="e">
        <f t="shared" si="73"/>
        <v>#DIV/0!</v>
      </c>
      <c r="P300" s="334" t="e">
        <f t="shared" si="74"/>
        <v>#DIV/0!</v>
      </c>
      <c r="Q300" s="334" t="e">
        <f t="shared" si="75"/>
        <v>#DIV/0!</v>
      </c>
    </row>
    <row r="301" spans="2:17" x14ac:dyDescent="0.3">
      <c r="B301" s="333">
        <v>40</v>
      </c>
      <c r="C301" s="333"/>
      <c r="D301" s="333"/>
      <c r="E301" s="333"/>
      <c r="F301" s="333"/>
      <c r="G301" s="333"/>
      <c r="H301" s="333"/>
      <c r="I301" s="333"/>
      <c r="J301" s="333"/>
      <c r="K301" s="333"/>
      <c r="M301" s="333">
        <f t="shared" si="71"/>
        <v>20</v>
      </c>
      <c r="N301" s="333" t="e">
        <f t="shared" si="72"/>
        <v>#DIV/0!</v>
      </c>
      <c r="O301" s="333" t="e">
        <f t="shared" si="73"/>
        <v>#DIV/0!</v>
      </c>
      <c r="P301" s="334" t="e">
        <f t="shared" si="74"/>
        <v>#DIV/0!</v>
      </c>
      <c r="Q301" s="334" t="e">
        <f t="shared" si="75"/>
        <v>#DIV/0!</v>
      </c>
    </row>
    <row r="302" spans="2:17" x14ac:dyDescent="0.3">
      <c r="B302" s="333">
        <v>40</v>
      </c>
      <c r="C302" s="333"/>
      <c r="D302" s="333"/>
      <c r="E302" s="333"/>
      <c r="F302" s="333"/>
      <c r="G302" s="333"/>
      <c r="H302" s="333"/>
      <c r="I302" s="333"/>
      <c r="J302" s="333"/>
      <c r="K302" s="333"/>
      <c r="M302" s="333">
        <f t="shared" si="71"/>
        <v>20</v>
      </c>
      <c r="N302" s="333" t="e">
        <f t="shared" si="72"/>
        <v>#DIV/0!</v>
      </c>
      <c r="O302" s="333" t="e">
        <f t="shared" si="73"/>
        <v>#DIV/0!</v>
      </c>
      <c r="P302" s="334" t="e">
        <f t="shared" si="74"/>
        <v>#DIV/0!</v>
      </c>
      <c r="Q302" s="334" t="e">
        <f t="shared" si="75"/>
        <v>#DIV/0!</v>
      </c>
    </row>
    <row r="303" spans="2:17" x14ac:dyDescent="0.3">
      <c r="B303" s="333">
        <v>40</v>
      </c>
      <c r="C303" s="333"/>
      <c r="D303" s="333"/>
      <c r="E303" s="333"/>
      <c r="F303" s="333"/>
      <c r="G303" s="333"/>
      <c r="H303" s="333"/>
      <c r="I303" s="333"/>
      <c r="J303" s="333"/>
      <c r="K303" s="333"/>
      <c r="M303" s="333">
        <f t="shared" si="71"/>
        <v>20</v>
      </c>
      <c r="N303" s="333" t="e">
        <f t="shared" si="72"/>
        <v>#DIV/0!</v>
      </c>
      <c r="O303" s="333" t="e">
        <f t="shared" si="73"/>
        <v>#DIV/0!</v>
      </c>
      <c r="P303" s="334" t="e">
        <f t="shared" si="74"/>
        <v>#DIV/0!</v>
      </c>
      <c r="Q303" s="334" t="e">
        <f t="shared" si="75"/>
        <v>#DIV/0!</v>
      </c>
    </row>
    <row r="304" spans="2:17" x14ac:dyDescent="0.3">
      <c r="B304" s="333">
        <v>40</v>
      </c>
      <c r="C304" s="333"/>
      <c r="D304" s="333"/>
      <c r="E304" s="333"/>
      <c r="F304" s="333"/>
      <c r="G304" s="333"/>
      <c r="H304" s="333"/>
      <c r="I304" s="333"/>
      <c r="J304" s="333"/>
      <c r="K304" s="333"/>
      <c r="M304" s="333">
        <f t="shared" si="71"/>
        <v>20</v>
      </c>
      <c r="N304" s="333" t="e">
        <f t="shared" si="72"/>
        <v>#DIV/0!</v>
      </c>
      <c r="O304" s="333" t="e">
        <f t="shared" si="73"/>
        <v>#DIV/0!</v>
      </c>
      <c r="P304" s="334" t="e">
        <f t="shared" si="74"/>
        <v>#DIV/0!</v>
      </c>
      <c r="Q304" s="334" t="e">
        <f t="shared" si="75"/>
        <v>#DIV/0!</v>
      </c>
    </row>
    <row r="305" spans="2:17" x14ac:dyDescent="0.3">
      <c r="B305" s="333">
        <v>40</v>
      </c>
      <c r="C305" s="333"/>
      <c r="D305" s="333"/>
      <c r="E305" s="333"/>
      <c r="F305" s="333"/>
      <c r="G305" s="333"/>
      <c r="H305" s="333"/>
      <c r="I305" s="333"/>
      <c r="J305" s="333"/>
      <c r="K305" s="333"/>
      <c r="M305" s="333">
        <f t="shared" si="71"/>
        <v>20</v>
      </c>
      <c r="N305" s="333" t="e">
        <f t="shared" si="72"/>
        <v>#DIV/0!</v>
      </c>
      <c r="O305" s="333" t="e">
        <f t="shared" si="73"/>
        <v>#DIV/0!</v>
      </c>
      <c r="P305" s="334" t="e">
        <f t="shared" si="74"/>
        <v>#DIV/0!</v>
      </c>
      <c r="Q305" s="334" t="e">
        <f t="shared" si="75"/>
        <v>#DIV/0!</v>
      </c>
    </row>
    <row r="306" spans="2:17" x14ac:dyDescent="0.3">
      <c r="B306" s="333">
        <v>40</v>
      </c>
      <c r="C306" s="333"/>
      <c r="D306" s="333"/>
      <c r="E306" s="333"/>
      <c r="F306" s="333"/>
      <c r="G306" s="333"/>
      <c r="H306" s="333"/>
      <c r="I306" s="333"/>
      <c r="J306" s="333"/>
      <c r="K306" s="333"/>
      <c r="M306" s="333">
        <f t="shared" si="71"/>
        <v>20</v>
      </c>
      <c r="N306" s="333" t="e">
        <f t="shared" si="72"/>
        <v>#DIV/0!</v>
      </c>
      <c r="O306" s="333" t="e">
        <f t="shared" si="73"/>
        <v>#DIV/0!</v>
      </c>
      <c r="P306" s="334" t="e">
        <f t="shared" si="74"/>
        <v>#DIV/0!</v>
      </c>
      <c r="Q306" s="334" t="e">
        <f t="shared" si="75"/>
        <v>#DIV/0!</v>
      </c>
    </row>
    <row r="307" spans="2:17" x14ac:dyDescent="0.3">
      <c r="B307" s="333">
        <v>40</v>
      </c>
      <c r="C307" s="333"/>
      <c r="D307" s="333"/>
      <c r="E307" s="333"/>
      <c r="F307" s="333"/>
      <c r="G307" s="333"/>
      <c r="H307" s="333"/>
      <c r="I307" s="333"/>
      <c r="J307" s="333"/>
      <c r="K307" s="333"/>
      <c r="M307" s="333">
        <f t="shared" si="71"/>
        <v>20</v>
      </c>
      <c r="N307" s="333" t="e">
        <f t="shared" si="72"/>
        <v>#DIV/0!</v>
      </c>
      <c r="O307" s="333" t="e">
        <f t="shared" si="73"/>
        <v>#DIV/0!</v>
      </c>
      <c r="P307" s="334" t="e">
        <f t="shared" si="74"/>
        <v>#DIV/0!</v>
      </c>
      <c r="Q307" s="334" t="e">
        <f t="shared" si="75"/>
        <v>#DIV/0!</v>
      </c>
    </row>
    <row r="308" spans="2:17" x14ac:dyDescent="0.3">
      <c r="B308" s="333">
        <v>40</v>
      </c>
      <c r="C308" s="333"/>
      <c r="D308" s="333"/>
      <c r="E308" s="333"/>
      <c r="F308" s="333"/>
      <c r="G308" s="333"/>
      <c r="H308" s="333"/>
      <c r="I308" s="333"/>
      <c r="J308" s="333"/>
      <c r="K308" s="333"/>
      <c r="M308" s="333">
        <f t="shared" si="71"/>
        <v>20</v>
      </c>
      <c r="N308" s="333" t="e">
        <f t="shared" si="72"/>
        <v>#DIV/0!</v>
      </c>
      <c r="O308" s="333" t="e">
        <f t="shared" si="73"/>
        <v>#DIV/0!</v>
      </c>
      <c r="P308" s="334" t="e">
        <f t="shared" si="74"/>
        <v>#DIV/0!</v>
      </c>
      <c r="Q308" s="334" t="e">
        <f t="shared" si="75"/>
        <v>#DIV/0!</v>
      </c>
    </row>
    <row r="309" spans="2:17" x14ac:dyDescent="0.3">
      <c r="B309" s="333">
        <v>40</v>
      </c>
      <c r="C309" s="333"/>
      <c r="D309" s="333"/>
      <c r="E309" s="333"/>
      <c r="F309" s="333"/>
      <c r="G309" s="333"/>
      <c r="H309" s="333"/>
      <c r="I309" s="333"/>
      <c r="J309" s="333"/>
      <c r="K309" s="333"/>
      <c r="M309" s="333">
        <f t="shared" si="71"/>
        <v>20</v>
      </c>
      <c r="N309" s="333" t="e">
        <f t="shared" si="72"/>
        <v>#DIV/0!</v>
      </c>
      <c r="O309" s="333" t="e">
        <f t="shared" si="73"/>
        <v>#DIV/0!</v>
      </c>
      <c r="P309" s="334" t="e">
        <f t="shared" si="74"/>
        <v>#DIV/0!</v>
      </c>
      <c r="Q309" s="334" t="e">
        <f t="shared" si="75"/>
        <v>#DIV/0!</v>
      </c>
    </row>
    <row r="310" spans="2:17" x14ac:dyDescent="0.3">
      <c r="B310" s="333">
        <v>40</v>
      </c>
      <c r="C310" s="333"/>
      <c r="D310" s="333"/>
      <c r="E310" s="333"/>
      <c r="F310" s="333"/>
      <c r="G310" s="333"/>
      <c r="H310" s="333"/>
      <c r="I310" s="333"/>
      <c r="J310" s="333"/>
      <c r="K310" s="333"/>
      <c r="M310" s="333">
        <f t="shared" si="71"/>
        <v>20</v>
      </c>
      <c r="N310" s="333" t="e">
        <f t="shared" si="72"/>
        <v>#DIV/0!</v>
      </c>
      <c r="O310" s="333" t="e">
        <f t="shared" si="73"/>
        <v>#DIV/0!</v>
      </c>
      <c r="P310" s="334" t="e">
        <f t="shared" si="74"/>
        <v>#DIV/0!</v>
      </c>
      <c r="Q310" s="334" t="e">
        <f t="shared" si="75"/>
        <v>#DIV/0!</v>
      </c>
    </row>
    <row r="311" spans="2:17" x14ac:dyDescent="0.3">
      <c r="B311" s="333">
        <v>40</v>
      </c>
      <c r="C311" s="333"/>
      <c r="D311" s="333"/>
      <c r="E311" s="333"/>
      <c r="F311" s="333"/>
      <c r="G311" s="333"/>
      <c r="H311" s="333"/>
      <c r="I311" s="333"/>
      <c r="J311" s="333"/>
      <c r="K311" s="333"/>
      <c r="M311" s="333">
        <f t="shared" si="71"/>
        <v>20</v>
      </c>
      <c r="N311" s="333" t="e">
        <f t="shared" si="72"/>
        <v>#DIV/0!</v>
      </c>
      <c r="O311" s="333" t="e">
        <f t="shared" si="73"/>
        <v>#DIV/0!</v>
      </c>
      <c r="P311" s="334" t="e">
        <f t="shared" si="74"/>
        <v>#DIV/0!</v>
      </c>
      <c r="Q311" s="334" t="e">
        <f t="shared" si="75"/>
        <v>#DIV/0!</v>
      </c>
    </row>
    <row r="312" spans="2:17" x14ac:dyDescent="0.3">
      <c r="B312" s="333">
        <v>40</v>
      </c>
      <c r="C312" s="333"/>
      <c r="D312" s="333"/>
      <c r="E312" s="333"/>
      <c r="F312" s="333"/>
      <c r="G312" s="333"/>
      <c r="H312" s="333"/>
      <c r="I312" s="333"/>
      <c r="J312" s="333"/>
      <c r="K312" s="333"/>
      <c r="M312" s="333">
        <f t="shared" si="71"/>
        <v>20</v>
      </c>
      <c r="N312" s="333" t="e">
        <f t="shared" si="72"/>
        <v>#DIV/0!</v>
      </c>
      <c r="O312" s="333" t="e">
        <f t="shared" si="73"/>
        <v>#DIV/0!</v>
      </c>
      <c r="P312" s="334" t="e">
        <f t="shared" si="74"/>
        <v>#DIV/0!</v>
      </c>
      <c r="Q312" s="334" t="e">
        <f t="shared" si="75"/>
        <v>#DIV/0!</v>
      </c>
    </row>
    <row r="313" spans="2:17" x14ac:dyDescent="0.3">
      <c r="B313" s="333">
        <v>60</v>
      </c>
      <c r="C313" s="333"/>
      <c r="D313" s="333"/>
      <c r="E313" s="333"/>
      <c r="F313" s="333"/>
      <c r="G313" s="333"/>
      <c r="H313" s="333"/>
      <c r="I313" s="333"/>
      <c r="J313" s="333"/>
      <c r="K313" s="333"/>
      <c r="M313" s="333">
        <f t="shared" si="71"/>
        <v>30</v>
      </c>
      <c r="N313" s="333" t="e">
        <f t="shared" si="72"/>
        <v>#DIV/0!</v>
      </c>
      <c r="O313" s="333" t="e">
        <f t="shared" si="73"/>
        <v>#DIV/0!</v>
      </c>
      <c r="P313" s="334" t="e">
        <f t="shared" si="74"/>
        <v>#DIV/0!</v>
      </c>
      <c r="Q313" s="334" t="e">
        <f t="shared" si="75"/>
        <v>#DIV/0!</v>
      </c>
    </row>
    <row r="314" spans="2:17" x14ac:dyDescent="0.3">
      <c r="B314" s="333">
        <v>60</v>
      </c>
      <c r="C314" s="333"/>
      <c r="D314" s="333"/>
      <c r="E314" s="333"/>
      <c r="F314" s="333"/>
      <c r="G314" s="333"/>
      <c r="H314" s="333"/>
      <c r="I314" s="333"/>
      <c r="J314" s="333"/>
      <c r="K314" s="333"/>
      <c r="M314" s="333">
        <f t="shared" si="71"/>
        <v>30</v>
      </c>
      <c r="N314" s="333" t="e">
        <f t="shared" si="72"/>
        <v>#DIV/0!</v>
      </c>
      <c r="O314" s="333" t="e">
        <f t="shared" si="73"/>
        <v>#DIV/0!</v>
      </c>
      <c r="P314" s="334" t="e">
        <f t="shared" si="74"/>
        <v>#DIV/0!</v>
      </c>
      <c r="Q314" s="334" t="e">
        <f t="shared" si="75"/>
        <v>#DIV/0!</v>
      </c>
    </row>
    <row r="315" spans="2:17" x14ac:dyDescent="0.3">
      <c r="B315" s="333">
        <v>60</v>
      </c>
      <c r="C315" s="333"/>
      <c r="D315" s="333"/>
      <c r="E315" s="333"/>
      <c r="F315" s="333"/>
      <c r="G315" s="333"/>
      <c r="H315" s="333"/>
      <c r="I315" s="333"/>
      <c r="J315" s="333"/>
      <c r="K315" s="333"/>
      <c r="M315" s="333">
        <f t="shared" si="71"/>
        <v>30</v>
      </c>
      <c r="N315" s="333" t="e">
        <f t="shared" si="72"/>
        <v>#DIV/0!</v>
      </c>
      <c r="O315" s="333" t="e">
        <f t="shared" si="73"/>
        <v>#DIV/0!</v>
      </c>
      <c r="P315" s="334" t="e">
        <f t="shared" si="74"/>
        <v>#DIV/0!</v>
      </c>
      <c r="Q315" s="334" t="e">
        <f t="shared" si="75"/>
        <v>#DIV/0!</v>
      </c>
    </row>
    <row r="316" spans="2:17" x14ac:dyDescent="0.3">
      <c r="B316" s="333">
        <v>60</v>
      </c>
      <c r="C316" s="333"/>
      <c r="D316" s="333"/>
      <c r="E316" s="333"/>
      <c r="F316" s="333"/>
      <c r="G316" s="333"/>
      <c r="H316" s="333"/>
      <c r="I316" s="333"/>
      <c r="J316" s="333"/>
      <c r="K316" s="333"/>
      <c r="M316" s="333">
        <f t="shared" si="71"/>
        <v>30</v>
      </c>
      <c r="N316" s="333" t="e">
        <f t="shared" si="72"/>
        <v>#DIV/0!</v>
      </c>
      <c r="O316" s="333" t="e">
        <f t="shared" si="73"/>
        <v>#DIV/0!</v>
      </c>
      <c r="P316" s="334" t="e">
        <f t="shared" si="74"/>
        <v>#DIV/0!</v>
      </c>
      <c r="Q316" s="334" t="e">
        <f t="shared" si="75"/>
        <v>#DIV/0!</v>
      </c>
    </row>
    <row r="317" spans="2:17" x14ac:dyDescent="0.3">
      <c r="B317" s="333">
        <v>60</v>
      </c>
      <c r="C317" s="333"/>
      <c r="D317" s="333"/>
      <c r="E317" s="333"/>
      <c r="F317" s="333"/>
      <c r="G317" s="333"/>
      <c r="H317" s="333"/>
      <c r="I317" s="333"/>
      <c r="J317" s="333"/>
      <c r="K317" s="333"/>
      <c r="M317" s="333">
        <f t="shared" si="71"/>
        <v>30</v>
      </c>
      <c r="N317" s="333" t="e">
        <f t="shared" si="72"/>
        <v>#DIV/0!</v>
      </c>
      <c r="O317" s="333" t="e">
        <f t="shared" si="73"/>
        <v>#DIV/0!</v>
      </c>
      <c r="P317" s="334" t="e">
        <f t="shared" si="74"/>
        <v>#DIV/0!</v>
      </c>
      <c r="Q317" s="334" t="e">
        <f t="shared" si="75"/>
        <v>#DIV/0!</v>
      </c>
    </row>
    <row r="318" spans="2:17" x14ac:dyDescent="0.3">
      <c r="B318" s="333">
        <v>60</v>
      </c>
      <c r="C318" s="333"/>
      <c r="D318" s="333"/>
      <c r="E318" s="333"/>
      <c r="F318" s="333"/>
      <c r="G318" s="333"/>
      <c r="H318" s="333"/>
      <c r="I318" s="333"/>
      <c r="J318" s="333"/>
      <c r="K318" s="333"/>
      <c r="M318" s="333">
        <f t="shared" si="71"/>
        <v>30</v>
      </c>
      <c r="N318" s="333" t="e">
        <f t="shared" si="72"/>
        <v>#DIV/0!</v>
      </c>
      <c r="O318" s="333" t="e">
        <f t="shared" si="73"/>
        <v>#DIV/0!</v>
      </c>
      <c r="P318" s="334" t="e">
        <f t="shared" si="74"/>
        <v>#DIV/0!</v>
      </c>
      <c r="Q318" s="334" t="e">
        <f t="shared" si="75"/>
        <v>#DIV/0!</v>
      </c>
    </row>
    <row r="319" spans="2:17" x14ac:dyDescent="0.3">
      <c r="B319" s="333">
        <v>60</v>
      </c>
      <c r="C319" s="333"/>
      <c r="D319" s="333"/>
      <c r="E319" s="333"/>
      <c r="F319" s="333"/>
      <c r="G319" s="333"/>
      <c r="H319" s="333"/>
      <c r="I319" s="333"/>
      <c r="J319" s="333"/>
      <c r="K319" s="333"/>
      <c r="M319" s="333">
        <f t="shared" si="71"/>
        <v>30</v>
      </c>
      <c r="N319" s="333" t="e">
        <f t="shared" si="72"/>
        <v>#DIV/0!</v>
      </c>
      <c r="O319" s="333" t="e">
        <f t="shared" si="73"/>
        <v>#DIV/0!</v>
      </c>
      <c r="P319" s="334" t="e">
        <f t="shared" si="74"/>
        <v>#DIV/0!</v>
      </c>
      <c r="Q319" s="334" t="e">
        <f t="shared" si="75"/>
        <v>#DIV/0!</v>
      </c>
    </row>
    <row r="320" spans="2:17" x14ac:dyDescent="0.3">
      <c r="B320" s="333">
        <v>60</v>
      </c>
      <c r="C320" s="333"/>
      <c r="D320" s="333"/>
      <c r="E320" s="333"/>
      <c r="F320" s="333"/>
      <c r="G320" s="333"/>
      <c r="H320" s="333"/>
      <c r="I320" s="333"/>
      <c r="J320" s="333"/>
      <c r="K320" s="333"/>
      <c r="M320" s="333">
        <f t="shared" si="71"/>
        <v>30</v>
      </c>
      <c r="N320" s="333" t="e">
        <f t="shared" si="72"/>
        <v>#DIV/0!</v>
      </c>
      <c r="O320" s="333" t="e">
        <f t="shared" si="73"/>
        <v>#DIV/0!</v>
      </c>
      <c r="P320" s="334" t="e">
        <f t="shared" si="74"/>
        <v>#DIV/0!</v>
      </c>
      <c r="Q320" s="334" t="e">
        <f t="shared" si="75"/>
        <v>#DIV/0!</v>
      </c>
    </row>
    <row r="321" spans="2:17" x14ac:dyDescent="0.3">
      <c r="B321" s="333">
        <v>60</v>
      </c>
      <c r="C321" s="333"/>
      <c r="D321" s="333"/>
      <c r="E321" s="333"/>
      <c r="F321" s="333"/>
      <c r="G321" s="333"/>
      <c r="H321" s="333"/>
      <c r="I321" s="333"/>
      <c r="J321" s="333"/>
      <c r="K321" s="333"/>
      <c r="M321" s="333">
        <f t="shared" si="71"/>
        <v>30</v>
      </c>
      <c r="N321" s="333" t="e">
        <f t="shared" si="72"/>
        <v>#DIV/0!</v>
      </c>
      <c r="O321" s="333" t="e">
        <f t="shared" si="73"/>
        <v>#DIV/0!</v>
      </c>
      <c r="P321" s="334" t="e">
        <f t="shared" si="74"/>
        <v>#DIV/0!</v>
      </c>
      <c r="Q321" s="334" t="e">
        <f t="shared" si="75"/>
        <v>#DIV/0!</v>
      </c>
    </row>
    <row r="322" spans="2:17" x14ac:dyDescent="0.3">
      <c r="B322" s="333">
        <v>60</v>
      </c>
      <c r="C322" s="333"/>
      <c r="D322" s="333"/>
      <c r="E322" s="333"/>
      <c r="F322" s="333"/>
      <c r="G322" s="333"/>
      <c r="H322" s="333"/>
      <c r="I322" s="333"/>
      <c r="J322" s="333"/>
      <c r="K322" s="333"/>
      <c r="M322" s="333">
        <f t="shared" si="71"/>
        <v>30</v>
      </c>
      <c r="N322" s="333" t="e">
        <f t="shared" si="72"/>
        <v>#DIV/0!</v>
      </c>
      <c r="O322" s="333" t="e">
        <f t="shared" si="73"/>
        <v>#DIV/0!</v>
      </c>
      <c r="P322" s="334" t="e">
        <f t="shared" si="74"/>
        <v>#DIV/0!</v>
      </c>
      <c r="Q322" s="334" t="e">
        <f t="shared" si="75"/>
        <v>#DIV/0!</v>
      </c>
    </row>
    <row r="323" spans="2:17" x14ac:dyDescent="0.3">
      <c r="B323" s="333">
        <v>60</v>
      </c>
      <c r="C323" s="333"/>
      <c r="D323" s="333"/>
      <c r="E323" s="333"/>
      <c r="F323" s="333"/>
      <c r="G323" s="333"/>
      <c r="H323" s="333"/>
      <c r="I323" s="333"/>
      <c r="J323" s="333"/>
      <c r="K323" s="333"/>
      <c r="M323" s="333">
        <f t="shared" si="71"/>
        <v>30</v>
      </c>
      <c r="N323" s="333" t="e">
        <f t="shared" si="72"/>
        <v>#DIV/0!</v>
      </c>
      <c r="O323" s="333" t="e">
        <f t="shared" si="73"/>
        <v>#DIV/0!</v>
      </c>
      <c r="P323" s="334" t="e">
        <f t="shared" si="74"/>
        <v>#DIV/0!</v>
      </c>
      <c r="Q323" s="334" t="e">
        <f t="shared" si="75"/>
        <v>#DIV/0!</v>
      </c>
    </row>
    <row r="324" spans="2:17" x14ac:dyDescent="0.3">
      <c r="B324" s="333">
        <v>60</v>
      </c>
      <c r="C324" s="333"/>
      <c r="D324" s="333"/>
      <c r="E324" s="333"/>
      <c r="F324" s="333"/>
      <c r="G324" s="333"/>
      <c r="H324" s="333"/>
      <c r="I324" s="333"/>
      <c r="J324" s="333"/>
      <c r="K324" s="333"/>
      <c r="M324" s="333">
        <f t="shared" si="71"/>
        <v>30</v>
      </c>
      <c r="N324" s="333" t="e">
        <f t="shared" si="72"/>
        <v>#DIV/0!</v>
      </c>
      <c r="O324" s="333" t="e">
        <f t="shared" si="73"/>
        <v>#DIV/0!</v>
      </c>
      <c r="P324" s="334" t="e">
        <f t="shared" si="74"/>
        <v>#DIV/0!</v>
      </c>
      <c r="Q324" s="334" t="e">
        <f t="shared" si="75"/>
        <v>#DIV/0!</v>
      </c>
    </row>
    <row r="325" spans="2:17" x14ac:dyDescent="0.3">
      <c r="B325" s="333">
        <v>60</v>
      </c>
      <c r="C325" s="333"/>
      <c r="D325" s="333"/>
      <c r="E325" s="333"/>
      <c r="F325" s="333"/>
      <c r="G325" s="333"/>
      <c r="H325" s="333"/>
      <c r="I325" s="333"/>
      <c r="J325" s="333"/>
      <c r="K325" s="333"/>
      <c r="M325" s="333">
        <f t="shared" si="71"/>
        <v>30</v>
      </c>
      <c r="N325" s="333" t="e">
        <f t="shared" si="72"/>
        <v>#DIV/0!</v>
      </c>
      <c r="O325" s="333" t="e">
        <f t="shared" si="73"/>
        <v>#DIV/0!</v>
      </c>
      <c r="P325" s="334" t="e">
        <f t="shared" si="74"/>
        <v>#DIV/0!</v>
      </c>
      <c r="Q325" s="334" t="e">
        <f t="shared" si="75"/>
        <v>#DIV/0!</v>
      </c>
    </row>
    <row r="326" spans="2:17" x14ac:dyDescent="0.3">
      <c r="B326" s="333">
        <v>60</v>
      </c>
      <c r="C326" s="333"/>
      <c r="D326" s="333"/>
      <c r="E326" s="333"/>
      <c r="F326" s="333"/>
      <c r="G326" s="333"/>
      <c r="H326" s="333"/>
      <c r="I326" s="333"/>
      <c r="J326" s="333"/>
      <c r="K326" s="333"/>
      <c r="M326" s="333">
        <f t="shared" si="71"/>
        <v>30</v>
      </c>
      <c r="N326" s="333" t="e">
        <f t="shared" si="72"/>
        <v>#DIV/0!</v>
      </c>
      <c r="O326" s="333" t="e">
        <f t="shared" si="73"/>
        <v>#DIV/0!</v>
      </c>
      <c r="P326" s="334" t="e">
        <f t="shared" si="74"/>
        <v>#DIV/0!</v>
      </c>
      <c r="Q326" s="334" t="e">
        <f t="shared" si="75"/>
        <v>#DIV/0!</v>
      </c>
    </row>
    <row r="327" spans="2:17" x14ac:dyDescent="0.3">
      <c r="B327" s="333">
        <v>60</v>
      </c>
      <c r="C327" s="333"/>
      <c r="D327" s="333"/>
      <c r="E327" s="333"/>
      <c r="F327" s="333"/>
      <c r="G327" s="333"/>
      <c r="H327" s="333"/>
      <c r="I327" s="333"/>
      <c r="J327" s="333"/>
      <c r="K327" s="333"/>
      <c r="M327" s="333">
        <f t="shared" si="71"/>
        <v>30</v>
      </c>
      <c r="N327" s="333" t="e">
        <f t="shared" si="72"/>
        <v>#DIV/0!</v>
      </c>
      <c r="O327" s="333" t="e">
        <f t="shared" si="73"/>
        <v>#DIV/0!</v>
      </c>
      <c r="P327" s="334" t="e">
        <f t="shared" si="74"/>
        <v>#DIV/0!</v>
      </c>
      <c r="Q327" s="334" t="e">
        <f t="shared" si="75"/>
        <v>#DIV/0!</v>
      </c>
    </row>
    <row r="328" spans="2:17" x14ac:dyDescent="0.3">
      <c r="B328" s="333">
        <v>60</v>
      </c>
      <c r="C328" s="333"/>
      <c r="D328" s="333"/>
      <c r="E328" s="333"/>
      <c r="F328" s="333"/>
      <c r="G328" s="333"/>
      <c r="H328" s="333"/>
      <c r="I328" s="333"/>
      <c r="J328" s="333"/>
      <c r="K328" s="333"/>
      <c r="M328" s="333">
        <f t="shared" si="71"/>
        <v>30</v>
      </c>
      <c r="N328" s="333" t="e">
        <f t="shared" si="72"/>
        <v>#DIV/0!</v>
      </c>
      <c r="O328" s="333" t="e">
        <f t="shared" si="73"/>
        <v>#DIV/0!</v>
      </c>
      <c r="P328" s="334" t="e">
        <f t="shared" si="74"/>
        <v>#DIV/0!</v>
      </c>
      <c r="Q328" s="334" t="e">
        <f t="shared" si="75"/>
        <v>#DIV/0!</v>
      </c>
    </row>
    <row r="329" spans="2:17" x14ac:dyDescent="0.3">
      <c r="B329" s="333">
        <v>60</v>
      </c>
      <c r="C329" s="333"/>
      <c r="D329" s="333"/>
      <c r="E329" s="333"/>
      <c r="F329" s="333"/>
      <c r="G329" s="333"/>
      <c r="H329" s="333"/>
      <c r="I329" s="333"/>
      <c r="J329" s="333"/>
      <c r="K329" s="333"/>
      <c r="M329" s="333">
        <f t="shared" ref="M329:M352" si="76">B329/2</f>
        <v>30</v>
      </c>
      <c r="N329" s="333" t="e">
        <f t="shared" ref="N329:N352" si="77">(SUM(C329:E329)-SUM($C$189:$E$189))*$F$71</f>
        <v>#DIV/0!</v>
      </c>
      <c r="O329" s="333" t="e">
        <f t="shared" ref="O329:O352" si="78">(SUM(F329:H329)-SUM($F$189:$H$189))*$G$71</f>
        <v>#DIV/0!</v>
      </c>
      <c r="P329" s="334" t="e">
        <f t="shared" si="74"/>
        <v>#DIV/0!</v>
      </c>
      <c r="Q329" s="334" t="e">
        <f t="shared" si="75"/>
        <v>#DIV/0!</v>
      </c>
    </row>
    <row r="330" spans="2:17" x14ac:dyDescent="0.3">
      <c r="B330" s="333">
        <v>60</v>
      </c>
      <c r="C330" s="333"/>
      <c r="D330" s="333"/>
      <c r="E330" s="333"/>
      <c r="F330" s="333"/>
      <c r="G330" s="333"/>
      <c r="H330" s="333"/>
      <c r="I330" s="333"/>
      <c r="J330" s="333"/>
      <c r="K330" s="333"/>
      <c r="M330" s="333">
        <f t="shared" si="76"/>
        <v>30</v>
      </c>
      <c r="N330" s="333" t="e">
        <f t="shared" si="77"/>
        <v>#DIV/0!</v>
      </c>
      <c r="O330" s="333" t="e">
        <f t="shared" si="78"/>
        <v>#DIV/0!</v>
      </c>
      <c r="P330" s="334" t="e">
        <f t="shared" si="74"/>
        <v>#DIV/0!</v>
      </c>
      <c r="Q330" s="334" t="e">
        <f t="shared" si="75"/>
        <v>#DIV/0!</v>
      </c>
    </row>
    <row r="331" spans="2:17" x14ac:dyDescent="0.3">
      <c r="B331" s="333">
        <v>60</v>
      </c>
      <c r="C331" s="333"/>
      <c r="D331" s="333"/>
      <c r="E331" s="333"/>
      <c r="F331" s="333"/>
      <c r="G331" s="333"/>
      <c r="H331" s="333"/>
      <c r="I331" s="333"/>
      <c r="J331" s="333"/>
      <c r="K331" s="333"/>
      <c r="M331" s="333">
        <f t="shared" si="76"/>
        <v>30</v>
      </c>
      <c r="N331" s="333" t="e">
        <f t="shared" si="77"/>
        <v>#DIV/0!</v>
      </c>
      <c r="O331" s="333" t="e">
        <f t="shared" si="78"/>
        <v>#DIV/0!</v>
      </c>
      <c r="P331" s="334" t="e">
        <f t="shared" si="74"/>
        <v>#DIV/0!</v>
      </c>
      <c r="Q331" s="334" t="e">
        <f t="shared" si="75"/>
        <v>#DIV/0!</v>
      </c>
    </row>
    <row r="332" spans="2:17" x14ac:dyDescent="0.3">
      <c r="B332" s="333">
        <v>60</v>
      </c>
      <c r="C332" s="333"/>
      <c r="D332" s="333"/>
      <c r="E332" s="333"/>
      <c r="F332" s="333"/>
      <c r="G332" s="333"/>
      <c r="H332" s="333"/>
      <c r="I332" s="333"/>
      <c r="J332" s="333"/>
      <c r="K332" s="333"/>
      <c r="M332" s="333">
        <f t="shared" si="76"/>
        <v>30</v>
      </c>
      <c r="N332" s="333" t="e">
        <f t="shared" si="77"/>
        <v>#DIV/0!</v>
      </c>
      <c r="O332" s="333" t="e">
        <f t="shared" si="78"/>
        <v>#DIV/0!</v>
      </c>
      <c r="P332" s="334" t="e">
        <f t="shared" si="74"/>
        <v>#DIV/0!</v>
      </c>
      <c r="Q332" s="334" t="e">
        <f t="shared" si="75"/>
        <v>#DIV/0!</v>
      </c>
    </row>
    <row r="333" spans="2:17" x14ac:dyDescent="0.3">
      <c r="B333" s="333">
        <v>80</v>
      </c>
      <c r="C333" s="333"/>
      <c r="D333" s="333"/>
      <c r="E333" s="333"/>
      <c r="F333" s="333"/>
      <c r="G333" s="333"/>
      <c r="H333" s="333"/>
      <c r="I333" s="333"/>
      <c r="J333" s="333"/>
      <c r="K333" s="333"/>
      <c r="M333" s="333">
        <f t="shared" si="76"/>
        <v>40</v>
      </c>
      <c r="N333" s="333" t="e">
        <f t="shared" si="77"/>
        <v>#DIV/0!</v>
      </c>
      <c r="O333" s="333" t="e">
        <f t="shared" si="78"/>
        <v>#DIV/0!</v>
      </c>
      <c r="P333" s="334" t="e">
        <f t="shared" si="74"/>
        <v>#DIV/0!</v>
      </c>
      <c r="Q333" s="334" t="e">
        <f t="shared" si="75"/>
        <v>#DIV/0!</v>
      </c>
    </row>
    <row r="334" spans="2:17" x14ac:dyDescent="0.3">
      <c r="B334" s="333">
        <v>80</v>
      </c>
      <c r="C334" s="333"/>
      <c r="D334" s="333"/>
      <c r="E334" s="333"/>
      <c r="F334" s="333"/>
      <c r="G334" s="333"/>
      <c r="H334" s="333"/>
      <c r="I334" s="333"/>
      <c r="J334" s="333"/>
      <c r="K334" s="333"/>
      <c r="M334" s="333">
        <f t="shared" si="76"/>
        <v>40</v>
      </c>
      <c r="N334" s="333" t="e">
        <f t="shared" si="77"/>
        <v>#DIV/0!</v>
      </c>
      <c r="O334" s="333" t="e">
        <f t="shared" si="78"/>
        <v>#DIV/0!</v>
      </c>
      <c r="P334" s="334" t="e">
        <f t="shared" si="74"/>
        <v>#DIV/0!</v>
      </c>
      <c r="Q334" s="334" t="e">
        <f t="shared" si="75"/>
        <v>#DIV/0!</v>
      </c>
    </row>
    <row r="335" spans="2:17" x14ac:dyDescent="0.3">
      <c r="B335" s="333">
        <v>80</v>
      </c>
      <c r="C335" s="333"/>
      <c r="D335" s="333"/>
      <c r="E335" s="333"/>
      <c r="F335" s="333"/>
      <c r="G335" s="333"/>
      <c r="H335" s="333"/>
      <c r="I335" s="333"/>
      <c r="J335" s="333"/>
      <c r="K335" s="333"/>
      <c r="M335" s="333">
        <f t="shared" si="76"/>
        <v>40</v>
      </c>
      <c r="N335" s="333" t="e">
        <f t="shared" si="77"/>
        <v>#DIV/0!</v>
      </c>
      <c r="O335" s="333" t="e">
        <f t="shared" si="78"/>
        <v>#DIV/0!</v>
      </c>
      <c r="P335" s="334" t="e">
        <f t="shared" si="74"/>
        <v>#DIV/0!</v>
      </c>
      <c r="Q335" s="334" t="e">
        <f t="shared" si="75"/>
        <v>#DIV/0!</v>
      </c>
    </row>
    <row r="336" spans="2:17" x14ac:dyDescent="0.3">
      <c r="B336" s="333">
        <v>80</v>
      </c>
      <c r="C336" s="333"/>
      <c r="D336" s="333"/>
      <c r="E336" s="333"/>
      <c r="F336" s="333"/>
      <c r="G336" s="333"/>
      <c r="H336" s="333"/>
      <c r="I336" s="333"/>
      <c r="J336" s="333"/>
      <c r="K336" s="333"/>
      <c r="M336" s="333">
        <f t="shared" si="76"/>
        <v>40</v>
      </c>
      <c r="N336" s="333" t="e">
        <f t="shared" si="77"/>
        <v>#DIV/0!</v>
      </c>
      <c r="O336" s="333" t="e">
        <f t="shared" si="78"/>
        <v>#DIV/0!</v>
      </c>
      <c r="P336" s="334" t="e">
        <f t="shared" si="74"/>
        <v>#DIV/0!</v>
      </c>
      <c r="Q336" s="334" t="e">
        <f t="shared" si="75"/>
        <v>#DIV/0!</v>
      </c>
    </row>
    <row r="337" spans="2:17" x14ac:dyDescent="0.3">
      <c r="B337" s="333">
        <v>80</v>
      </c>
      <c r="C337" s="333"/>
      <c r="D337" s="333"/>
      <c r="E337" s="333"/>
      <c r="F337" s="333"/>
      <c r="G337" s="333"/>
      <c r="H337" s="333"/>
      <c r="I337" s="333"/>
      <c r="J337" s="333"/>
      <c r="K337" s="333"/>
      <c r="M337" s="333">
        <f t="shared" si="76"/>
        <v>40</v>
      </c>
      <c r="N337" s="333" t="e">
        <f t="shared" si="77"/>
        <v>#DIV/0!</v>
      </c>
      <c r="O337" s="333" t="e">
        <f t="shared" si="78"/>
        <v>#DIV/0!</v>
      </c>
      <c r="P337" s="334" t="e">
        <f t="shared" si="74"/>
        <v>#DIV/0!</v>
      </c>
      <c r="Q337" s="334" t="e">
        <f t="shared" si="75"/>
        <v>#DIV/0!</v>
      </c>
    </row>
    <row r="338" spans="2:17" x14ac:dyDescent="0.3">
      <c r="B338" s="333">
        <v>80</v>
      </c>
      <c r="C338" s="333"/>
      <c r="D338" s="333"/>
      <c r="E338" s="333"/>
      <c r="F338" s="333"/>
      <c r="G338" s="333"/>
      <c r="H338" s="333"/>
      <c r="I338" s="333"/>
      <c r="J338" s="333"/>
      <c r="K338" s="333"/>
      <c r="M338" s="333">
        <f t="shared" si="76"/>
        <v>40</v>
      </c>
      <c r="N338" s="333" t="e">
        <f t="shared" si="77"/>
        <v>#DIV/0!</v>
      </c>
      <c r="O338" s="333" t="e">
        <f t="shared" si="78"/>
        <v>#DIV/0!</v>
      </c>
      <c r="P338" s="334" t="e">
        <f t="shared" si="74"/>
        <v>#DIV/0!</v>
      </c>
      <c r="Q338" s="334" t="e">
        <f t="shared" si="75"/>
        <v>#DIV/0!</v>
      </c>
    </row>
    <row r="339" spans="2:17" x14ac:dyDescent="0.3">
      <c r="B339" s="333">
        <v>80</v>
      </c>
      <c r="C339" s="333"/>
      <c r="D339" s="333"/>
      <c r="E339" s="333"/>
      <c r="F339" s="333"/>
      <c r="G339" s="333"/>
      <c r="H339" s="333"/>
      <c r="I339" s="333"/>
      <c r="J339" s="333"/>
      <c r="K339" s="333"/>
      <c r="M339" s="333">
        <f t="shared" si="76"/>
        <v>40</v>
      </c>
      <c r="N339" s="333" t="e">
        <f t="shared" si="77"/>
        <v>#DIV/0!</v>
      </c>
      <c r="O339" s="333" t="e">
        <f t="shared" si="78"/>
        <v>#DIV/0!</v>
      </c>
      <c r="P339" s="334" t="e">
        <f t="shared" si="74"/>
        <v>#DIV/0!</v>
      </c>
      <c r="Q339" s="334" t="e">
        <f t="shared" si="75"/>
        <v>#DIV/0!</v>
      </c>
    </row>
    <row r="340" spans="2:17" x14ac:dyDescent="0.3">
      <c r="B340" s="333">
        <v>80</v>
      </c>
      <c r="C340" s="333"/>
      <c r="D340" s="333"/>
      <c r="E340" s="333"/>
      <c r="F340" s="333"/>
      <c r="G340" s="333"/>
      <c r="H340" s="333"/>
      <c r="I340" s="333"/>
      <c r="J340" s="333"/>
      <c r="K340" s="333"/>
      <c r="M340" s="333">
        <f t="shared" si="76"/>
        <v>40</v>
      </c>
      <c r="N340" s="333" t="e">
        <f t="shared" si="77"/>
        <v>#DIV/0!</v>
      </c>
      <c r="O340" s="333" t="e">
        <f t="shared" si="78"/>
        <v>#DIV/0!</v>
      </c>
      <c r="P340" s="334" t="e">
        <f t="shared" si="74"/>
        <v>#DIV/0!</v>
      </c>
      <c r="Q340" s="334" t="e">
        <f t="shared" si="75"/>
        <v>#DIV/0!</v>
      </c>
    </row>
    <row r="341" spans="2:17" x14ac:dyDescent="0.3">
      <c r="B341" s="333">
        <v>80</v>
      </c>
      <c r="C341" s="333"/>
      <c r="D341" s="333"/>
      <c r="E341" s="333"/>
      <c r="F341" s="333"/>
      <c r="G341" s="333"/>
      <c r="H341" s="333"/>
      <c r="I341" s="333"/>
      <c r="J341" s="333"/>
      <c r="K341" s="333"/>
      <c r="M341" s="333">
        <f t="shared" si="76"/>
        <v>40</v>
      </c>
      <c r="N341" s="333" t="e">
        <f t="shared" si="77"/>
        <v>#DIV/0!</v>
      </c>
      <c r="O341" s="333" t="e">
        <f t="shared" si="78"/>
        <v>#DIV/0!</v>
      </c>
      <c r="P341" s="334" t="e">
        <f t="shared" si="74"/>
        <v>#DIV/0!</v>
      </c>
      <c r="Q341" s="334" t="e">
        <f t="shared" si="75"/>
        <v>#DIV/0!</v>
      </c>
    </row>
    <row r="342" spans="2:17" x14ac:dyDescent="0.3">
      <c r="B342" s="333">
        <v>80</v>
      </c>
      <c r="C342" s="333"/>
      <c r="D342" s="333"/>
      <c r="E342" s="333"/>
      <c r="F342" s="333"/>
      <c r="G342" s="333"/>
      <c r="H342" s="333"/>
      <c r="I342" s="333"/>
      <c r="J342" s="333"/>
      <c r="K342" s="333"/>
      <c r="M342" s="333">
        <f t="shared" si="76"/>
        <v>40</v>
      </c>
      <c r="N342" s="333" t="e">
        <f t="shared" si="77"/>
        <v>#DIV/0!</v>
      </c>
      <c r="O342" s="333" t="e">
        <f t="shared" si="78"/>
        <v>#DIV/0!</v>
      </c>
      <c r="P342" s="334" t="e">
        <f t="shared" si="74"/>
        <v>#DIV/0!</v>
      </c>
      <c r="Q342" s="334" t="e">
        <f t="shared" si="75"/>
        <v>#DIV/0!</v>
      </c>
    </row>
    <row r="343" spans="2:17" x14ac:dyDescent="0.3">
      <c r="B343" s="333">
        <v>80</v>
      </c>
      <c r="C343" s="333"/>
      <c r="D343" s="333"/>
      <c r="E343" s="333"/>
      <c r="F343" s="333"/>
      <c r="G343" s="333"/>
      <c r="H343" s="333"/>
      <c r="I343" s="333"/>
      <c r="J343" s="333"/>
      <c r="K343" s="333"/>
      <c r="M343" s="333">
        <f t="shared" si="76"/>
        <v>40</v>
      </c>
      <c r="N343" s="333" t="e">
        <f t="shared" si="77"/>
        <v>#DIV/0!</v>
      </c>
      <c r="O343" s="333" t="e">
        <f t="shared" si="78"/>
        <v>#DIV/0!</v>
      </c>
      <c r="P343" s="334" t="e">
        <f t="shared" si="74"/>
        <v>#DIV/0!</v>
      </c>
      <c r="Q343" s="334" t="e">
        <f t="shared" si="75"/>
        <v>#DIV/0!</v>
      </c>
    </row>
    <row r="344" spans="2:17" x14ac:dyDescent="0.3">
      <c r="B344" s="333">
        <v>80</v>
      </c>
      <c r="C344" s="333"/>
      <c r="D344" s="333"/>
      <c r="E344" s="333"/>
      <c r="F344" s="333"/>
      <c r="G344" s="333"/>
      <c r="H344" s="333"/>
      <c r="I344" s="333"/>
      <c r="J344" s="333"/>
      <c r="K344" s="333"/>
      <c r="M344" s="333">
        <f t="shared" si="76"/>
        <v>40</v>
      </c>
      <c r="N344" s="333" t="e">
        <f t="shared" si="77"/>
        <v>#DIV/0!</v>
      </c>
      <c r="O344" s="333" t="e">
        <f t="shared" si="78"/>
        <v>#DIV/0!</v>
      </c>
      <c r="P344" s="334" t="e">
        <f t="shared" si="74"/>
        <v>#DIV/0!</v>
      </c>
      <c r="Q344" s="334" t="e">
        <f t="shared" si="75"/>
        <v>#DIV/0!</v>
      </c>
    </row>
    <row r="345" spans="2:17" x14ac:dyDescent="0.3">
      <c r="B345" s="333">
        <v>80</v>
      </c>
      <c r="C345" s="333"/>
      <c r="D345" s="333"/>
      <c r="E345" s="333"/>
      <c r="F345" s="333"/>
      <c r="G345" s="333"/>
      <c r="H345" s="333"/>
      <c r="I345" s="333"/>
      <c r="J345" s="333"/>
      <c r="K345" s="333"/>
      <c r="M345" s="333">
        <f t="shared" si="76"/>
        <v>40</v>
      </c>
      <c r="N345" s="333" t="e">
        <f t="shared" si="77"/>
        <v>#DIV/0!</v>
      </c>
      <c r="O345" s="333" t="e">
        <f t="shared" si="78"/>
        <v>#DIV/0!</v>
      </c>
      <c r="P345" s="334" t="e">
        <f t="shared" si="74"/>
        <v>#DIV/0!</v>
      </c>
      <c r="Q345" s="334" t="e">
        <f t="shared" si="75"/>
        <v>#DIV/0!</v>
      </c>
    </row>
    <row r="346" spans="2:17" x14ac:dyDescent="0.3">
      <c r="B346" s="333">
        <v>80</v>
      </c>
      <c r="C346" s="333"/>
      <c r="D346" s="333"/>
      <c r="E346" s="333"/>
      <c r="F346" s="333"/>
      <c r="G346" s="333"/>
      <c r="H346" s="333"/>
      <c r="I346" s="333"/>
      <c r="J346" s="333"/>
      <c r="K346" s="333"/>
      <c r="M346" s="333">
        <f t="shared" si="76"/>
        <v>40</v>
      </c>
      <c r="N346" s="333" t="e">
        <f t="shared" si="77"/>
        <v>#DIV/0!</v>
      </c>
      <c r="O346" s="333" t="e">
        <f t="shared" si="78"/>
        <v>#DIV/0!</v>
      </c>
      <c r="P346" s="334" t="e">
        <f t="shared" si="74"/>
        <v>#DIV/0!</v>
      </c>
      <c r="Q346" s="334" t="e">
        <f t="shared" si="75"/>
        <v>#DIV/0!</v>
      </c>
    </row>
    <row r="347" spans="2:17" x14ac:dyDescent="0.3">
      <c r="B347" s="333">
        <v>80</v>
      </c>
      <c r="C347" s="333"/>
      <c r="D347" s="333"/>
      <c r="E347" s="333"/>
      <c r="F347" s="333"/>
      <c r="G347" s="333"/>
      <c r="H347" s="333"/>
      <c r="I347" s="333"/>
      <c r="J347" s="333"/>
      <c r="K347" s="333"/>
      <c r="M347" s="333">
        <f t="shared" si="76"/>
        <v>40</v>
      </c>
      <c r="N347" s="333" t="e">
        <f t="shared" si="77"/>
        <v>#DIV/0!</v>
      </c>
      <c r="O347" s="333" t="e">
        <f t="shared" si="78"/>
        <v>#DIV/0!</v>
      </c>
      <c r="P347" s="334" t="e">
        <f t="shared" si="74"/>
        <v>#DIV/0!</v>
      </c>
      <c r="Q347" s="334" t="e">
        <f t="shared" si="75"/>
        <v>#DIV/0!</v>
      </c>
    </row>
    <row r="348" spans="2:17" x14ac:dyDescent="0.3">
      <c r="B348" s="333">
        <v>80</v>
      </c>
      <c r="C348" s="333"/>
      <c r="D348" s="333"/>
      <c r="E348" s="333"/>
      <c r="F348" s="333"/>
      <c r="G348" s="333"/>
      <c r="H348" s="333"/>
      <c r="I348" s="333"/>
      <c r="J348" s="333"/>
      <c r="K348" s="333"/>
      <c r="M348" s="333">
        <f t="shared" si="76"/>
        <v>40</v>
      </c>
      <c r="N348" s="333" t="e">
        <f t="shared" si="77"/>
        <v>#DIV/0!</v>
      </c>
      <c r="O348" s="333" t="e">
        <f t="shared" si="78"/>
        <v>#DIV/0!</v>
      </c>
      <c r="P348" s="334" t="e">
        <f t="shared" si="74"/>
        <v>#DIV/0!</v>
      </c>
      <c r="Q348" s="334" t="e">
        <f t="shared" si="75"/>
        <v>#DIV/0!</v>
      </c>
    </row>
    <row r="349" spans="2:17" x14ac:dyDescent="0.3">
      <c r="B349" s="333">
        <v>80</v>
      </c>
      <c r="C349" s="333"/>
      <c r="D349" s="333"/>
      <c r="E349" s="333"/>
      <c r="F349" s="333"/>
      <c r="G349" s="333"/>
      <c r="H349" s="333"/>
      <c r="I349" s="333"/>
      <c r="J349" s="333"/>
      <c r="K349" s="333"/>
      <c r="M349" s="333">
        <f t="shared" si="76"/>
        <v>40</v>
      </c>
      <c r="N349" s="333" t="e">
        <f t="shared" si="77"/>
        <v>#DIV/0!</v>
      </c>
      <c r="O349" s="333" t="e">
        <f t="shared" si="78"/>
        <v>#DIV/0!</v>
      </c>
      <c r="P349" s="334" t="e">
        <f t="shared" si="74"/>
        <v>#DIV/0!</v>
      </c>
      <c r="Q349" s="334" t="e">
        <f t="shared" si="75"/>
        <v>#DIV/0!</v>
      </c>
    </row>
    <row r="350" spans="2:17" x14ac:dyDescent="0.3">
      <c r="B350" s="333">
        <v>80</v>
      </c>
      <c r="C350" s="333"/>
      <c r="D350" s="333"/>
      <c r="E350" s="333"/>
      <c r="F350" s="333"/>
      <c r="G350" s="333"/>
      <c r="H350" s="333"/>
      <c r="I350" s="333"/>
      <c r="J350" s="333"/>
      <c r="K350" s="333"/>
      <c r="M350" s="333">
        <f t="shared" si="76"/>
        <v>40</v>
      </c>
      <c r="N350" s="333" t="e">
        <f t="shared" si="77"/>
        <v>#DIV/0!</v>
      </c>
      <c r="O350" s="333" t="e">
        <f t="shared" si="78"/>
        <v>#DIV/0!</v>
      </c>
      <c r="P350" s="334" t="e">
        <f t="shared" si="74"/>
        <v>#DIV/0!</v>
      </c>
      <c r="Q350" s="334" t="e">
        <f t="shared" si="75"/>
        <v>#DIV/0!</v>
      </c>
    </row>
    <row r="351" spans="2:17" x14ac:dyDescent="0.3">
      <c r="B351" s="333">
        <v>80</v>
      </c>
      <c r="C351" s="333"/>
      <c r="D351" s="333"/>
      <c r="E351" s="333"/>
      <c r="F351" s="333"/>
      <c r="G351" s="333"/>
      <c r="H351" s="333"/>
      <c r="I351" s="333"/>
      <c r="J351" s="333"/>
      <c r="K351" s="333"/>
      <c r="M351" s="333">
        <f t="shared" si="76"/>
        <v>40</v>
      </c>
      <c r="N351" s="333" t="e">
        <f t="shared" si="77"/>
        <v>#DIV/0!</v>
      </c>
      <c r="O351" s="333" t="e">
        <f t="shared" si="78"/>
        <v>#DIV/0!</v>
      </c>
      <c r="P351" s="334" t="e">
        <f t="shared" si="74"/>
        <v>#DIV/0!</v>
      </c>
      <c r="Q351" s="334" t="e">
        <f t="shared" si="75"/>
        <v>#DIV/0!</v>
      </c>
    </row>
    <row r="352" spans="2:17" x14ac:dyDescent="0.3">
      <c r="B352" s="333">
        <v>80</v>
      </c>
      <c r="C352" s="333"/>
      <c r="D352" s="333"/>
      <c r="E352" s="333"/>
      <c r="F352" s="333"/>
      <c r="G352" s="333"/>
      <c r="H352" s="333"/>
      <c r="I352" s="333"/>
      <c r="J352" s="333"/>
      <c r="K352" s="333"/>
      <c r="M352" s="333">
        <f t="shared" si="76"/>
        <v>40</v>
      </c>
      <c r="N352" s="333" t="e">
        <f t="shared" si="77"/>
        <v>#DIV/0!</v>
      </c>
      <c r="O352" s="333" t="e">
        <f t="shared" si="78"/>
        <v>#DIV/0!</v>
      </c>
      <c r="P352" s="334" t="e">
        <f t="shared" si="74"/>
        <v>#DIV/0!</v>
      </c>
      <c r="Q352" s="334" t="e">
        <f t="shared" si="75"/>
        <v>#DIV/0!</v>
      </c>
    </row>
    <row r="355" spans="2:25" x14ac:dyDescent="0.3">
      <c r="B355" s="451" t="s">
        <v>761</v>
      </c>
      <c r="C355" s="452"/>
      <c r="D355" s="452"/>
      <c r="E355" s="452"/>
      <c r="F355" s="452"/>
      <c r="G355" s="452"/>
      <c r="H355" s="452"/>
      <c r="I355" s="452"/>
      <c r="J355" s="452"/>
      <c r="K355" s="452"/>
      <c r="L355" s="332"/>
      <c r="M355" s="451" t="s">
        <v>762</v>
      </c>
      <c r="N355" s="452"/>
      <c r="O355" s="452"/>
      <c r="P355" s="407" t="s">
        <v>763</v>
      </c>
      <c r="Q355" s="409"/>
      <c r="R355" s="332"/>
    </row>
    <row r="356" spans="2:25" x14ac:dyDescent="0.3">
      <c r="B356" s="230" t="s">
        <v>222</v>
      </c>
      <c r="C356" s="230" t="s">
        <v>779</v>
      </c>
      <c r="D356" s="230" t="s">
        <v>223</v>
      </c>
      <c r="E356" s="230" t="s">
        <v>224</v>
      </c>
      <c r="F356" s="230" t="s">
        <v>225</v>
      </c>
      <c r="G356" s="230" t="s">
        <v>226</v>
      </c>
      <c r="H356" s="230" t="s">
        <v>227</v>
      </c>
      <c r="I356" s="230" t="s">
        <v>789</v>
      </c>
      <c r="J356" s="230" t="s">
        <v>790</v>
      </c>
      <c r="K356" s="230" t="s">
        <v>230</v>
      </c>
      <c r="L356" s="332"/>
      <c r="M356" s="230" t="s">
        <v>764</v>
      </c>
      <c r="N356" s="230" t="s">
        <v>437</v>
      </c>
      <c r="O356" s="230" t="s">
        <v>438</v>
      </c>
      <c r="P356" s="226" t="s">
        <v>437</v>
      </c>
      <c r="Q356" s="226" t="s">
        <v>438</v>
      </c>
      <c r="R356" s="332"/>
    </row>
    <row r="357" spans="2:25" x14ac:dyDescent="0.3">
      <c r="B357" s="333">
        <v>0</v>
      </c>
      <c r="C357" s="333"/>
      <c r="D357" s="333"/>
      <c r="E357" s="333"/>
      <c r="F357" s="333"/>
      <c r="G357" s="333"/>
      <c r="H357" s="333"/>
      <c r="I357" s="333"/>
      <c r="J357" s="333"/>
      <c r="K357" s="333"/>
      <c r="L357" s="332"/>
      <c r="M357" s="333">
        <f t="shared" ref="M357:M420" si="79">B357/2</f>
        <v>0</v>
      </c>
      <c r="N357" s="333" t="e">
        <f>(SUM(C357:E357)-SUM($C$190:$E$190))*$F$71</f>
        <v>#DIV/0!</v>
      </c>
      <c r="O357" s="333" t="e">
        <f>(SUM(F357:H357)-SUM($F$190:$H$190))*$G$71</f>
        <v>#DIV/0!</v>
      </c>
      <c r="P357" s="334" t="e">
        <f>N357-M357</f>
        <v>#DIV/0!</v>
      </c>
      <c r="Q357" s="334" t="e">
        <f>O357-M357</f>
        <v>#DIV/0!</v>
      </c>
      <c r="R357" s="332"/>
    </row>
    <row r="358" spans="2:25" x14ac:dyDescent="0.3">
      <c r="B358" s="333">
        <v>0</v>
      </c>
      <c r="C358" s="333"/>
      <c r="D358" s="333"/>
      <c r="E358" s="333"/>
      <c r="F358" s="333"/>
      <c r="G358" s="333"/>
      <c r="H358" s="333"/>
      <c r="I358" s="333"/>
      <c r="J358" s="333"/>
      <c r="K358" s="333"/>
      <c r="L358" s="332"/>
      <c r="M358" s="333">
        <f t="shared" si="79"/>
        <v>0</v>
      </c>
      <c r="N358" s="333" t="e">
        <f>(SUM(C358:E358)-SUM($C$190:$E$190))*$F$71</f>
        <v>#DIV/0!</v>
      </c>
      <c r="O358" s="333" t="e">
        <f>(SUM(F358:H358)-SUM($F$190:$H$190))*$G$71</f>
        <v>#DIV/0!</v>
      </c>
      <c r="P358" s="334" t="e">
        <f>N358-M358</f>
        <v>#DIV/0!</v>
      </c>
      <c r="Q358" s="334" t="e">
        <f>O358-M358</f>
        <v>#DIV/0!</v>
      </c>
      <c r="R358" s="332"/>
    </row>
    <row r="359" spans="2:25" x14ac:dyDescent="0.3">
      <c r="B359" s="333">
        <v>0</v>
      </c>
      <c r="C359" s="333"/>
      <c r="D359" s="333"/>
      <c r="E359" s="333"/>
      <c r="F359" s="333"/>
      <c r="G359" s="333"/>
      <c r="H359" s="333"/>
      <c r="I359" s="333"/>
      <c r="J359" s="333"/>
      <c r="K359" s="333"/>
      <c r="L359" s="332"/>
      <c r="M359" s="333">
        <f t="shared" si="79"/>
        <v>0</v>
      </c>
      <c r="N359" s="333" t="e">
        <f t="shared" ref="N359:N422" si="80">(SUM(C359:E359)-SUM($C$190:$E$190))*$F$71</f>
        <v>#DIV/0!</v>
      </c>
      <c r="O359" s="333" t="e">
        <f t="shared" ref="O359:O422" si="81">(SUM(F359:H359)-SUM($F$190:$H$190))*$G$71</f>
        <v>#DIV/0!</v>
      </c>
      <c r="P359" s="334" t="e">
        <f t="shared" ref="P359:P422" si="82">N359-M359</f>
        <v>#DIV/0!</v>
      </c>
      <c r="Q359" s="334" t="e">
        <f t="shared" ref="Q359:Q422" si="83">O359-M359</f>
        <v>#DIV/0!</v>
      </c>
      <c r="R359" s="332"/>
    </row>
    <row r="360" spans="2:25" x14ac:dyDescent="0.3">
      <c r="B360" s="333">
        <v>0</v>
      </c>
      <c r="C360" s="333"/>
      <c r="D360" s="333"/>
      <c r="E360" s="333"/>
      <c r="F360" s="333"/>
      <c r="G360" s="333"/>
      <c r="H360" s="333"/>
      <c r="I360" s="333"/>
      <c r="J360" s="333"/>
      <c r="K360" s="333"/>
      <c r="L360" s="332"/>
      <c r="M360" s="333">
        <f t="shared" si="79"/>
        <v>0</v>
      </c>
      <c r="N360" s="333" t="e">
        <f t="shared" si="80"/>
        <v>#DIV/0!</v>
      </c>
      <c r="O360" s="333" t="e">
        <f t="shared" si="81"/>
        <v>#DIV/0!</v>
      </c>
      <c r="P360" s="334" t="e">
        <f t="shared" si="82"/>
        <v>#DIV/0!</v>
      </c>
      <c r="Q360" s="334" t="e">
        <f t="shared" si="83"/>
        <v>#DIV/0!</v>
      </c>
      <c r="R360" s="332"/>
    </row>
    <row r="361" spans="2:25" x14ac:dyDescent="0.3">
      <c r="B361" s="333">
        <v>0</v>
      </c>
      <c r="C361" s="333"/>
      <c r="D361" s="333"/>
      <c r="E361" s="333"/>
      <c r="F361" s="333"/>
      <c r="G361" s="333"/>
      <c r="H361" s="333"/>
      <c r="I361" s="333"/>
      <c r="J361" s="333"/>
      <c r="K361" s="333"/>
      <c r="L361" s="332"/>
      <c r="M361" s="333">
        <f t="shared" si="79"/>
        <v>0</v>
      </c>
      <c r="N361" s="333" t="e">
        <f t="shared" si="80"/>
        <v>#DIV/0!</v>
      </c>
      <c r="O361" s="333" t="e">
        <f t="shared" si="81"/>
        <v>#DIV/0!</v>
      </c>
      <c r="P361" s="334" t="e">
        <f t="shared" si="82"/>
        <v>#DIV/0!</v>
      </c>
      <c r="Q361" s="334" t="e">
        <f t="shared" si="83"/>
        <v>#DIV/0!</v>
      </c>
      <c r="R361" s="332"/>
    </row>
    <row r="362" spans="2:25" x14ac:dyDescent="0.3">
      <c r="B362" s="333">
        <v>0</v>
      </c>
      <c r="C362" s="333"/>
      <c r="D362" s="333"/>
      <c r="E362" s="333"/>
      <c r="F362" s="333"/>
      <c r="G362" s="333"/>
      <c r="H362" s="333"/>
      <c r="I362" s="333"/>
      <c r="J362" s="333"/>
      <c r="K362" s="333"/>
      <c r="L362" s="332"/>
      <c r="M362" s="333">
        <f t="shared" si="79"/>
        <v>0</v>
      </c>
      <c r="N362" s="333" t="e">
        <f t="shared" si="80"/>
        <v>#DIV/0!</v>
      </c>
      <c r="O362" s="333" t="e">
        <f t="shared" si="81"/>
        <v>#DIV/0!</v>
      </c>
      <c r="P362" s="334" t="e">
        <f t="shared" si="82"/>
        <v>#DIV/0!</v>
      </c>
      <c r="Q362" s="334" t="e">
        <f t="shared" si="83"/>
        <v>#DIV/0!</v>
      </c>
      <c r="R362" s="332"/>
      <c r="S362" s="332"/>
      <c r="T362" s="332"/>
      <c r="U362" s="332"/>
      <c r="V362" s="332"/>
      <c r="W362" s="332"/>
      <c r="X362" s="332"/>
      <c r="Y362" s="332"/>
    </row>
    <row r="363" spans="2:25" x14ac:dyDescent="0.3">
      <c r="B363" s="333">
        <v>0</v>
      </c>
      <c r="C363" s="333"/>
      <c r="D363" s="333"/>
      <c r="E363" s="333"/>
      <c r="F363" s="333"/>
      <c r="G363" s="333"/>
      <c r="H363" s="333"/>
      <c r="I363" s="333"/>
      <c r="J363" s="333"/>
      <c r="K363" s="333"/>
      <c r="L363" s="332"/>
      <c r="M363" s="333">
        <f t="shared" si="79"/>
        <v>0</v>
      </c>
      <c r="N363" s="333" t="e">
        <f t="shared" si="80"/>
        <v>#DIV/0!</v>
      </c>
      <c r="O363" s="333" t="e">
        <f t="shared" si="81"/>
        <v>#DIV/0!</v>
      </c>
      <c r="P363" s="334" t="e">
        <f t="shared" si="82"/>
        <v>#DIV/0!</v>
      </c>
      <c r="Q363" s="334" t="e">
        <f t="shared" si="83"/>
        <v>#DIV/0!</v>
      </c>
      <c r="R363" s="332"/>
      <c r="S363" s="332"/>
      <c r="T363" s="332"/>
      <c r="U363" s="332"/>
      <c r="V363" s="332"/>
      <c r="W363" s="332"/>
      <c r="X363" s="332"/>
      <c r="Y363" s="332"/>
    </row>
    <row r="364" spans="2:25" x14ac:dyDescent="0.3">
      <c r="B364" s="333">
        <v>0</v>
      </c>
      <c r="C364" s="333"/>
      <c r="D364" s="333"/>
      <c r="E364" s="333"/>
      <c r="F364" s="333"/>
      <c r="G364" s="333"/>
      <c r="H364" s="333"/>
      <c r="I364" s="333"/>
      <c r="J364" s="333"/>
      <c r="K364" s="333"/>
      <c r="L364" s="332"/>
      <c r="M364" s="333">
        <f t="shared" si="79"/>
        <v>0</v>
      </c>
      <c r="N364" s="333" t="e">
        <f t="shared" si="80"/>
        <v>#DIV/0!</v>
      </c>
      <c r="O364" s="333" t="e">
        <f t="shared" si="81"/>
        <v>#DIV/0!</v>
      </c>
      <c r="P364" s="334" t="e">
        <f t="shared" si="82"/>
        <v>#DIV/0!</v>
      </c>
      <c r="Q364" s="334" t="e">
        <f t="shared" si="83"/>
        <v>#DIV/0!</v>
      </c>
      <c r="R364" s="332"/>
      <c r="S364" s="332"/>
      <c r="T364" s="332"/>
      <c r="U364" s="332"/>
      <c r="V364" s="332"/>
      <c r="W364" s="332"/>
      <c r="X364" s="332"/>
      <c r="Y364" s="332"/>
    </row>
    <row r="365" spans="2:25" x14ac:dyDescent="0.3">
      <c r="B365" s="333">
        <v>0</v>
      </c>
      <c r="C365" s="333"/>
      <c r="D365" s="333"/>
      <c r="E365" s="333"/>
      <c r="F365" s="333"/>
      <c r="G365" s="333"/>
      <c r="H365" s="333"/>
      <c r="I365" s="333"/>
      <c r="J365" s="333"/>
      <c r="K365" s="333"/>
      <c r="L365" s="332"/>
      <c r="M365" s="333">
        <f t="shared" si="79"/>
        <v>0</v>
      </c>
      <c r="N365" s="333" t="e">
        <f t="shared" si="80"/>
        <v>#DIV/0!</v>
      </c>
      <c r="O365" s="333" t="e">
        <f t="shared" si="81"/>
        <v>#DIV/0!</v>
      </c>
      <c r="P365" s="334" t="e">
        <f t="shared" si="82"/>
        <v>#DIV/0!</v>
      </c>
      <c r="Q365" s="334" t="e">
        <f t="shared" si="83"/>
        <v>#DIV/0!</v>
      </c>
      <c r="R365" s="332"/>
      <c r="S365" s="332"/>
      <c r="T365" s="332"/>
      <c r="U365" s="332"/>
      <c r="V365" s="332"/>
      <c r="W365" s="332"/>
      <c r="X365" s="332"/>
      <c r="Y365" s="332"/>
    </row>
    <row r="366" spans="2:25" x14ac:dyDescent="0.3">
      <c r="B366" s="333">
        <v>0</v>
      </c>
      <c r="C366" s="333"/>
      <c r="D366" s="333"/>
      <c r="E366" s="333"/>
      <c r="F366" s="333"/>
      <c r="G366" s="333"/>
      <c r="H366" s="333"/>
      <c r="I366" s="333"/>
      <c r="J366" s="333"/>
      <c r="K366" s="333"/>
      <c r="L366" s="332"/>
      <c r="M366" s="333">
        <f t="shared" si="79"/>
        <v>0</v>
      </c>
      <c r="N366" s="333" t="e">
        <f t="shared" si="80"/>
        <v>#DIV/0!</v>
      </c>
      <c r="O366" s="333" t="e">
        <f t="shared" si="81"/>
        <v>#DIV/0!</v>
      </c>
      <c r="P366" s="334" t="e">
        <f t="shared" si="82"/>
        <v>#DIV/0!</v>
      </c>
      <c r="Q366" s="334" t="e">
        <f t="shared" si="83"/>
        <v>#DIV/0!</v>
      </c>
      <c r="R366" s="332"/>
      <c r="S366" s="332"/>
      <c r="T366" s="332"/>
      <c r="U366" s="332"/>
      <c r="V366" s="332"/>
      <c r="W366" s="332"/>
      <c r="X366" s="332"/>
      <c r="Y366" s="332"/>
    </row>
    <row r="367" spans="2:25" x14ac:dyDescent="0.3">
      <c r="B367" s="333">
        <v>0</v>
      </c>
      <c r="C367" s="333"/>
      <c r="D367" s="333"/>
      <c r="E367" s="333"/>
      <c r="F367" s="333"/>
      <c r="G367" s="333"/>
      <c r="H367" s="333"/>
      <c r="I367" s="333"/>
      <c r="J367" s="333"/>
      <c r="K367" s="333"/>
      <c r="L367" s="332"/>
      <c r="M367" s="333">
        <f t="shared" si="79"/>
        <v>0</v>
      </c>
      <c r="N367" s="333" t="e">
        <f t="shared" si="80"/>
        <v>#DIV/0!</v>
      </c>
      <c r="O367" s="333" t="e">
        <f t="shared" si="81"/>
        <v>#DIV/0!</v>
      </c>
      <c r="P367" s="334" t="e">
        <f t="shared" si="82"/>
        <v>#DIV/0!</v>
      </c>
      <c r="Q367" s="334" t="e">
        <f t="shared" si="83"/>
        <v>#DIV/0!</v>
      </c>
      <c r="R367" s="332"/>
      <c r="S367" s="332"/>
      <c r="T367" s="332"/>
      <c r="U367" s="332"/>
      <c r="V367" s="332"/>
      <c r="W367" s="332"/>
      <c r="X367" s="332"/>
      <c r="Y367" s="332"/>
    </row>
    <row r="368" spans="2:25" x14ac:dyDescent="0.3">
      <c r="B368" s="333">
        <v>0</v>
      </c>
      <c r="C368" s="333"/>
      <c r="D368" s="333"/>
      <c r="E368" s="333"/>
      <c r="F368" s="333"/>
      <c r="G368" s="333"/>
      <c r="H368" s="333"/>
      <c r="I368" s="333"/>
      <c r="J368" s="333"/>
      <c r="K368" s="333"/>
      <c r="L368" s="332"/>
      <c r="M368" s="333">
        <f t="shared" si="79"/>
        <v>0</v>
      </c>
      <c r="N368" s="333" t="e">
        <f t="shared" si="80"/>
        <v>#DIV/0!</v>
      </c>
      <c r="O368" s="333" t="e">
        <f t="shared" si="81"/>
        <v>#DIV/0!</v>
      </c>
      <c r="P368" s="334" t="e">
        <f t="shared" si="82"/>
        <v>#DIV/0!</v>
      </c>
      <c r="Q368" s="334" t="e">
        <f t="shared" si="83"/>
        <v>#DIV/0!</v>
      </c>
      <c r="R368" s="332"/>
      <c r="S368" s="332"/>
      <c r="T368" s="332"/>
      <c r="U368" s="332"/>
      <c r="V368" s="332"/>
      <c r="W368" s="332"/>
      <c r="X368" s="332"/>
      <c r="Y368" s="332"/>
    </row>
    <row r="369" spans="2:25" x14ac:dyDescent="0.3">
      <c r="B369" s="333">
        <v>0</v>
      </c>
      <c r="C369" s="333"/>
      <c r="D369" s="333"/>
      <c r="E369" s="333"/>
      <c r="F369" s="333"/>
      <c r="G369" s="333"/>
      <c r="H369" s="333"/>
      <c r="I369" s="333"/>
      <c r="J369" s="333"/>
      <c r="K369" s="333"/>
      <c r="L369" s="332"/>
      <c r="M369" s="333">
        <f t="shared" si="79"/>
        <v>0</v>
      </c>
      <c r="N369" s="333" t="e">
        <f t="shared" si="80"/>
        <v>#DIV/0!</v>
      </c>
      <c r="O369" s="333" t="e">
        <f t="shared" si="81"/>
        <v>#DIV/0!</v>
      </c>
      <c r="P369" s="334" t="e">
        <f t="shared" si="82"/>
        <v>#DIV/0!</v>
      </c>
      <c r="Q369" s="334" t="e">
        <f t="shared" si="83"/>
        <v>#DIV/0!</v>
      </c>
      <c r="R369" s="332"/>
      <c r="S369" s="332"/>
      <c r="T369" s="332"/>
      <c r="U369" s="332"/>
      <c r="V369" s="332"/>
      <c r="W369" s="332"/>
      <c r="X369" s="332"/>
      <c r="Y369" s="332"/>
    </row>
    <row r="370" spans="2:25" x14ac:dyDescent="0.3">
      <c r="B370" s="333">
        <v>0</v>
      </c>
      <c r="C370" s="333"/>
      <c r="D370" s="333"/>
      <c r="E370" s="333"/>
      <c r="F370" s="333"/>
      <c r="G370" s="333"/>
      <c r="H370" s="333"/>
      <c r="I370" s="333"/>
      <c r="J370" s="333"/>
      <c r="K370" s="333"/>
      <c r="L370" s="332"/>
      <c r="M370" s="333">
        <f t="shared" si="79"/>
        <v>0</v>
      </c>
      <c r="N370" s="333" t="e">
        <f t="shared" si="80"/>
        <v>#DIV/0!</v>
      </c>
      <c r="O370" s="333" t="e">
        <f t="shared" si="81"/>
        <v>#DIV/0!</v>
      </c>
      <c r="P370" s="334" t="e">
        <f t="shared" si="82"/>
        <v>#DIV/0!</v>
      </c>
      <c r="Q370" s="334" t="e">
        <f t="shared" si="83"/>
        <v>#DIV/0!</v>
      </c>
      <c r="R370" s="332"/>
      <c r="S370" s="332"/>
      <c r="T370" s="332"/>
      <c r="U370" s="332"/>
      <c r="V370" s="332"/>
      <c r="W370" s="332"/>
      <c r="X370" s="332"/>
      <c r="Y370" s="332"/>
    </row>
    <row r="371" spans="2:25" x14ac:dyDescent="0.3">
      <c r="B371" s="333">
        <v>0</v>
      </c>
      <c r="C371" s="333"/>
      <c r="D371" s="333"/>
      <c r="E371" s="333"/>
      <c r="F371" s="333"/>
      <c r="G371" s="333"/>
      <c r="H371" s="333"/>
      <c r="I371" s="333"/>
      <c r="J371" s="333"/>
      <c r="K371" s="333"/>
      <c r="L371" s="332"/>
      <c r="M371" s="333">
        <f t="shared" si="79"/>
        <v>0</v>
      </c>
      <c r="N371" s="333" t="e">
        <f t="shared" si="80"/>
        <v>#DIV/0!</v>
      </c>
      <c r="O371" s="333" t="e">
        <f t="shared" si="81"/>
        <v>#DIV/0!</v>
      </c>
      <c r="P371" s="334" t="e">
        <f t="shared" si="82"/>
        <v>#DIV/0!</v>
      </c>
      <c r="Q371" s="334" t="e">
        <f t="shared" si="83"/>
        <v>#DIV/0!</v>
      </c>
      <c r="R371" s="332"/>
      <c r="S371" s="332"/>
      <c r="T371" s="332"/>
      <c r="U371" s="332"/>
      <c r="V371" s="332"/>
      <c r="W371" s="332"/>
      <c r="X371" s="332"/>
      <c r="Y371" s="332"/>
    </row>
    <row r="372" spans="2:25" x14ac:dyDescent="0.3">
      <c r="B372" s="333">
        <v>0</v>
      </c>
      <c r="C372" s="333"/>
      <c r="D372" s="333"/>
      <c r="E372" s="333"/>
      <c r="F372" s="333"/>
      <c r="G372" s="333"/>
      <c r="H372" s="333"/>
      <c r="I372" s="333"/>
      <c r="J372" s="333"/>
      <c r="K372" s="333"/>
      <c r="L372" s="332"/>
      <c r="M372" s="333">
        <f t="shared" si="79"/>
        <v>0</v>
      </c>
      <c r="N372" s="333" t="e">
        <f t="shared" si="80"/>
        <v>#DIV/0!</v>
      </c>
      <c r="O372" s="333" t="e">
        <f t="shared" si="81"/>
        <v>#DIV/0!</v>
      </c>
      <c r="P372" s="334" t="e">
        <f t="shared" si="82"/>
        <v>#DIV/0!</v>
      </c>
      <c r="Q372" s="334" t="e">
        <f t="shared" si="83"/>
        <v>#DIV/0!</v>
      </c>
      <c r="R372" s="332"/>
      <c r="S372" s="332"/>
      <c r="T372" s="332"/>
      <c r="U372" s="332"/>
      <c r="V372" s="332"/>
      <c r="W372" s="332"/>
      <c r="X372" s="332"/>
      <c r="Y372" s="332"/>
    </row>
    <row r="373" spans="2:25" x14ac:dyDescent="0.3">
      <c r="B373" s="333">
        <v>0</v>
      </c>
      <c r="C373" s="333"/>
      <c r="D373" s="333"/>
      <c r="E373" s="333"/>
      <c r="F373" s="333"/>
      <c r="G373" s="333"/>
      <c r="H373" s="333"/>
      <c r="I373" s="333"/>
      <c r="J373" s="333"/>
      <c r="K373" s="333"/>
      <c r="L373" s="332"/>
      <c r="M373" s="333">
        <f t="shared" si="79"/>
        <v>0</v>
      </c>
      <c r="N373" s="333" t="e">
        <f t="shared" si="80"/>
        <v>#DIV/0!</v>
      </c>
      <c r="O373" s="333" t="e">
        <f t="shared" si="81"/>
        <v>#DIV/0!</v>
      </c>
      <c r="P373" s="334" t="e">
        <f t="shared" si="82"/>
        <v>#DIV/0!</v>
      </c>
      <c r="Q373" s="334" t="e">
        <f t="shared" si="83"/>
        <v>#DIV/0!</v>
      </c>
      <c r="R373" s="332"/>
      <c r="S373" s="332"/>
      <c r="T373" s="332"/>
      <c r="U373" s="332"/>
      <c r="V373" s="332"/>
      <c r="W373" s="332"/>
      <c r="X373" s="332"/>
      <c r="Y373" s="332"/>
    </row>
    <row r="374" spans="2:25" x14ac:dyDescent="0.3">
      <c r="B374" s="333">
        <v>0</v>
      </c>
      <c r="C374" s="333"/>
      <c r="D374" s="333"/>
      <c r="E374" s="333"/>
      <c r="F374" s="333"/>
      <c r="G374" s="333"/>
      <c r="H374" s="333"/>
      <c r="I374" s="333"/>
      <c r="J374" s="333"/>
      <c r="K374" s="333"/>
      <c r="L374" s="332"/>
      <c r="M374" s="333">
        <f t="shared" si="79"/>
        <v>0</v>
      </c>
      <c r="N374" s="333" t="e">
        <f t="shared" si="80"/>
        <v>#DIV/0!</v>
      </c>
      <c r="O374" s="333" t="e">
        <f t="shared" si="81"/>
        <v>#DIV/0!</v>
      </c>
      <c r="P374" s="334" t="e">
        <f t="shared" si="82"/>
        <v>#DIV/0!</v>
      </c>
      <c r="Q374" s="334" t="e">
        <f t="shared" si="83"/>
        <v>#DIV/0!</v>
      </c>
      <c r="R374" s="332"/>
      <c r="S374" s="332"/>
      <c r="T374" s="332"/>
      <c r="U374" s="332"/>
      <c r="V374" s="332"/>
      <c r="W374" s="332"/>
      <c r="X374" s="332"/>
      <c r="Y374" s="332"/>
    </row>
    <row r="375" spans="2:25" x14ac:dyDescent="0.3">
      <c r="B375" s="333">
        <v>0</v>
      </c>
      <c r="C375" s="333"/>
      <c r="D375" s="333"/>
      <c r="E375" s="333"/>
      <c r="F375" s="333"/>
      <c r="G375" s="333"/>
      <c r="H375" s="333"/>
      <c r="I375" s="333"/>
      <c r="J375" s="333"/>
      <c r="K375" s="333"/>
      <c r="L375" s="332"/>
      <c r="M375" s="333">
        <f t="shared" si="79"/>
        <v>0</v>
      </c>
      <c r="N375" s="333" t="e">
        <f t="shared" si="80"/>
        <v>#DIV/0!</v>
      </c>
      <c r="O375" s="333" t="e">
        <f t="shared" si="81"/>
        <v>#DIV/0!</v>
      </c>
      <c r="P375" s="334" t="e">
        <f t="shared" si="82"/>
        <v>#DIV/0!</v>
      </c>
      <c r="Q375" s="334" t="e">
        <f t="shared" si="83"/>
        <v>#DIV/0!</v>
      </c>
      <c r="R375" s="332"/>
      <c r="S375" s="332"/>
      <c r="T375" s="332"/>
      <c r="U375" s="332"/>
      <c r="V375" s="332"/>
      <c r="W375" s="332"/>
      <c r="X375" s="332"/>
      <c r="Y375" s="332"/>
    </row>
    <row r="376" spans="2:25" x14ac:dyDescent="0.3">
      <c r="B376" s="333">
        <v>0</v>
      </c>
      <c r="C376" s="333"/>
      <c r="D376" s="333"/>
      <c r="E376" s="333"/>
      <c r="F376" s="333"/>
      <c r="G376" s="333"/>
      <c r="H376" s="333"/>
      <c r="I376" s="333"/>
      <c r="J376" s="333"/>
      <c r="K376" s="333"/>
      <c r="L376" s="332"/>
      <c r="M376" s="333">
        <f t="shared" si="79"/>
        <v>0</v>
      </c>
      <c r="N376" s="333" t="e">
        <f t="shared" si="80"/>
        <v>#DIV/0!</v>
      </c>
      <c r="O376" s="333" t="e">
        <f t="shared" si="81"/>
        <v>#DIV/0!</v>
      </c>
      <c r="P376" s="334" t="e">
        <f t="shared" si="82"/>
        <v>#DIV/0!</v>
      </c>
      <c r="Q376" s="334" t="e">
        <f t="shared" si="83"/>
        <v>#DIV/0!</v>
      </c>
      <c r="R376" s="332"/>
      <c r="S376" s="332"/>
      <c r="T376" s="332"/>
      <c r="U376" s="332"/>
      <c r="V376" s="332"/>
      <c r="W376" s="332"/>
      <c r="X376" s="332"/>
      <c r="Y376" s="332"/>
    </row>
    <row r="377" spans="2:25" x14ac:dyDescent="0.3">
      <c r="B377" s="333">
        <v>10</v>
      </c>
      <c r="C377" s="333"/>
      <c r="D377" s="333"/>
      <c r="E377" s="333"/>
      <c r="F377" s="333"/>
      <c r="G377" s="333"/>
      <c r="H377" s="333"/>
      <c r="I377" s="333"/>
      <c r="J377" s="333"/>
      <c r="K377" s="333"/>
      <c r="L377" s="332"/>
      <c r="M377" s="333">
        <f t="shared" si="79"/>
        <v>5</v>
      </c>
      <c r="N377" s="333" t="e">
        <f t="shared" si="80"/>
        <v>#DIV/0!</v>
      </c>
      <c r="O377" s="333" t="e">
        <f t="shared" si="81"/>
        <v>#DIV/0!</v>
      </c>
      <c r="P377" s="334" t="e">
        <f t="shared" si="82"/>
        <v>#DIV/0!</v>
      </c>
      <c r="Q377" s="334" t="e">
        <f t="shared" si="83"/>
        <v>#DIV/0!</v>
      </c>
      <c r="R377" s="332"/>
      <c r="S377" s="332"/>
      <c r="T377" s="332"/>
      <c r="U377" s="332"/>
      <c r="V377" s="332"/>
      <c r="W377" s="332"/>
      <c r="X377" s="332"/>
      <c r="Y377" s="332"/>
    </row>
    <row r="378" spans="2:25" x14ac:dyDescent="0.3">
      <c r="B378" s="333">
        <v>10</v>
      </c>
      <c r="C378" s="333"/>
      <c r="D378" s="333"/>
      <c r="E378" s="333"/>
      <c r="F378" s="333"/>
      <c r="G378" s="333"/>
      <c r="H378" s="333"/>
      <c r="I378" s="333"/>
      <c r="J378" s="333"/>
      <c r="K378" s="333"/>
      <c r="L378" s="332"/>
      <c r="M378" s="333">
        <f t="shared" si="79"/>
        <v>5</v>
      </c>
      <c r="N378" s="333" t="e">
        <f t="shared" si="80"/>
        <v>#DIV/0!</v>
      </c>
      <c r="O378" s="333" t="e">
        <f t="shared" si="81"/>
        <v>#DIV/0!</v>
      </c>
      <c r="P378" s="334" t="e">
        <f t="shared" si="82"/>
        <v>#DIV/0!</v>
      </c>
      <c r="Q378" s="334" t="e">
        <f t="shared" si="83"/>
        <v>#DIV/0!</v>
      </c>
      <c r="R378" s="332"/>
      <c r="S378" s="332"/>
      <c r="T378" s="332"/>
      <c r="U378" s="332"/>
      <c r="V378" s="332"/>
      <c r="W378" s="332"/>
      <c r="X378" s="332"/>
      <c r="Y378" s="332"/>
    </row>
    <row r="379" spans="2:25" x14ac:dyDescent="0.3">
      <c r="B379" s="333">
        <v>10</v>
      </c>
      <c r="C379" s="333"/>
      <c r="D379" s="333"/>
      <c r="E379" s="333"/>
      <c r="F379" s="333"/>
      <c r="G379" s="333"/>
      <c r="H379" s="333"/>
      <c r="I379" s="333"/>
      <c r="J379" s="333"/>
      <c r="K379" s="333"/>
      <c r="L379" s="332"/>
      <c r="M379" s="333">
        <f t="shared" si="79"/>
        <v>5</v>
      </c>
      <c r="N379" s="333" t="e">
        <f t="shared" si="80"/>
        <v>#DIV/0!</v>
      </c>
      <c r="O379" s="333" t="e">
        <f t="shared" si="81"/>
        <v>#DIV/0!</v>
      </c>
      <c r="P379" s="334" t="e">
        <f t="shared" si="82"/>
        <v>#DIV/0!</v>
      </c>
      <c r="Q379" s="334" t="e">
        <f t="shared" si="83"/>
        <v>#DIV/0!</v>
      </c>
      <c r="R379" s="332"/>
      <c r="S379" s="332"/>
      <c r="T379" s="332"/>
      <c r="U379" s="332"/>
      <c r="V379" s="332"/>
      <c r="W379" s="332"/>
      <c r="X379" s="332"/>
      <c r="Y379" s="332"/>
    </row>
    <row r="380" spans="2:25" x14ac:dyDescent="0.3">
      <c r="B380" s="333">
        <v>10</v>
      </c>
      <c r="C380" s="333"/>
      <c r="D380" s="333"/>
      <c r="E380" s="333"/>
      <c r="F380" s="333"/>
      <c r="G380" s="333"/>
      <c r="H380" s="333"/>
      <c r="I380" s="333"/>
      <c r="J380" s="333"/>
      <c r="K380" s="333"/>
      <c r="L380" s="332"/>
      <c r="M380" s="333">
        <f t="shared" si="79"/>
        <v>5</v>
      </c>
      <c r="N380" s="333" t="e">
        <f t="shared" si="80"/>
        <v>#DIV/0!</v>
      </c>
      <c r="O380" s="333" t="e">
        <f t="shared" si="81"/>
        <v>#DIV/0!</v>
      </c>
      <c r="P380" s="334" t="e">
        <f t="shared" si="82"/>
        <v>#DIV/0!</v>
      </c>
      <c r="Q380" s="334" t="e">
        <f t="shared" si="83"/>
        <v>#DIV/0!</v>
      </c>
      <c r="R380" s="332"/>
      <c r="S380" s="332"/>
      <c r="T380" s="332"/>
      <c r="U380" s="332"/>
      <c r="V380" s="332"/>
      <c r="W380" s="332"/>
      <c r="X380" s="332"/>
      <c r="Y380" s="332"/>
    </row>
    <row r="381" spans="2:25" x14ac:dyDescent="0.3">
      <c r="B381" s="333">
        <v>10</v>
      </c>
      <c r="C381" s="333"/>
      <c r="D381" s="333"/>
      <c r="E381" s="333"/>
      <c r="F381" s="333"/>
      <c r="G381" s="333"/>
      <c r="H381" s="333"/>
      <c r="I381" s="333"/>
      <c r="J381" s="333"/>
      <c r="K381" s="333"/>
      <c r="L381" s="332"/>
      <c r="M381" s="333">
        <f t="shared" si="79"/>
        <v>5</v>
      </c>
      <c r="N381" s="333" t="e">
        <f t="shared" si="80"/>
        <v>#DIV/0!</v>
      </c>
      <c r="O381" s="333" t="e">
        <f t="shared" si="81"/>
        <v>#DIV/0!</v>
      </c>
      <c r="P381" s="334" t="e">
        <f t="shared" si="82"/>
        <v>#DIV/0!</v>
      </c>
      <c r="Q381" s="334" t="e">
        <f t="shared" si="83"/>
        <v>#DIV/0!</v>
      </c>
      <c r="R381" s="332"/>
      <c r="S381" s="332"/>
      <c r="T381" s="332"/>
      <c r="U381" s="332"/>
      <c r="V381" s="332"/>
      <c r="W381" s="332"/>
      <c r="X381" s="332"/>
      <c r="Y381" s="332"/>
    </row>
    <row r="382" spans="2:25" x14ac:dyDescent="0.3">
      <c r="B382" s="333">
        <v>10</v>
      </c>
      <c r="C382" s="333"/>
      <c r="D382" s="333"/>
      <c r="E382" s="333"/>
      <c r="F382" s="333"/>
      <c r="G382" s="333"/>
      <c r="H382" s="333"/>
      <c r="I382" s="333"/>
      <c r="J382" s="333"/>
      <c r="K382" s="333"/>
      <c r="L382" s="332"/>
      <c r="M382" s="333">
        <f t="shared" si="79"/>
        <v>5</v>
      </c>
      <c r="N382" s="333" t="e">
        <f t="shared" si="80"/>
        <v>#DIV/0!</v>
      </c>
      <c r="O382" s="333" t="e">
        <f t="shared" si="81"/>
        <v>#DIV/0!</v>
      </c>
      <c r="P382" s="334" t="e">
        <f t="shared" si="82"/>
        <v>#DIV/0!</v>
      </c>
      <c r="Q382" s="334" t="e">
        <f t="shared" si="83"/>
        <v>#DIV/0!</v>
      </c>
      <c r="R382" s="332"/>
      <c r="S382" s="332"/>
      <c r="T382" s="332"/>
      <c r="U382" s="332"/>
      <c r="V382" s="332"/>
      <c r="W382" s="332"/>
      <c r="X382" s="332"/>
      <c r="Y382" s="332"/>
    </row>
    <row r="383" spans="2:25" x14ac:dyDescent="0.3">
      <c r="B383" s="333">
        <v>10</v>
      </c>
      <c r="C383" s="333"/>
      <c r="D383" s="333"/>
      <c r="E383" s="333"/>
      <c r="F383" s="333"/>
      <c r="G383" s="333"/>
      <c r="H383" s="333"/>
      <c r="I383" s="333"/>
      <c r="J383" s="333"/>
      <c r="K383" s="333"/>
      <c r="L383" s="332"/>
      <c r="M383" s="333">
        <f t="shared" si="79"/>
        <v>5</v>
      </c>
      <c r="N383" s="333" t="e">
        <f t="shared" si="80"/>
        <v>#DIV/0!</v>
      </c>
      <c r="O383" s="333" t="e">
        <f t="shared" si="81"/>
        <v>#DIV/0!</v>
      </c>
      <c r="P383" s="334" t="e">
        <f t="shared" si="82"/>
        <v>#DIV/0!</v>
      </c>
      <c r="Q383" s="334" t="e">
        <f t="shared" si="83"/>
        <v>#DIV/0!</v>
      </c>
      <c r="R383" s="332"/>
      <c r="S383" s="332"/>
      <c r="T383" s="332"/>
      <c r="U383" s="332"/>
      <c r="V383" s="332"/>
      <c r="W383" s="332"/>
      <c r="X383" s="332"/>
      <c r="Y383" s="332"/>
    </row>
    <row r="384" spans="2:25" x14ac:dyDescent="0.3">
      <c r="B384" s="333">
        <v>10</v>
      </c>
      <c r="C384" s="333"/>
      <c r="D384" s="333"/>
      <c r="E384" s="333"/>
      <c r="F384" s="333"/>
      <c r="G384" s="333"/>
      <c r="H384" s="333"/>
      <c r="I384" s="333"/>
      <c r="J384" s="333"/>
      <c r="K384" s="333"/>
      <c r="L384" s="332"/>
      <c r="M384" s="333">
        <f t="shared" si="79"/>
        <v>5</v>
      </c>
      <c r="N384" s="333" t="e">
        <f t="shared" si="80"/>
        <v>#DIV/0!</v>
      </c>
      <c r="O384" s="333" t="e">
        <f t="shared" si="81"/>
        <v>#DIV/0!</v>
      </c>
      <c r="P384" s="334" t="e">
        <f t="shared" si="82"/>
        <v>#DIV/0!</v>
      </c>
      <c r="Q384" s="334" t="e">
        <f t="shared" si="83"/>
        <v>#DIV/0!</v>
      </c>
      <c r="R384" s="332"/>
      <c r="S384" s="332"/>
      <c r="T384" s="332"/>
      <c r="U384" s="332"/>
      <c r="V384" s="332"/>
      <c r="W384" s="332"/>
      <c r="X384" s="332"/>
      <c r="Y384" s="332"/>
    </row>
    <row r="385" spans="2:25" x14ac:dyDescent="0.3">
      <c r="B385" s="333">
        <v>10</v>
      </c>
      <c r="C385" s="333"/>
      <c r="D385" s="333"/>
      <c r="E385" s="333"/>
      <c r="F385" s="333"/>
      <c r="G385" s="333"/>
      <c r="H385" s="333"/>
      <c r="I385" s="333"/>
      <c r="J385" s="333"/>
      <c r="K385" s="333"/>
      <c r="L385" s="332"/>
      <c r="M385" s="333">
        <f t="shared" si="79"/>
        <v>5</v>
      </c>
      <c r="N385" s="333" t="e">
        <f t="shared" si="80"/>
        <v>#DIV/0!</v>
      </c>
      <c r="O385" s="333" t="e">
        <f t="shared" si="81"/>
        <v>#DIV/0!</v>
      </c>
      <c r="P385" s="334" t="e">
        <f t="shared" si="82"/>
        <v>#DIV/0!</v>
      </c>
      <c r="Q385" s="334" t="e">
        <f t="shared" si="83"/>
        <v>#DIV/0!</v>
      </c>
      <c r="R385" s="332"/>
      <c r="S385" s="332"/>
      <c r="T385" s="332"/>
      <c r="U385" s="332"/>
      <c r="V385" s="332"/>
      <c r="W385" s="332"/>
      <c r="X385" s="332"/>
      <c r="Y385" s="332"/>
    </row>
    <row r="386" spans="2:25" x14ac:dyDescent="0.3">
      <c r="B386" s="333">
        <v>10</v>
      </c>
      <c r="C386" s="333"/>
      <c r="D386" s="333"/>
      <c r="E386" s="333"/>
      <c r="F386" s="333"/>
      <c r="G386" s="333"/>
      <c r="H386" s="333"/>
      <c r="I386" s="333"/>
      <c r="J386" s="333"/>
      <c r="K386" s="333"/>
      <c r="L386" s="332"/>
      <c r="M386" s="333">
        <f t="shared" si="79"/>
        <v>5</v>
      </c>
      <c r="N386" s="333" t="e">
        <f t="shared" si="80"/>
        <v>#DIV/0!</v>
      </c>
      <c r="O386" s="333" t="e">
        <f t="shared" si="81"/>
        <v>#DIV/0!</v>
      </c>
      <c r="P386" s="334" t="e">
        <f t="shared" si="82"/>
        <v>#DIV/0!</v>
      </c>
      <c r="Q386" s="334" t="e">
        <f t="shared" si="83"/>
        <v>#DIV/0!</v>
      </c>
      <c r="R386" s="332"/>
      <c r="S386" s="332"/>
      <c r="T386" s="332"/>
      <c r="U386" s="332"/>
      <c r="V386" s="332"/>
      <c r="W386" s="332"/>
      <c r="X386" s="332"/>
      <c r="Y386" s="332"/>
    </row>
    <row r="387" spans="2:25" x14ac:dyDescent="0.3">
      <c r="B387" s="333">
        <v>10</v>
      </c>
      <c r="C387" s="333"/>
      <c r="D387" s="333"/>
      <c r="E387" s="333"/>
      <c r="F387" s="333"/>
      <c r="G387" s="333"/>
      <c r="H387" s="333"/>
      <c r="I387" s="333"/>
      <c r="J387" s="333"/>
      <c r="K387" s="333"/>
      <c r="L387" s="332"/>
      <c r="M387" s="333">
        <f t="shared" si="79"/>
        <v>5</v>
      </c>
      <c r="N387" s="333" t="e">
        <f t="shared" si="80"/>
        <v>#DIV/0!</v>
      </c>
      <c r="O387" s="333" t="e">
        <f t="shared" si="81"/>
        <v>#DIV/0!</v>
      </c>
      <c r="P387" s="334" t="e">
        <f t="shared" si="82"/>
        <v>#DIV/0!</v>
      </c>
      <c r="Q387" s="334" t="e">
        <f t="shared" si="83"/>
        <v>#DIV/0!</v>
      </c>
      <c r="R387" s="332"/>
      <c r="S387" s="332"/>
      <c r="T387" s="332"/>
      <c r="U387" s="332"/>
      <c r="V387" s="332"/>
      <c r="W387" s="332"/>
      <c r="X387" s="332"/>
      <c r="Y387" s="332"/>
    </row>
    <row r="388" spans="2:25" x14ac:dyDescent="0.3">
      <c r="B388" s="333">
        <v>10</v>
      </c>
      <c r="C388" s="333"/>
      <c r="D388" s="333"/>
      <c r="E388" s="333"/>
      <c r="F388" s="333"/>
      <c r="G388" s="333"/>
      <c r="H388" s="333"/>
      <c r="I388" s="333"/>
      <c r="J388" s="333"/>
      <c r="K388" s="333"/>
      <c r="L388" s="332"/>
      <c r="M388" s="333">
        <f t="shared" si="79"/>
        <v>5</v>
      </c>
      <c r="N388" s="333" t="e">
        <f t="shared" si="80"/>
        <v>#DIV/0!</v>
      </c>
      <c r="O388" s="333" t="e">
        <f t="shared" si="81"/>
        <v>#DIV/0!</v>
      </c>
      <c r="P388" s="334" t="e">
        <f t="shared" si="82"/>
        <v>#DIV/0!</v>
      </c>
      <c r="Q388" s="334" t="e">
        <f t="shared" si="83"/>
        <v>#DIV/0!</v>
      </c>
      <c r="R388" s="332"/>
      <c r="S388" s="332"/>
      <c r="T388" s="332"/>
      <c r="U388" s="332"/>
      <c r="V388" s="332"/>
      <c r="W388" s="332"/>
      <c r="X388" s="332"/>
      <c r="Y388" s="332"/>
    </row>
    <row r="389" spans="2:25" x14ac:dyDescent="0.3">
      <c r="B389" s="333">
        <v>10</v>
      </c>
      <c r="C389" s="333"/>
      <c r="D389" s="333"/>
      <c r="E389" s="333"/>
      <c r="F389" s="333"/>
      <c r="G389" s="333"/>
      <c r="H389" s="333"/>
      <c r="I389" s="333"/>
      <c r="J389" s="333"/>
      <c r="K389" s="333"/>
      <c r="L389" s="332"/>
      <c r="M389" s="333">
        <f t="shared" si="79"/>
        <v>5</v>
      </c>
      <c r="N389" s="333" t="e">
        <f t="shared" si="80"/>
        <v>#DIV/0!</v>
      </c>
      <c r="O389" s="333" t="e">
        <f t="shared" si="81"/>
        <v>#DIV/0!</v>
      </c>
      <c r="P389" s="334" t="e">
        <f t="shared" si="82"/>
        <v>#DIV/0!</v>
      </c>
      <c r="Q389" s="334" t="e">
        <f t="shared" si="83"/>
        <v>#DIV/0!</v>
      </c>
      <c r="R389" s="332"/>
      <c r="S389" s="332"/>
      <c r="T389" s="332"/>
      <c r="U389" s="332"/>
      <c r="V389" s="332"/>
      <c r="W389" s="332"/>
      <c r="X389" s="332"/>
      <c r="Y389" s="332"/>
    </row>
    <row r="390" spans="2:25" x14ac:dyDescent="0.3">
      <c r="B390" s="333">
        <v>10</v>
      </c>
      <c r="C390" s="333"/>
      <c r="D390" s="333"/>
      <c r="E390" s="333"/>
      <c r="F390" s="333"/>
      <c r="G390" s="333"/>
      <c r="H390" s="333"/>
      <c r="I390" s="333"/>
      <c r="J390" s="333"/>
      <c r="K390" s="333"/>
      <c r="L390" s="332"/>
      <c r="M390" s="333">
        <f t="shared" si="79"/>
        <v>5</v>
      </c>
      <c r="N390" s="333" t="e">
        <f t="shared" si="80"/>
        <v>#DIV/0!</v>
      </c>
      <c r="O390" s="333" t="e">
        <f t="shared" si="81"/>
        <v>#DIV/0!</v>
      </c>
      <c r="P390" s="334" t="e">
        <f t="shared" si="82"/>
        <v>#DIV/0!</v>
      </c>
      <c r="Q390" s="334" t="e">
        <f t="shared" si="83"/>
        <v>#DIV/0!</v>
      </c>
      <c r="R390" s="332"/>
      <c r="S390" s="332"/>
      <c r="T390" s="332"/>
      <c r="U390" s="332"/>
      <c r="V390" s="332"/>
      <c r="W390" s="332"/>
      <c r="X390" s="332"/>
      <c r="Y390" s="332"/>
    </row>
    <row r="391" spans="2:25" x14ac:dyDescent="0.3">
      <c r="B391" s="333">
        <v>10</v>
      </c>
      <c r="C391" s="333"/>
      <c r="D391" s="333"/>
      <c r="E391" s="333"/>
      <c r="F391" s="333"/>
      <c r="G391" s="333"/>
      <c r="H391" s="333"/>
      <c r="I391" s="333"/>
      <c r="J391" s="333"/>
      <c r="K391" s="333"/>
      <c r="L391" s="332"/>
      <c r="M391" s="333">
        <f t="shared" si="79"/>
        <v>5</v>
      </c>
      <c r="N391" s="333" t="e">
        <f t="shared" si="80"/>
        <v>#DIV/0!</v>
      </c>
      <c r="O391" s="333" t="e">
        <f t="shared" si="81"/>
        <v>#DIV/0!</v>
      </c>
      <c r="P391" s="334" t="e">
        <f t="shared" si="82"/>
        <v>#DIV/0!</v>
      </c>
      <c r="Q391" s="334" t="e">
        <f t="shared" si="83"/>
        <v>#DIV/0!</v>
      </c>
      <c r="R391" s="332"/>
      <c r="S391" s="332"/>
      <c r="T391" s="332"/>
      <c r="U391" s="332"/>
      <c r="V391" s="332"/>
      <c r="W391" s="332"/>
      <c r="X391" s="332"/>
      <c r="Y391" s="332"/>
    </row>
    <row r="392" spans="2:25" x14ac:dyDescent="0.3">
      <c r="B392" s="333">
        <v>10</v>
      </c>
      <c r="C392" s="333"/>
      <c r="D392" s="333"/>
      <c r="E392" s="333"/>
      <c r="F392" s="333"/>
      <c r="G392" s="333"/>
      <c r="H392" s="333"/>
      <c r="I392" s="333"/>
      <c r="J392" s="333"/>
      <c r="K392" s="333"/>
      <c r="L392" s="332"/>
      <c r="M392" s="333">
        <f t="shared" si="79"/>
        <v>5</v>
      </c>
      <c r="N392" s="333" t="e">
        <f t="shared" si="80"/>
        <v>#DIV/0!</v>
      </c>
      <c r="O392" s="333" t="e">
        <f t="shared" si="81"/>
        <v>#DIV/0!</v>
      </c>
      <c r="P392" s="334" t="e">
        <f t="shared" si="82"/>
        <v>#DIV/0!</v>
      </c>
      <c r="Q392" s="334" t="e">
        <f t="shared" si="83"/>
        <v>#DIV/0!</v>
      </c>
      <c r="R392" s="332"/>
      <c r="S392" s="332"/>
      <c r="T392" s="332"/>
      <c r="U392" s="332"/>
      <c r="V392" s="332"/>
      <c r="W392" s="332"/>
      <c r="X392" s="332"/>
      <c r="Y392" s="332"/>
    </row>
    <row r="393" spans="2:25" x14ac:dyDescent="0.3">
      <c r="B393" s="333">
        <v>10</v>
      </c>
      <c r="C393" s="333"/>
      <c r="D393" s="333"/>
      <c r="E393" s="333"/>
      <c r="F393" s="333"/>
      <c r="G393" s="333"/>
      <c r="H393" s="333"/>
      <c r="I393" s="333"/>
      <c r="J393" s="333"/>
      <c r="K393" s="333"/>
      <c r="L393" s="332"/>
      <c r="M393" s="333">
        <f t="shared" si="79"/>
        <v>5</v>
      </c>
      <c r="N393" s="333" t="e">
        <f t="shared" si="80"/>
        <v>#DIV/0!</v>
      </c>
      <c r="O393" s="333" t="e">
        <f t="shared" si="81"/>
        <v>#DIV/0!</v>
      </c>
      <c r="P393" s="334" t="e">
        <f t="shared" si="82"/>
        <v>#DIV/0!</v>
      </c>
      <c r="Q393" s="334" t="e">
        <f t="shared" si="83"/>
        <v>#DIV/0!</v>
      </c>
      <c r="R393" s="332"/>
      <c r="S393" s="332"/>
      <c r="T393" s="332"/>
      <c r="U393" s="332"/>
      <c r="V393" s="332"/>
      <c r="W393" s="332"/>
      <c r="X393" s="332"/>
      <c r="Y393" s="332"/>
    </row>
    <row r="394" spans="2:25" x14ac:dyDescent="0.3">
      <c r="B394" s="333">
        <v>10</v>
      </c>
      <c r="C394" s="333"/>
      <c r="D394" s="333"/>
      <c r="E394" s="333"/>
      <c r="F394" s="333"/>
      <c r="G394" s="333"/>
      <c r="H394" s="333"/>
      <c r="I394" s="333"/>
      <c r="J394" s="333"/>
      <c r="K394" s="333"/>
      <c r="L394" s="332"/>
      <c r="M394" s="333">
        <f t="shared" si="79"/>
        <v>5</v>
      </c>
      <c r="N394" s="333" t="e">
        <f t="shared" si="80"/>
        <v>#DIV/0!</v>
      </c>
      <c r="O394" s="333" t="e">
        <f t="shared" si="81"/>
        <v>#DIV/0!</v>
      </c>
      <c r="P394" s="334" t="e">
        <f t="shared" si="82"/>
        <v>#DIV/0!</v>
      </c>
      <c r="Q394" s="334" t="e">
        <f t="shared" si="83"/>
        <v>#DIV/0!</v>
      </c>
      <c r="R394" s="332"/>
      <c r="S394" s="332"/>
      <c r="T394" s="332"/>
      <c r="U394" s="332"/>
      <c r="V394" s="332"/>
      <c r="W394" s="332"/>
      <c r="X394" s="332"/>
      <c r="Y394" s="332"/>
    </row>
    <row r="395" spans="2:25" x14ac:dyDescent="0.3">
      <c r="B395" s="333">
        <v>10</v>
      </c>
      <c r="C395" s="333"/>
      <c r="D395" s="333"/>
      <c r="E395" s="333"/>
      <c r="F395" s="333"/>
      <c r="G395" s="333"/>
      <c r="H395" s="333"/>
      <c r="I395" s="333"/>
      <c r="J395" s="333"/>
      <c r="K395" s="333"/>
      <c r="L395" s="332"/>
      <c r="M395" s="333">
        <f t="shared" si="79"/>
        <v>5</v>
      </c>
      <c r="N395" s="333" t="e">
        <f t="shared" si="80"/>
        <v>#DIV/0!</v>
      </c>
      <c r="O395" s="333" t="e">
        <f t="shared" si="81"/>
        <v>#DIV/0!</v>
      </c>
      <c r="P395" s="334" t="e">
        <f t="shared" si="82"/>
        <v>#DIV/0!</v>
      </c>
      <c r="Q395" s="334" t="e">
        <f t="shared" si="83"/>
        <v>#DIV/0!</v>
      </c>
      <c r="R395" s="332"/>
      <c r="S395" s="332"/>
      <c r="T395" s="332"/>
      <c r="U395" s="332"/>
      <c r="V395" s="332"/>
      <c r="W395" s="332"/>
      <c r="X395" s="332"/>
      <c r="Y395" s="332"/>
    </row>
    <row r="396" spans="2:25" x14ac:dyDescent="0.3">
      <c r="B396" s="333">
        <v>10</v>
      </c>
      <c r="C396" s="333"/>
      <c r="D396" s="333"/>
      <c r="E396" s="333"/>
      <c r="F396" s="333"/>
      <c r="G396" s="333"/>
      <c r="H396" s="333"/>
      <c r="I396" s="333"/>
      <c r="J396" s="333"/>
      <c r="K396" s="333"/>
      <c r="L396" s="332"/>
      <c r="M396" s="333">
        <f t="shared" si="79"/>
        <v>5</v>
      </c>
      <c r="N396" s="333" t="e">
        <f t="shared" si="80"/>
        <v>#DIV/0!</v>
      </c>
      <c r="O396" s="333" t="e">
        <f t="shared" si="81"/>
        <v>#DIV/0!</v>
      </c>
      <c r="P396" s="334" t="e">
        <f t="shared" si="82"/>
        <v>#DIV/0!</v>
      </c>
      <c r="Q396" s="334" t="e">
        <f t="shared" si="83"/>
        <v>#DIV/0!</v>
      </c>
      <c r="R396" s="332"/>
      <c r="S396" s="332"/>
      <c r="T396" s="332"/>
      <c r="U396" s="332"/>
      <c r="V396" s="332"/>
      <c r="W396" s="332"/>
      <c r="X396" s="332"/>
      <c r="Y396" s="332"/>
    </row>
    <row r="397" spans="2:25" x14ac:dyDescent="0.3">
      <c r="B397" s="333">
        <v>20</v>
      </c>
      <c r="C397" s="333"/>
      <c r="D397" s="333"/>
      <c r="E397" s="333"/>
      <c r="F397" s="333"/>
      <c r="G397" s="333"/>
      <c r="H397" s="333"/>
      <c r="I397" s="333"/>
      <c r="J397" s="333"/>
      <c r="K397" s="333"/>
      <c r="L397" s="332"/>
      <c r="M397" s="333">
        <f t="shared" si="79"/>
        <v>10</v>
      </c>
      <c r="N397" s="333" t="e">
        <f t="shared" si="80"/>
        <v>#DIV/0!</v>
      </c>
      <c r="O397" s="333" t="e">
        <f t="shared" si="81"/>
        <v>#DIV/0!</v>
      </c>
      <c r="P397" s="334" t="e">
        <f t="shared" si="82"/>
        <v>#DIV/0!</v>
      </c>
      <c r="Q397" s="334" t="e">
        <f t="shared" si="83"/>
        <v>#DIV/0!</v>
      </c>
      <c r="R397" s="332"/>
      <c r="S397" s="332"/>
      <c r="T397" s="332"/>
      <c r="U397" s="332"/>
      <c r="V397" s="332"/>
      <c r="W397" s="332"/>
      <c r="X397" s="332"/>
      <c r="Y397" s="332"/>
    </row>
    <row r="398" spans="2:25" x14ac:dyDescent="0.3">
      <c r="B398" s="333">
        <v>20</v>
      </c>
      <c r="C398" s="333"/>
      <c r="D398" s="333"/>
      <c r="E398" s="333"/>
      <c r="F398" s="333"/>
      <c r="G398" s="333"/>
      <c r="H398" s="333"/>
      <c r="I398" s="333"/>
      <c r="J398" s="333"/>
      <c r="K398" s="333"/>
      <c r="L398" s="332"/>
      <c r="M398" s="333">
        <f t="shared" si="79"/>
        <v>10</v>
      </c>
      <c r="N398" s="333" t="e">
        <f t="shared" si="80"/>
        <v>#DIV/0!</v>
      </c>
      <c r="O398" s="333" t="e">
        <f t="shared" si="81"/>
        <v>#DIV/0!</v>
      </c>
      <c r="P398" s="334" t="e">
        <f t="shared" si="82"/>
        <v>#DIV/0!</v>
      </c>
      <c r="Q398" s="334" t="e">
        <f t="shared" si="83"/>
        <v>#DIV/0!</v>
      </c>
      <c r="R398" s="332"/>
      <c r="S398" s="332"/>
      <c r="T398" s="332"/>
      <c r="U398" s="332"/>
      <c r="V398" s="332"/>
      <c r="W398" s="332"/>
      <c r="X398" s="332"/>
      <c r="Y398" s="332"/>
    </row>
    <row r="399" spans="2:25" x14ac:dyDescent="0.3">
      <c r="B399" s="333">
        <v>20</v>
      </c>
      <c r="C399" s="333"/>
      <c r="D399" s="333"/>
      <c r="E399" s="333"/>
      <c r="F399" s="333"/>
      <c r="G399" s="333"/>
      <c r="H399" s="333"/>
      <c r="I399" s="333"/>
      <c r="J399" s="333"/>
      <c r="K399" s="333"/>
      <c r="L399" s="332"/>
      <c r="M399" s="333">
        <f t="shared" si="79"/>
        <v>10</v>
      </c>
      <c r="N399" s="333" t="e">
        <f t="shared" si="80"/>
        <v>#DIV/0!</v>
      </c>
      <c r="O399" s="333" t="e">
        <f t="shared" si="81"/>
        <v>#DIV/0!</v>
      </c>
      <c r="P399" s="334" t="e">
        <f t="shared" si="82"/>
        <v>#DIV/0!</v>
      </c>
      <c r="Q399" s="334" t="e">
        <f t="shared" si="83"/>
        <v>#DIV/0!</v>
      </c>
      <c r="R399" s="332"/>
      <c r="S399" s="332"/>
      <c r="T399" s="332"/>
      <c r="U399" s="332"/>
      <c r="V399" s="332"/>
      <c r="W399" s="332"/>
      <c r="X399" s="332"/>
      <c r="Y399" s="332"/>
    </row>
    <row r="400" spans="2:25" x14ac:dyDescent="0.3">
      <c r="B400" s="333">
        <v>20</v>
      </c>
      <c r="C400" s="333"/>
      <c r="D400" s="333"/>
      <c r="E400" s="333"/>
      <c r="F400" s="333"/>
      <c r="G400" s="333"/>
      <c r="H400" s="333"/>
      <c r="I400" s="333"/>
      <c r="J400" s="333"/>
      <c r="K400" s="333"/>
      <c r="L400" s="332"/>
      <c r="M400" s="333">
        <f t="shared" si="79"/>
        <v>10</v>
      </c>
      <c r="N400" s="333" t="e">
        <f t="shared" si="80"/>
        <v>#DIV/0!</v>
      </c>
      <c r="O400" s="333" t="e">
        <f t="shared" si="81"/>
        <v>#DIV/0!</v>
      </c>
      <c r="P400" s="334" t="e">
        <f t="shared" si="82"/>
        <v>#DIV/0!</v>
      </c>
      <c r="Q400" s="334" t="e">
        <f t="shared" si="83"/>
        <v>#DIV/0!</v>
      </c>
      <c r="R400" s="332"/>
      <c r="S400" s="332"/>
      <c r="T400" s="332"/>
      <c r="U400" s="332"/>
      <c r="V400" s="332"/>
      <c r="W400" s="332"/>
      <c r="X400" s="332"/>
      <c r="Y400" s="332"/>
    </row>
    <row r="401" spans="2:25" x14ac:dyDescent="0.3">
      <c r="B401" s="333">
        <v>20</v>
      </c>
      <c r="C401" s="333"/>
      <c r="D401" s="333"/>
      <c r="E401" s="333"/>
      <c r="F401" s="333"/>
      <c r="G401" s="333"/>
      <c r="H401" s="333"/>
      <c r="I401" s="333"/>
      <c r="J401" s="333"/>
      <c r="K401" s="333"/>
      <c r="L401" s="332"/>
      <c r="M401" s="333">
        <f t="shared" si="79"/>
        <v>10</v>
      </c>
      <c r="N401" s="333" t="e">
        <f t="shared" si="80"/>
        <v>#DIV/0!</v>
      </c>
      <c r="O401" s="333" t="e">
        <f t="shared" si="81"/>
        <v>#DIV/0!</v>
      </c>
      <c r="P401" s="334" t="e">
        <f t="shared" si="82"/>
        <v>#DIV/0!</v>
      </c>
      <c r="Q401" s="334" t="e">
        <f t="shared" si="83"/>
        <v>#DIV/0!</v>
      </c>
      <c r="R401" s="332"/>
      <c r="S401" s="332"/>
      <c r="T401" s="332"/>
      <c r="U401" s="332"/>
      <c r="V401" s="332"/>
      <c r="W401" s="332"/>
      <c r="X401" s="332"/>
      <c r="Y401" s="332"/>
    </row>
    <row r="402" spans="2:25" x14ac:dyDescent="0.3">
      <c r="B402" s="333">
        <v>20</v>
      </c>
      <c r="C402" s="333"/>
      <c r="D402" s="333"/>
      <c r="E402" s="333"/>
      <c r="F402" s="333"/>
      <c r="G402" s="333"/>
      <c r="H402" s="333"/>
      <c r="I402" s="333"/>
      <c r="J402" s="333"/>
      <c r="K402" s="333"/>
      <c r="L402" s="332"/>
      <c r="M402" s="333">
        <f t="shared" si="79"/>
        <v>10</v>
      </c>
      <c r="N402" s="333" t="e">
        <f t="shared" si="80"/>
        <v>#DIV/0!</v>
      </c>
      <c r="O402" s="333" t="e">
        <f t="shared" si="81"/>
        <v>#DIV/0!</v>
      </c>
      <c r="P402" s="334" t="e">
        <f t="shared" si="82"/>
        <v>#DIV/0!</v>
      </c>
      <c r="Q402" s="334" t="e">
        <f t="shared" si="83"/>
        <v>#DIV/0!</v>
      </c>
      <c r="R402" s="332"/>
      <c r="S402" s="332"/>
      <c r="T402" s="332"/>
      <c r="U402" s="332"/>
      <c r="V402" s="332"/>
      <c r="W402" s="332"/>
      <c r="X402" s="332"/>
      <c r="Y402" s="332"/>
    </row>
    <row r="403" spans="2:25" x14ac:dyDescent="0.3">
      <c r="B403" s="333">
        <v>20</v>
      </c>
      <c r="C403" s="333"/>
      <c r="D403" s="333"/>
      <c r="E403" s="333"/>
      <c r="F403" s="333"/>
      <c r="G403" s="333"/>
      <c r="H403" s="333"/>
      <c r="I403" s="333"/>
      <c r="J403" s="333"/>
      <c r="K403" s="333"/>
      <c r="L403" s="332"/>
      <c r="M403" s="333">
        <f t="shared" si="79"/>
        <v>10</v>
      </c>
      <c r="N403" s="333" t="e">
        <f t="shared" si="80"/>
        <v>#DIV/0!</v>
      </c>
      <c r="O403" s="333" t="e">
        <f t="shared" si="81"/>
        <v>#DIV/0!</v>
      </c>
      <c r="P403" s="334" t="e">
        <f t="shared" si="82"/>
        <v>#DIV/0!</v>
      </c>
      <c r="Q403" s="334" t="e">
        <f t="shared" si="83"/>
        <v>#DIV/0!</v>
      </c>
      <c r="R403" s="332"/>
      <c r="S403" s="332"/>
      <c r="T403" s="332"/>
      <c r="U403" s="332"/>
      <c r="V403" s="332"/>
      <c r="W403" s="332"/>
      <c r="X403" s="332"/>
      <c r="Y403" s="332"/>
    </row>
    <row r="404" spans="2:25" x14ac:dyDescent="0.3">
      <c r="B404" s="333">
        <v>20</v>
      </c>
      <c r="C404" s="333"/>
      <c r="D404" s="333"/>
      <c r="E404" s="333"/>
      <c r="F404" s="333"/>
      <c r="G404" s="333"/>
      <c r="H404" s="333"/>
      <c r="I404" s="333"/>
      <c r="J404" s="333"/>
      <c r="K404" s="333"/>
      <c r="L404" s="332"/>
      <c r="M404" s="333">
        <f t="shared" si="79"/>
        <v>10</v>
      </c>
      <c r="N404" s="333" t="e">
        <f t="shared" si="80"/>
        <v>#DIV/0!</v>
      </c>
      <c r="O404" s="333" t="e">
        <f t="shared" si="81"/>
        <v>#DIV/0!</v>
      </c>
      <c r="P404" s="334" t="e">
        <f t="shared" si="82"/>
        <v>#DIV/0!</v>
      </c>
      <c r="Q404" s="334" t="e">
        <f t="shared" si="83"/>
        <v>#DIV/0!</v>
      </c>
      <c r="R404" s="332"/>
      <c r="S404" s="332"/>
      <c r="T404" s="332"/>
      <c r="U404" s="332"/>
      <c r="V404" s="332"/>
      <c r="W404" s="332"/>
      <c r="X404" s="332"/>
      <c r="Y404" s="332"/>
    </row>
    <row r="405" spans="2:25" x14ac:dyDescent="0.3">
      <c r="B405" s="333">
        <v>20</v>
      </c>
      <c r="C405" s="333"/>
      <c r="D405" s="333"/>
      <c r="E405" s="333"/>
      <c r="F405" s="333"/>
      <c r="G405" s="333"/>
      <c r="H405" s="333"/>
      <c r="I405" s="333"/>
      <c r="J405" s="333"/>
      <c r="K405" s="333"/>
      <c r="L405" s="332"/>
      <c r="M405" s="333">
        <f t="shared" si="79"/>
        <v>10</v>
      </c>
      <c r="N405" s="333" t="e">
        <f t="shared" si="80"/>
        <v>#DIV/0!</v>
      </c>
      <c r="O405" s="333" t="e">
        <f t="shared" si="81"/>
        <v>#DIV/0!</v>
      </c>
      <c r="P405" s="334" t="e">
        <f t="shared" si="82"/>
        <v>#DIV/0!</v>
      </c>
      <c r="Q405" s="334" t="e">
        <f t="shared" si="83"/>
        <v>#DIV/0!</v>
      </c>
      <c r="R405" s="332"/>
      <c r="S405" s="332"/>
      <c r="T405" s="332"/>
      <c r="U405" s="332"/>
      <c r="V405" s="332"/>
      <c r="W405" s="332"/>
      <c r="X405" s="332"/>
      <c r="Y405" s="332"/>
    </row>
    <row r="406" spans="2:25" x14ac:dyDescent="0.3">
      <c r="B406" s="333">
        <v>20</v>
      </c>
      <c r="C406" s="333"/>
      <c r="D406" s="333"/>
      <c r="E406" s="333"/>
      <c r="F406" s="333"/>
      <c r="G406" s="333"/>
      <c r="H406" s="333"/>
      <c r="I406" s="333"/>
      <c r="J406" s="333"/>
      <c r="K406" s="333"/>
      <c r="L406" s="332"/>
      <c r="M406" s="333">
        <f t="shared" si="79"/>
        <v>10</v>
      </c>
      <c r="N406" s="333" t="e">
        <f t="shared" si="80"/>
        <v>#DIV/0!</v>
      </c>
      <c r="O406" s="333" t="e">
        <f t="shared" si="81"/>
        <v>#DIV/0!</v>
      </c>
      <c r="P406" s="334" t="e">
        <f t="shared" si="82"/>
        <v>#DIV/0!</v>
      </c>
      <c r="Q406" s="334" t="e">
        <f t="shared" si="83"/>
        <v>#DIV/0!</v>
      </c>
      <c r="R406" s="332"/>
      <c r="S406" s="332"/>
      <c r="T406" s="332"/>
      <c r="U406" s="332"/>
      <c r="V406" s="332"/>
      <c r="W406" s="332"/>
      <c r="X406" s="332"/>
      <c r="Y406" s="332"/>
    </row>
    <row r="407" spans="2:25" x14ac:dyDescent="0.3">
      <c r="B407" s="333">
        <v>20</v>
      </c>
      <c r="C407" s="333"/>
      <c r="D407" s="333"/>
      <c r="E407" s="333"/>
      <c r="F407" s="333"/>
      <c r="G407" s="333"/>
      <c r="H407" s="333"/>
      <c r="I407" s="333"/>
      <c r="J407" s="333"/>
      <c r="K407" s="333"/>
      <c r="L407" s="332"/>
      <c r="M407" s="333">
        <f t="shared" si="79"/>
        <v>10</v>
      </c>
      <c r="N407" s="333" t="e">
        <f t="shared" si="80"/>
        <v>#DIV/0!</v>
      </c>
      <c r="O407" s="333" t="e">
        <f t="shared" si="81"/>
        <v>#DIV/0!</v>
      </c>
      <c r="P407" s="334" t="e">
        <f t="shared" si="82"/>
        <v>#DIV/0!</v>
      </c>
      <c r="Q407" s="334" t="e">
        <f t="shared" si="83"/>
        <v>#DIV/0!</v>
      </c>
      <c r="R407" s="332"/>
      <c r="S407" s="332"/>
      <c r="T407" s="332"/>
      <c r="U407" s="332"/>
      <c r="V407" s="332"/>
      <c r="W407" s="332"/>
      <c r="X407" s="332"/>
      <c r="Y407" s="332"/>
    </row>
    <row r="408" spans="2:25" x14ac:dyDescent="0.3">
      <c r="B408" s="333">
        <v>20</v>
      </c>
      <c r="C408" s="333"/>
      <c r="D408" s="333"/>
      <c r="E408" s="333"/>
      <c r="F408" s="333"/>
      <c r="G408" s="333"/>
      <c r="H408" s="333"/>
      <c r="I408" s="333"/>
      <c r="J408" s="333"/>
      <c r="K408" s="333"/>
      <c r="L408" s="332"/>
      <c r="M408" s="333">
        <f t="shared" si="79"/>
        <v>10</v>
      </c>
      <c r="N408" s="333" t="e">
        <f t="shared" si="80"/>
        <v>#DIV/0!</v>
      </c>
      <c r="O408" s="333" t="e">
        <f t="shared" si="81"/>
        <v>#DIV/0!</v>
      </c>
      <c r="P408" s="334" t="e">
        <f t="shared" si="82"/>
        <v>#DIV/0!</v>
      </c>
      <c r="Q408" s="334" t="e">
        <f t="shared" si="83"/>
        <v>#DIV/0!</v>
      </c>
      <c r="R408" s="332"/>
      <c r="S408" s="332"/>
      <c r="T408" s="332"/>
      <c r="U408" s="332"/>
      <c r="V408" s="332"/>
      <c r="W408" s="332"/>
      <c r="X408" s="332"/>
      <c r="Y408" s="332"/>
    </row>
    <row r="409" spans="2:25" x14ac:dyDescent="0.3">
      <c r="B409" s="333">
        <v>20</v>
      </c>
      <c r="C409" s="333"/>
      <c r="D409" s="333"/>
      <c r="E409" s="333"/>
      <c r="F409" s="333"/>
      <c r="G409" s="333"/>
      <c r="H409" s="333"/>
      <c r="I409" s="333"/>
      <c r="J409" s="333"/>
      <c r="K409" s="333"/>
      <c r="L409" s="332"/>
      <c r="M409" s="333">
        <f t="shared" si="79"/>
        <v>10</v>
      </c>
      <c r="N409" s="333" t="e">
        <f t="shared" si="80"/>
        <v>#DIV/0!</v>
      </c>
      <c r="O409" s="333" t="e">
        <f t="shared" si="81"/>
        <v>#DIV/0!</v>
      </c>
      <c r="P409" s="334" t="e">
        <f t="shared" si="82"/>
        <v>#DIV/0!</v>
      </c>
      <c r="Q409" s="334" t="e">
        <f t="shared" si="83"/>
        <v>#DIV/0!</v>
      </c>
      <c r="R409" s="332"/>
      <c r="S409" s="332"/>
      <c r="T409" s="332"/>
      <c r="U409" s="332"/>
      <c r="V409" s="332"/>
      <c r="W409" s="332"/>
      <c r="X409" s="332"/>
      <c r="Y409" s="332"/>
    </row>
    <row r="410" spans="2:25" x14ac:dyDescent="0.3">
      <c r="B410" s="333">
        <v>20</v>
      </c>
      <c r="C410" s="333"/>
      <c r="D410" s="333"/>
      <c r="E410" s="333"/>
      <c r="F410" s="333"/>
      <c r="G410" s="333"/>
      <c r="H410" s="333"/>
      <c r="I410" s="333"/>
      <c r="J410" s="333"/>
      <c r="K410" s="333"/>
      <c r="L410" s="332"/>
      <c r="M410" s="333">
        <f t="shared" si="79"/>
        <v>10</v>
      </c>
      <c r="N410" s="333" t="e">
        <f t="shared" si="80"/>
        <v>#DIV/0!</v>
      </c>
      <c r="O410" s="333" t="e">
        <f t="shared" si="81"/>
        <v>#DIV/0!</v>
      </c>
      <c r="P410" s="334" t="e">
        <f t="shared" si="82"/>
        <v>#DIV/0!</v>
      </c>
      <c r="Q410" s="334" t="e">
        <f t="shared" si="83"/>
        <v>#DIV/0!</v>
      </c>
      <c r="R410" s="332"/>
      <c r="S410" s="332"/>
      <c r="T410" s="332"/>
      <c r="U410" s="332"/>
      <c r="V410" s="332"/>
      <c r="W410" s="332"/>
      <c r="X410" s="332"/>
      <c r="Y410" s="332"/>
    </row>
    <row r="411" spans="2:25" x14ac:dyDescent="0.3">
      <c r="B411" s="333">
        <v>20</v>
      </c>
      <c r="C411" s="333"/>
      <c r="D411" s="333"/>
      <c r="E411" s="333"/>
      <c r="F411" s="333"/>
      <c r="G411" s="333"/>
      <c r="H411" s="333"/>
      <c r="I411" s="333"/>
      <c r="J411" s="333"/>
      <c r="K411" s="333"/>
      <c r="L411" s="332"/>
      <c r="M411" s="333">
        <f t="shared" si="79"/>
        <v>10</v>
      </c>
      <c r="N411" s="333" t="e">
        <f t="shared" si="80"/>
        <v>#DIV/0!</v>
      </c>
      <c r="O411" s="333" t="e">
        <f t="shared" si="81"/>
        <v>#DIV/0!</v>
      </c>
      <c r="P411" s="334" t="e">
        <f t="shared" si="82"/>
        <v>#DIV/0!</v>
      </c>
      <c r="Q411" s="334" t="e">
        <f t="shared" si="83"/>
        <v>#DIV/0!</v>
      </c>
      <c r="R411" s="332"/>
      <c r="S411" s="332"/>
      <c r="T411" s="332"/>
      <c r="U411" s="332"/>
      <c r="V411" s="332"/>
      <c r="W411" s="332"/>
      <c r="X411" s="332"/>
      <c r="Y411" s="332"/>
    </row>
    <row r="412" spans="2:25" x14ac:dyDescent="0.3">
      <c r="B412" s="333">
        <v>20</v>
      </c>
      <c r="C412" s="333"/>
      <c r="D412" s="333"/>
      <c r="E412" s="333"/>
      <c r="F412" s="333"/>
      <c r="G412" s="333"/>
      <c r="H412" s="333"/>
      <c r="I412" s="333"/>
      <c r="J412" s="333"/>
      <c r="K412" s="333"/>
      <c r="L412" s="332"/>
      <c r="M412" s="333">
        <f t="shared" si="79"/>
        <v>10</v>
      </c>
      <c r="N412" s="333" t="e">
        <f t="shared" si="80"/>
        <v>#DIV/0!</v>
      </c>
      <c r="O412" s="333" t="e">
        <f t="shared" si="81"/>
        <v>#DIV/0!</v>
      </c>
      <c r="P412" s="334" t="e">
        <f t="shared" si="82"/>
        <v>#DIV/0!</v>
      </c>
      <c r="Q412" s="334" t="e">
        <f t="shared" si="83"/>
        <v>#DIV/0!</v>
      </c>
      <c r="R412" s="332"/>
      <c r="S412" s="332"/>
      <c r="T412" s="332"/>
      <c r="U412" s="332"/>
      <c r="V412" s="332"/>
      <c r="W412" s="332"/>
      <c r="X412" s="332"/>
      <c r="Y412" s="332"/>
    </row>
    <row r="413" spans="2:25" x14ac:dyDescent="0.3">
      <c r="B413" s="333">
        <v>20</v>
      </c>
      <c r="C413" s="333"/>
      <c r="D413" s="333"/>
      <c r="E413" s="333"/>
      <c r="F413" s="333"/>
      <c r="G413" s="333"/>
      <c r="H413" s="333"/>
      <c r="I413" s="333"/>
      <c r="J413" s="333"/>
      <c r="K413" s="333"/>
      <c r="L413" s="332"/>
      <c r="M413" s="333">
        <f t="shared" si="79"/>
        <v>10</v>
      </c>
      <c r="N413" s="333" t="e">
        <f t="shared" si="80"/>
        <v>#DIV/0!</v>
      </c>
      <c r="O413" s="333" t="e">
        <f t="shared" si="81"/>
        <v>#DIV/0!</v>
      </c>
      <c r="P413" s="334" t="e">
        <f t="shared" si="82"/>
        <v>#DIV/0!</v>
      </c>
      <c r="Q413" s="334" t="e">
        <f t="shared" si="83"/>
        <v>#DIV/0!</v>
      </c>
      <c r="R413" s="332"/>
      <c r="S413" s="332"/>
      <c r="T413" s="332"/>
      <c r="U413" s="332"/>
      <c r="V413" s="332"/>
      <c r="W413" s="332"/>
      <c r="X413" s="332"/>
      <c r="Y413" s="332"/>
    </row>
    <row r="414" spans="2:25" x14ac:dyDescent="0.3">
      <c r="B414" s="333">
        <v>20</v>
      </c>
      <c r="C414" s="333"/>
      <c r="D414" s="333"/>
      <c r="E414" s="333"/>
      <c r="F414" s="333"/>
      <c r="G414" s="333"/>
      <c r="H414" s="333"/>
      <c r="I414" s="333"/>
      <c r="J414" s="333"/>
      <c r="K414" s="333"/>
      <c r="L414" s="332"/>
      <c r="M414" s="333">
        <f t="shared" si="79"/>
        <v>10</v>
      </c>
      <c r="N414" s="333" t="e">
        <f t="shared" si="80"/>
        <v>#DIV/0!</v>
      </c>
      <c r="O414" s="333" t="e">
        <f t="shared" si="81"/>
        <v>#DIV/0!</v>
      </c>
      <c r="P414" s="334" t="e">
        <f t="shared" si="82"/>
        <v>#DIV/0!</v>
      </c>
      <c r="Q414" s="334" t="e">
        <f t="shared" si="83"/>
        <v>#DIV/0!</v>
      </c>
      <c r="R414" s="332"/>
      <c r="S414" s="332"/>
      <c r="T414" s="332"/>
      <c r="U414" s="332"/>
      <c r="V414" s="332"/>
      <c r="W414" s="332"/>
      <c r="X414" s="332"/>
      <c r="Y414" s="332"/>
    </row>
    <row r="415" spans="2:25" x14ac:dyDescent="0.3">
      <c r="B415" s="333">
        <v>20</v>
      </c>
      <c r="C415" s="333"/>
      <c r="D415" s="333"/>
      <c r="E415" s="333"/>
      <c r="F415" s="333"/>
      <c r="G415" s="333"/>
      <c r="H415" s="333"/>
      <c r="I415" s="333"/>
      <c r="J415" s="333"/>
      <c r="K415" s="333"/>
      <c r="L415" s="332"/>
      <c r="M415" s="333">
        <f t="shared" si="79"/>
        <v>10</v>
      </c>
      <c r="N415" s="333" t="e">
        <f t="shared" si="80"/>
        <v>#DIV/0!</v>
      </c>
      <c r="O415" s="333" t="e">
        <f t="shared" si="81"/>
        <v>#DIV/0!</v>
      </c>
      <c r="P415" s="334" t="e">
        <f t="shared" si="82"/>
        <v>#DIV/0!</v>
      </c>
      <c r="Q415" s="334" t="e">
        <f t="shared" si="83"/>
        <v>#DIV/0!</v>
      </c>
      <c r="R415" s="332"/>
      <c r="S415" s="332"/>
      <c r="T415" s="332"/>
      <c r="U415" s="332"/>
      <c r="V415" s="332"/>
      <c r="W415" s="332"/>
      <c r="X415" s="332"/>
      <c r="Y415" s="332"/>
    </row>
    <row r="416" spans="2:25" x14ac:dyDescent="0.3">
      <c r="B416" s="333">
        <v>20</v>
      </c>
      <c r="C416" s="333"/>
      <c r="D416" s="333"/>
      <c r="E416" s="333"/>
      <c r="F416" s="333"/>
      <c r="G416" s="333"/>
      <c r="H416" s="333"/>
      <c r="I416" s="333"/>
      <c r="J416" s="333"/>
      <c r="K416" s="333"/>
      <c r="L416" s="332"/>
      <c r="M416" s="333">
        <f t="shared" si="79"/>
        <v>10</v>
      </c>
      <c r="N416" s="333" t="e">
        <f t="shared" si="80"/>
        <v>#DIV/0!</v>
      </c>
      <c r="O416" s="333" t="e">
        <f t="shared" si="81"/>
        <v>#DIV/0!</v>
      </c>
      <c r="P416" s="334" t="e">
        <f t="shared" si="82"/>
        <v>#DIV/0!</v>
      </c>
      <c r="Q416" s="334" t="e">
        <f t="shared" si="83"/>
        <v>#DIV/0!</v>
      </c>
      <c r="R416" s="332"/>
      <c r="S416" s="332"/>
      <c r="T416" s="332"/>
      <c r="U416" s="332"/>
      <c r="V416" s="332"/>
      <c r="W416" s="332"/>
      <c r="X416" s="332"/>
      <c r="Y416" s="332"/>
    </row>
    <row r="417" spans="2:25" x14ac:dyDescent="0.3">
      <c r="B417" s="333">
        <v>40</v>
      </c>
      <c r="C417" s="333"/>
      <c r="D417" s="333"/>
      <c r="E417" s="333"/>
      <c r="F417" s="333"/>
      <c r="G417" s="333"/>
      <c r="H417" s="333"/>
      <c r="I417" s="333"/>
      <c r="J417" s="333"/>
      <c r="K417" s="333"/>
      <c r="L417" s="332"/>
      <c r="M417" s="333">
        <f t="shared" si="79"/>
        <v>20</v>
      </c>
      <c r="N417" s="333" t="e">
        <f t="shared" si="80"/>
        <v>#DIV/0!</v>
      </c>
      <c r="O417" s="333" t="e">
        <f t="shared" si="81"/>
        <v>#DIV/0!</v>
      </c>
      <c r="P417" s="334" t="e">
        <f t="shared" si="82"/>
        <v>#DIV/0!</v>
      </c>
      <c r="Q417" s="334" t="e">
        <f t="shared" si="83"/>
        <v>#DIV/0!</v>
      </c>
      <c r="R417" s="332"/>
      <c r="S417" s="332"/>
      <c r="T417" s="332"/>
      <c r="U417" s="332"/>
      <c r="V417" s="332"/>
      <c r="W417" s="332"/>
      <c r="X417" s="332"/>
      <c r="Y417" s="332"/>
    </row>
    <row r="418" spans="2:25" x14ac:dyDescent="0.3">
      <c r="B418" s="333">
        <v>40</v>
      </c>
      <c r="C418" s="333"/>
      <c r="D418" s="333"/>
      <c r="E418" s="333"/>
      <c r="F418" s="333"/>
      <c r="G418" s="333"/>
      <c r="H418" s="333"/>
      <c r="I418" s="333"/>
      <c r="J418" s="333"/>
      <c r="K418" s="333"/>
      <c r="L418" s="332"/>
      <c r="M418" s="333">
        <f t="shared" si="79"/>
        <v>20</v>
      </c>
      <c r="N418" s="333" t="e">
        <f t="shared" si="80"/>
        <v>#DIV/0!</v>
      </c>
      <c r="O418" s="333" t="e">
        <f t="shared" si="81"/>
        <v>#DIV/0!</v>
      </c>
      <c r="P418" s="334" t="e">
        <f t="shared" si="82"/>
        <v>#DIV/0!</v>
      </c>
      <c r="Q418" s="334" t="e">
        <f t="shared" si="83"/>
        <v>#DIV/0!</v>
      </c>
      <c r="R418" s="332"/>
      <c r="S418" s="332"/>
      <c r="T418" s="332"/>
      <c r="U418" s="332"/>
      <c r="V418" s="332"/>
      <c r="W418" s="332"/>
      <c r="X418" s="332"/>
      <c r="Y418" s="332"/>
    </row>
    <row r="419" spans="2:25" x14ac:dyDescent="0.3">
      <c r="B419" s="333">
        <v>40</v>
      </c>
      <c r="C419" s="333"/>
      <c r="D419" s="333"/>
      <c r="E419" s="333"/>
      <c r="F419" s="333"/>
      <c r="G419" s="333"/>
      <c r="H419" s="333"/>
      <c r="I419" s="333"/>
      <c r="J419" s="333"/>
      <c r="K419" s="333"/>
      <c r="L419" s="332"/>
      <c r="M419" s="333">
        <f t="shared" si="79"/>
        <v>20</v>
      </c>
      <c r="N419" s="333" t="e">
        <f t="shared" si="80"/>
        <v>#DIV/0!</v>
      </c>
      <c r="O419" s="333" t="e">
        <f t="shared" si="81"/>
        <v>#DIV/0!</v>
      </c>
      <c r="P419" s="334" t="e">
        <f t="shared" si="82"/>
        <v>#DIV/0!</v>
      </c>
      <c r="Q419" s="334" t="e">
        <f t="shared" si="83"/>
        <v>#DIV/0!</v>
      </c>
      <c r="R419" s="332"/>
      <c r="S419" s="332"/>
      <c r="T419" s="332"/>
      <c r="U419" s="332"/>
      <c r="V419" s="332"/>
      <c r="W419" s="332"/>
      <c r="X419" s="332"/>
      <c r="Y419" s="332"/>
    </row>
    <row r="420" spans="2:25" x14ac:dyDescent="0.3">
      <c r="B420" s="333">
        <v>40</v>
      </c>
      <c r="C420" s="333"/>
      <c r="D420" s="333"/>
      <c r="E420" s="333"/>
      <c r="F420" s="333"/>
      <c r="G420" s="333"/>
      <c r="H420" s="333"/>
      <c r="I420" s="333"/>
      <c r="J420" s="333"/>
      <c r="K420" s="333"/>
      <c r="L420" s="332"/>
      <c r="M420" s="333">
        <f t="shared" si="79"/>
        <v>20</v>
      </c>
      <c r="N420" s="333" t="e">
        <f t="shared" si="80"/>
        <v>#DIV/0!</v>
      </c>
      <c r="O420" s="333" t="e">
        <f t="shared" si="81"/>
        <v>#DIV/0!</v>
      </c>
      <c r="P420" s="334" t="e">
        <f t="shared" si="82"/>
        <v>#DIV/0!</v>
      </c>
      <c r="Q420" s="334" t="e">
        <f t="shared" si="83"/>
        <v>#DIV/0!</v>
      </c>
      <c r="R420" s="332"/>
      <c r="S420" s="332"/>
      <c r="T420" s="332"/>
      <c r="U420" s="332"/>
      <c r="V420" s="332"/>
      <c r="W420" s="332"/>
      <c r="X420" s="332"/>
      <c r="Y420" s="332"/>
    </row>
    <row r="421" spans="2:25" x14ac:dyDescent="0.3">
      <c r="B421" s="333">
        <v>40</v>
      </c>
      <c r="C421" s="333"/>
      <c r="D421" s="333"/>
      <c r="E421" s="333"/>
      <c r="F421" s="333"/>
      <c r="G421" s="333"/>
      <c r="H421" s="333"/>
      <c r="I421" s="333"/>
      <c r="J421" s="333"/>
      <c r="K421" s="333"/>
      <c r="L421" s="332"/>
      <c r="M421" s="333">
        <f t="shared" ref="M421:M476" si="84">B421/2</f>
        <v>20</v>
      </c>
      <c r="N421" s="333" t="e">
        <f t="shared" si="80"/>
        <v>#DIV/0!</v>
      </c>
      <c r="O421" s="333" t="e">
        <f t="shared" si="81"/>
        <v>#DIV/0!</v>
      </c>
      <c r="P421" s="334" t="e">
        <f t="shared" si="82"/>
        <v>#DIV/0!</v>
      </c>
      <c r="Q421" s="334" t="e">
        <f t="shared" si="83"/>
        <v>#DIV/0!</v>
      </c>
      <c r="R421" s="332"/>
      <c r="S421" s="332"/>
      <c r="T421" s="332"/>
      <c r="U421" s="332"/>
      <c r="V421" s="332"/>
      <c r="W421" s="332"/>
      <c r="X421" s="332"/>
      <c r="Y421" s="332"/>
    </row>
    <row r="422" spans="2:25" x14ac:dyDescent="0.3">
      <c r="B422" s="333">
        <v>40</v>
      </c>
      <c r="C422" s="333"/>
      <c r="D422" s="333"/>
      <c r="E422" s="333"/>
      <c r="F422" s="333"/>
      <c r="G422" s="333"/>
      <c r="H422" s="333"/>
      <c r="I422" s="333"/>
      <c r="J422" s="333"/>
      <c r="K422" s="333"/>
      <c r="L422" s="332"/>
      <c r="M422" s="333">
        <f t="shared" si="84"/>
        <v>20</v>
      </c>
      <c r="N422" s="333" t="e">
        <f t="shared" si="80"/>
        <v>#DIV/0!</v>
      </c>
      <c r="O422" s="333" t="e">
        <f t="shared" si="81"/>
        <v>#DIV/0!</v>
      </c>
      <c r="P422" s="334" t="e">
        <f t="shared" si="82"/>
        <v>#DIV/0!</v>
      </c>
      <c r="Q422" s="334" t="e">
        <f t="shared" si="83"/>
        <v>#DIV/0!</v>
      </c>
      <c r="R422" s="332"/>
      <c r="S422" s="332"/>
      <c r="T422" s="332"/>
      <c r="U422" s="332"/>
      <c r="V422" s="332"/>
      <c r="W422" s="332"/>
      <c r="X422" s="332"/>
      <c r="Y422" s="332"/>
    </row>
    <row r="423" spans="2:25" x14ac:dyDescent="0.3">
      <c r="B423" s="333">
        <v>40</v>
      </c>
      <c r="C423" s="333"/>
      <c r="D423" s="333"/>
      <c r="E423" s="333"/>
      <c r="F423" s="333"/>
      <c r="G423" s="333"/>
      <c r="H423" s="333"/>
      <c r="I423" s="333"/>
      <c r="J423" s="333"/>
      <c r="K423" s="333"/>
      <c r="L423" s="332"/>
      <c r="M423" s="333">
        <f t="shared" si="84"/>
        <v>20</v>
      </c>
      <c r="N423" s="333" t="e">
        <f t="shared" ref="N423:N476" si="85">(SUM(C423:E423)-SUM($C$190:$E$190))*$F$71</f>
        <v>#DIV/0!</v>
      </c>
      <c r="O423" s="333" t="e">
        <f t="shared" ref="O423:O476" si="86">(SUM(F423:H423)-SUM($F$190:$H$190))*$G$71</f>
        <v>#DIV/0!</v>
      </c>
      <c r="P423" s="334" t="e">
        <f t="shared" ref="P423:P476" si="87">N423-M423</f>
        <v>#DIV/0!</v>
      </c>
      <c r="Q423" s="334" t="e">
        <f t="shared" ref="Q423:Q476" si="88">O423-M423</f>
        <v>#DIV/0!</v>
      </c>
      <c r="R423" s="332"/>
      <c r="S423" s="332"/>
      <c r="T423" s="332"/>
      <c r="U423" s="332"/>
      <c r="V423" s="332"/>
      <c r="W423" s="332"/>
      <c r="X423" s="332"/>
      <c r="Y423" s="332"/>
    </row>
    <row r="424" spans="2:25" x14ac:dyDescent="0.3">
      <c r="B424" s="333">
        <v>40</v>
      </c>
      <c r="C424" s="333"/>
      <c r="D424" s="333"/>
      <c r="E424" s="333"/>
      <c r="F424" s="333"/>
      <c r="G424" s="333"/>
      <c r="H424" s="333"/>
      <c r="I424" s="333"/>
      <c r="J424" s="333"/>
      <c r="K424" s="333"/>
      <c r="L424" s="332"/>
      <c r="M424" s="333">
        <f t="shared" si="84"/>
        <v>20</v>
      </c>
      <c r="N424" s="333" t="e">
        <f t="shared" si="85"/>
        <v>#DIV/0!</v>
      </c>
      <c r="O424" s="333" t="e">
        <f t="shared" si="86"/>
        <v>#DIV/0!</v>
      </c>
      <c r="P424" s="334" t="e">
        <f t="shared" si="87"/>
        <v>#DIV/0!</v>
      </c>
      <c r="Q424" s="334" t="e">
        <f t="shared" si="88"/>
        <v>#DIV/0!</v>
      </c>
      <c r="R424" s="332"/>
      <c r="S424" s="332"/>
      <c r="T424" s="332"/>
      <c r="U424" s="332"/>
      <c r="V424" s="332"/>
      <c r="W424" s="332"/>
      <c r="X424" s="332"/>
      <c r="Y424" s="332"/>
    </row>
    <row r="425" spans="2:25" x14ac:dyDescent="0.3">
      <c r="B425" s="333">
        <v>40</v>
      </c>
      <c r="C425" s="333"/>
      <c r="D425" s="333"/>
      <c r="E425" s="333"/>
      <c r="F425" s="333"/>
      <c r="G425" s="333"/>
      <c r="H425" s="333"/>
      <c r="I425" s="333"/>
      <c r="J425" s="333"/>
      <c r="K425" s="333"/>
      <c r="L425" s="332"/>
      <c r="M425" s="333">
        <f t="shared" si="84"/>
        <v>20</v>
      </c>
      <c r="N425" s="333" t="e">
        <f t="shared" si="85"/>
        <v>#DIV/0!</v>
      </c>
      <c r="O425" s="333" t="e">
        <f t="shared" si="86"/>
        <v>#DIV/0!</v>
      </c>
      <c r="P425" s="334" t="e">
        <f t="shared" si="87"/>
        <v>#DIV/0!</v>
      </c>
      <c r="Q425" s="334" t="e">
        <f t="shared" si="88"/>
        <v>#DIV/0!</v>
      </c>
      <c r="R425" s="332"/>
      <c r="S425" s="332"/>
      <c r="T425" s="332"/>
      <c r="U425" s="332"/>
      <c r="V425" s="332"/>
      <c r="W425" s="332"/>
      <c r="X425" s="332"/>
      <c r="Y425" s="332"/>
    </row>
    <row r="426" spans="2:25" x14ac:dyDescent="0.3">
      <c r="B426" s="333">
        <v>40</v>
      </c>
      <c r="C426" s="333"/>
      <c r="D426" s="333"/>
      <c r="E426" s="333"/>
      <c r="F426" s="333"/>
      <c r="G426" s="333"/>
      <c r="H426" s="333"/>
      <c r="I426" s="333"/>
      <c r="J426" s="333"/>
      <c r="K426" s="333"/>
      <c r="L426" s="332"/>
      <c r="M426" s="333">
        <f t="shared" si="84"/>
        <v>20</v>
      </c>
      <c r="N426" s="333" t="e">
        <f t="shared" si="85"/>
        <v>#DIV/0!</v>
      </c>
      <c r="O426" s="333" t="e">
        <f t="shared" si="86"/>
        <v>#DIV/0!</v>
      </c>
      <c r="P426" s="334" t="e">
        <f t="shared" si="87"/>
        <v>#DIV/0!</v>
      </c>
      <c r="Q426" s="334" t="e">
        <f t="shared" si="88"/>
        <v>#DIV/0!</v>
      </c>
      <c r="R426" s="332"/>
      <c r="S426" s="332"/>
      <c r="T426" s="332"/>
      <c r="U426" s="332"/>
      <c r="V426" s="332"/>
      <c r="W426" s="332"/>
      <c r="X426" s="332"/>
      <c r="Y426" s="332"/>
    </row>
    <row r="427" spans="2:25" x14ac:dyDescent="0.3">
      <c r="B427" s="333">
        <v>40</v>
      </c>
      <c r="C427" s="333"/>
      <c r="D427" s="333"/>
      <c r="E427" s="333"/>
      <c r="F427" s="333"/>
      <c r="G427" s="333"/>
      <c r="H427" s="333"/>
      <c r="I427" s="333"/>
      <c r="J427" s="333"/>
      <c r="K427" s="333"/>
      <c r="L427" s="332"/>
      <c r="M427" s="333">
        <f t="shared" si="84"/>
        <v>20</v>
      </c>
      <c r="N427" s="333" t="e">
        <f t="shared" si="85"/>
        <v>#DIV/0!</v>
      </c>
      <c r="O427" s="333" t="e">
        <f t="shared" si="86"/>
        <v>#DIV/0!</v>
      </c>
      <c r="P427" s="334" t="e">
        <f t="shared" si="87"/>
        <v>#DIV/0!</v>
      </c>
      <c r="Q427" s="334" t="e">
        <f t="shared" si="88"/>
        <v>#DIV/0!</v>
      </c>
      <c r="R427" s="332"/>
      <c r="S427" s="332"/>
      <c r="T427" s="332"/>
      <c r="U427" s="332"/>
      <c r="V427" s="332"/>
      <c r="W427" s="332"/>
      <c r="X427" s="332"/>
      <c r="Y427" s="332"/>
    </row>
    <row r="428" spans="2:25" x14ac:dyDescent="0.3">
      <c r="B428" s="333">
        <v>40</v>
      </c>
      <c r="C428" s="333"/>
      <c r="D428" s="333"/>
      <c r="E428" s="333"/>
      <c r="F428" s="333"/>
      <c r="G428" s="333"/>
      <c r="H428" s="333"/>
      <c r="I428" s="333"/>
      <c r="J428" s="333"/>
      <c r="K428" s="333"/>
      <c r="L428" s="332"/>
      <c r="M428" s="333">
        <f t="shared" si="84"/>
        <v>20</v>
      </c>
      <c r="N428" s="333" t="e">
        <f t="shared" si="85"/>
        <v>#DIV/0!</v>
      </c>
      <c r="O428" s="333" t="e">
        <f t="shared" si="86"/>
        <v>#DIV/0!</v>
      </c>
      <c r="P428" s="334" t="e">
        <f t="shared" si="87"/>
        <v>#DIV/0!</v>
      </c>
      <c r="Q428" s="334" t="e">
        <f t="shared" si="88"/>
        <v>#DIV/0!</v>
      </c>
      <c r="R428" s="332"/>
      <c r="S428" s="332"/>
      <c r="T428" s="332"/>
      <c r="U428" s="332"/>
      <c r="V428" s="332"/>
      <c r="W428" s="332"/>
      <c r="X428" s="332"/>
      <c r="Y428" s="332"/>
    </row>
    <row r="429" spans="2:25" x14ac:dyDescent="0.3">
      <c r="B429" s="333">
        <v>40</v>
      </c>
      <c r="C429" s="333"/>
      <c r="D429" s="333"/>
      <c r="E429" s="333"/>
      <c r="F429" s="333"/>
      <c r="G429" s="333"/>
      <c r="H429" s="333"/>
      <c r="I429" s="333"/>
      <c r="J429" s="333"/>
      <c r="K429" s="333"/>
      <c r="L429" s="332"/>
      <c r="M429" s="333">
        <f t="shared" si="84"/>
        <v>20</v>
      </c>
      <c r="N429" s="333" t="e">
        <f t="shared" si="85"/>
        <v>#DIV/0!</v>
      </c>
      <c r="O429" s="333" t="e">
        <f t="shared" si="86"/>
        <v>#DIV/0!</v>
      </c>
      <c r="P429" s="334" t="e">
        <f t="shared" si="87"/>
        <v>#DIV/0!</v>
      </c>
      <c r="Q429" s="334" t="e">
        <f t="shared" si="88"/>
        <v>#DIV/0!</v>
      </c>
      <c r="R429" s="332"/>
      <c r="S429" s="332"/>
      <c r="T429" s="332"/>
      <c r="U429" s="332"/>
      <c r="V429" s="332"/>
      <c r="W429" s="332"/>
      <c r="X429" s="332"/>
      <c r="Y429" s="332"/>
    </row>
    <row r="430" spans="2:25" x14ac:dyDescent="0.3">
      <c r="B430" s="333">
        <v>40</v>
      </c>
      <c r="C430" s="333"/>
      <c r="D430" s="333"/>
      <c r="E430" s="333"/>
      <c r="F430" s="333"/>
      <c r="G430" s="333"/>
      <c r="H430" s="333"/>
      <c r="I430" s="333"/>
      <c r="J430" s="333"/>
      <c r="K430" s="333"/>
      <c r="L430" s="332"/>
      <c r="M430" s="333">
        <f t="shared" si="84"/>
        <v>20</v>
      </c>
      <c r="N430" s="333" t="e">
        <f t="shared" si="85"/>
        <v>#DIV/0!</v>
      </c>
      <c r="O430" s="333" t="e">
        <f t="shared" si="86"/>
        <v>#DIV/0!</v>
      </c>
      <c r="P430" s="334" t="e">
        <f t="shared" si="87"/>
        <v>#DIV/0!</v>
      </c>
      <c r="Q430" s="334" t="e">
        <f t="shared" si="88"/>
        <v>#DIV/0!</v>
      </c>
      <c r="R430" s="332"/>
      <c r="S430" s="332"/>
      <c r="T430" s="332"/>
      <c r="U430" s="332"/>
      <c r="V430" s="332"/>
      <c r="W430" s="332"/>
      <c r="X430" s="332"/>
      <c r="Y430" s="332"/>
    </row>
    <row r="431" spans="2:25" x14ac:dyDescent="0.3">
      <c r="B431" s="333">
        <v>40</v>
      </c>
      <c r="C431" s="333"/>
      <c r="D431" s="333"/>
      <c r="E431" s="333"/>
      <c r="F431" s="333"/>
      <c r="G431" s="333"/>
      <c r="H431" s="333"/>
      <c r="I431" s="333"/>
      <c r="J431" s="333"/>
      <c r="K431" s="333"/>
      <c r="L431" s="332"/>
      <c r="M431" s="333">
        <f t="shared" si="84"/>
        <v>20</v>
      </c>
      <c r="N431" s="333" t="e">
        <f t="shared" si="85"/>
        <v>#DIV/0!</v>
      </c>
      <c r="O431" s="333" t="e">
        <f t="shared" si="86"/>
        <v>#DIV/0!</v>
      </c>
      <c r="P431" s="334" t="e">
        <f t="shared" si="87"/>
        <v>#DIV/0!</v>
      </c>
      <c r="Q431" s="334" t="e">
        <f t="shared" si="88"/>
        <v>#DIV/0!</v>
      </c>
      <c r="R431" s="332"/>
      <c r="S431" s="332"/>
      <c r="T431" s="332"/>
      <c r="U431" s="332"/>
      <c r="V431" s="332"/>
      <c r="W431" s="332"/>
      <c r="X431" s="332"/>
      <c r="Y431" s="332"/>
    </row>
    <row r="432" spans="2:25" x14ac:dyDescent="0.3">
      <c r="B432" s="333">
        <v>40</v>
      </c>
      <c r="C432" s="333"/>
      <c r="D432" s="333"/>
      <c r="E432" s="333"/>
      <c r="F432" s="333"/>
      <c r="G432" s="333"/>
      <c r="H432" s="333"/>
      <c r="I432" s="333"/>
      <c r="J432" s="333"/>
      <c r="K432" s="333"/>
      <c r="L432" s="332"/>
      <c r="M432" s="333">
        <f t="shared" si="84"/>
        <v>20</v>
      </c>
      <c r="N432" s="333" t="e">
        <f t="shared" si="85"/>
        <v>#DIV/0!</v>
      </c>
      <c r="O432" s="333" t="e">
        <f t="shared" si="86"/>
        <v>#DIV/0!</v>
      </c>
      <c r="P432" s="334" t="e">
        <f t="shared" si="87"/>
        <v>#DIV/0!</v>
      </c>
      <c r="Q432" s="334" t="e">
        <f t="shared" si="88"/>
        <v>#DIV/0!</v>
      </c>
      <c r="R432" s="332"/>
      <c r="S432" s="332"/>
      <c r="T432" s="332"/>
      <c r="U432" s="332"/>
      <c r="V432" s="332"/>
      <c r="W432" s="332"/>
      <c r="X432" s="332"/>
      <c r="Y432" s="332"/>
    </row>
    <row r="433" spans="2:25" x14ac:dyDescent="0.3">
      <c r="B433" s="333">
        <v>40</v>
      </c>
      <c r="C433" s="333"/>
      <c r="D433" s="333"/>
      <c r="E433" s="333"/>
      <c r="F433" s="333"/>
      <c r="G433" s="333"/>
      <c r="H433" s="333"/>
      <c r="I433" s="333"/>
      <c r="J433" s="333"/>
      <c r="K433" s="333"/>
      <c r="L433" s="332"/>
      <c r="M433" s="333">
        <f t="shared" si="84"/>
        <v>20</v>
      </c>
      <c r="N433" s="333" t="e">
        <f t="shared" si="85"/>
        <v>#DIV/0!</v>
      </c>
      <c r="O433" s="333" t="e">
        <f t="shared" si="86"/>
        <v>#DIV/0!</v>
      </c>
      <c r="P433" s="334" t="e">
        <f t="shared" si="87"/>
        <v>#DIV/0!</v>
      </c>
      <c r="Q433" s="334" t="e">
        <f t="shared" si="88"/>
        <v>#DIV/0!</v>
      </c>
      <c r="R433" s="332"/>
      <c r="S433" s="332"/>
      <c r="T433" s="332"/>
      <c r="U433" s="332"/>
      <c r="V433" s="332"/>
      <c r="W433" s="332"/>
      <c r="X433" s="332"/>
      <c r="Y433" s="332"/>
    </row>
    <row r="434" spans="2:25" x14ac:dyDescent="0.3">
      <c r="B434" s="333">
        <v>40</v>
      </c>
      <c r="C434" s="333"/>
      <c r="D434" s="333"/>
      <c r="E434" s="333"/>
      <c r="F434" s="333"/>
      <c r="G434" s="333"/>
      <c r="H434" s="333"/>
      <c r="I434" s="333"/>
      <c r="J434" s="333"/>
      <c r="K434" s="333"/>
      <c r="L434" s="332"/>
      <c r="M434" s="333">
        <f t="shared" si="84"/>
        <v>20</v>
      </c>
      <c r="N434" s="333" t="e">
        <f t="shared" si="85"/>
        <v>#DIV/0!</v>
      </c>
      <c r="O434" s="333" t="e">
        <f t="shared" si="86"/>
        <v>#DIV/0!</v>
      </c>
      <c r="P434" s="334" t="e">
        <f t="shared" si="87"/>
        <v>#DIV/0!</v>
      </c>
      <c r="Q434" s="334" t="e">
        <f t="shared" si="88"/>
        <v>#DIV/0!</v>
      </c>
      <c r="R434" s="332"/>
      <c r="S434" s="332"/>
      <c r="T434" s="332"/>
      <c r="U434" s="332"/>
      <c r="V434" s="332"/>
      <c r="W434" s="332"/>
      <c r="X434" s="332"/>
      <c r="Y434" s="332"/>
    </row>
    <row r="435" spans="2:25" x14ac:dyDescent="0.3">
      <c r="B435" s="333">
        <v>40</v>
      </c>
      <c r="C435" s="333"/>
      <c r="D435" s="333"/>
      <c r="E435" s="333"/>
      <c r="F435" s="333"/>
      <c r="G435" s="333"/>
      <c r="H435" s="333"/>
      <c r="I435" s="333"/>
      <c r="J435" s="333"/>
      <c r="K435" s="333"/>
      <c r="L435" s="332"/>
      <c r="M435" s="333">
        <f t="shared" si="84"/>
        <v>20</v>
      </c>
      <c r="N435" s="333" t="e">
        <f t="shared" si="85"/>
        <v>#DIV/0!</v>
      </c>
      <c r="O435" s="333" t="e">
        <f t="shared" si="86"/>
        <v>#DIV/0!</v>
      </c>
      <c r="P435" s="334" t="e">
        <f t="shared" si="87"/>
        <v>#DIV/0!</v>
      </c>
      <c r="Q435" s="334" t="e">
        <f t="shared" si="88"/>
        <v>#DIV/0!</v>
      </c>
      <c r="R435" s="332"/>
      <c r="S435" s="332"/>
      <c r="T435" s="332"/>
      <c r="U435" s="332"/>
      <c r="V435" s="332"/>
      <c r="W435" s="332"/>
      <c r="X435" s="332"/>
      <c r="Y435" s="332"/>
    </row>
    <row r="436" spans="2:25" x14ac:dyDescent="0.3">
      <c r="B436" s="333">
        <v>40</v>
      </c>
      <c r="C436" s="333"/>
      <c r="D436" s="333"/>
      <c r="E436" s="333"/>
      <c r="F436" s="333"/>
      <c r="G436" s="333"/>
      <c r="H436" s="333"/>
      <c r="I436" s="333"/>
      <c r="J436" s="333"/>
      <c r="K436" s="333"/>
      <c r="L436" s="332"/>
      <c r="M436" s="333">
        <f t="shared" si="84"/>
        <v>20</v>
      </c>
      <c r="N436" s="333" t="e">
        <f t="shared" si="85"/>
        <v>#DIV/0!</v>
      </c>
      <c r="O436" s="333" t="e">
        <f t="shared" si="86"/>
        <v>#DIV/0!</v>
      </c>
      <c r="P436" s="334" t="e">
        <f t="shared" si="87"/>
        <v>#DIV/0!</v>
      </c>
      <c r="Q436" s="334" t="e">
        <f t="shared" si="88"/>
        <v>#DIV/0!</v>
      </c>
      <c r="R436" s="332"/>
      <c r="S436" s="332"/>
      <c r="T436" s="332"/>
      <c r="U436" s="332"/>
      <c r="V436" s="332"/>
      <c r="W436" s="332"/>
      <c r="X436" s="332"/>
      <c r="Y436" s="332"/>
    </row>
    <row r="437" spans="2:25" x14ac:dyDescent="0.3">
      <c r="B437" s="333">
        <v>60</v>
      </c>
      <c r="C437" s="333"/>
      <c r="D437" s="333"/>
      <c r="E437" s="333"/>
      <c r="F437" s="333"/>
      <c r="G437" s="333"/>
      <c r="H437" s="333"/>
      <c r="I437" s="333"/>
      <c r="J437" s="333"/>
      <c r="K437" s="333"/>
      <c r="L437" s="332"/>
      <c r="M437" s="333">
        <f t="shared" si="84"/>
        <v>30</v>
      </c>
      <c r="N437" s="333" t="e">
        <f t="shared" si="85"/>
        <v>#DIV/0!</v>
      </c>
      <c r="O437" s="333" t="e">
        <f t="shared" si="86"/>
        <v>#DIV/0!</v>
      </c>
      <c r="P437" s="334" t="e">
        <f t="shared" si="87"/>
        <v>#DIV/0!</v>
      </c>
      <c r="Q437" s="334" t="e">
        <f t="shared" si="88"/>
        <v>#DIV/0!</v>
      </c>
      <c r="R437" s="332"/>
      <c r="S437" s="332"/>
      <c r="T437" s="332"/>
      <c r="U437" s="332"/>
      <c r="V437" s="332"/>
      <c r="W437" s="332"/>
      <c r="X437" s="332"/>
      <c r="Y437" s="332"/>
    </row>
    <row r="438" spans="2:25" x14ac:dyDescent="0.3">
      <c r="B438" s="333">
        <v>60</v>
      </c>
      <c r="C438" s="333"/>
      <c r="D438" s="333"/>
      <c r="E438" s="333"/>
      <c r="F438" s="333"/>
      <c r="G438" s="333"/>
      <c r="H438" s="333"/>
      <c r="I438" s="333"/>
      <c r="J438" s="333"/>
      <c r="K438" s="333"/>
      <c r="L438" s="332"/>
      <c r="M438" s="333">
        <f t="shared" si="84"/>
        <v>30</v>
      </c>
      <c r="N438" s="333" t="e">
        <f t="shared" si="85"/>
        <v>#DIV/0!</v>
      </c>
      <c r="O438" s="333" t="e">
        <f t="shared" si="86"/>
        <v>#DIV/0!</v>
      </c>
      <c r="P438" s="334" t="e">
        <f t="shared" si="87"/>
        <v>#DIV/0!</v>
      </c>
      <c r="Q438" s="334" t="e">
        <f t="shared" si="88"/>
        <v>#DIV/0!</v>
      </c>
      <c r="R438" s="332"/>
      <c r="S438" s="332"/>
      <c r="T438" s="332"/>
      <c r="U438" s="332"/>
      <c r="V438" s="332"/>
      <c r="W438" s="332"/>
      <c r="X438" s="332"/>
      <c r="Y438" s="332"/>
    </row>
    <row r="439" spans="2:25" x14ac:dyDescent="0.3">
      <c r="B439" s="333">
        <v>60</v>
      </c>
      <c r="C439" s="333"/>
      <c r="D439" s="333"/>
      <c r="E439" s="333"/>
      <c r="F439" s="333"/>
      <c r="G439" s="333"/>
      <c r="H439" s="333"/>
      <c r="I439" s="333"/>
      <c r="J439" s="333"/>
      <c r="K439" s="333"/>
      <c r="L439" s="332"/>
      <c r="M439" s="333">
        <f t="shared" si="84"/>
        <v>30</v>
      </c>
      <c r="N439" s="333" t="e">
        <f t="shared" si="85"/>
        <v>#DIV/0!</v>
      </c>
      <c r="O439" s="333" t="e">
        <f t="shared" si="86"/>
        <v>#DIV/0!</v>
      </c>
      <c r="P439" s="334" t="e">
        <f t="shared" si="87"/>
        <v>#DIV/0!</v>
      </c>
      <c r="Q439" s="334" t="e">
        <f t="shared" si="88"/>
        <v>#DIV/0!</v>
      </c>
      <c r="R439" s="332"/>
      <c r="S439" s="332"/>
      <c r="T439" s="332"/>
      <c r="U439" s="332"/>
      <c r="V439" s="332"/>
      <c r="W439" s="332"/>
      <c r="X439" s="332"/>
      <c r="Y439" s="332"/>
    </row>
    <row r="440" spans="2:25" x14ac:dyDescent="0.3">
      <c r="B440" s="333">
        <v>60</v>
      </c>
      <c r="C440" s="333"/>
      <c r="D440" s="333"/>
      <c r="E440" s="333"/>
      <c r="F440" s="333"/>
      <c r="G440" s="333"/>
      <c r="H440" s="333"/>
      <c r="I440" s="333"/>
      <c r="J440" s="333"/>
      <c r="K440" s="333"/>
      <c r="L440" s="332"/>
      <c r="M440" s="333">
        <f t="shared" si="84"/>
        <v>30</v>
      </c>
      <c r="N440" s="333" t="e">
        <f t="shared" si="85"/>
        <v>#DIV/0!</v>
      </c>
      <c r="O440" s="333" t="e">
        <f t="shared" si="86"/>
        <v>#DIV/0!</v>
      </c>
      <c r="P440" s="334" t="e">
        <f t="shared" si="87"/>
        <v>#DIV/0!</v>
      </c>
      <c r="Q440" s="334" t="e">
        <f t="shared" si="88"/>
        <v>#DIV/0!</v>
      </c>
      <c r="R440" s="332"/>
      <c r="S440" s="332"/>
      <c r="T440" s="332"/>
      <c r="U440" s="332"/>
      <c r="V440" s="332"/>
      <c r="W440" s="332"/>
      <c r="X440" s="332"/>
      <c r="Y440" s="332"/>
    </row>
    <row r="441" spans="2:25" x14ac:dyDescent="0.3">
      <c r="B441" s="333">
        <v>60</v>
      </c>
      <c r="C441" s="333"/>
      <c r="D441" s="333"/>
      <c r="E441" s="333"/>
      <c r="F441" s="333"/>
      <c r="G441" s="333"/>
      <c r="H441" s="333"/>
      <c r="I441" s="333"/>
      <c r="J441" s="333"/>
      <c r="K441" s="333"/>
      <c r="L441" s="332"/>
      <c r="M441" s="333">
        <f t="shared" si="84"/>
        <v>30</v>
      </c>
      <c r="N441" s="333" t="e">
        <f t="shared" si="85"/>
        <v>#DIV/0!</v>
      </c>
      <c r="O441" s="333" t="e">
        <f t="shared" si="86"/>
        <v>#DIV/0!</v>
      </c>
      <c r="P441" s="334" t="e">
        <f t="shared" si="87"/>
        <v>#DIV/0!</v>
      </c>
      <c r="Q441" s="334" t="e">
        <f t="shared" si="88"/>
        <v>#DIV/0!</v>
      </c>
      <c r="R441" s="332"/>
      <c r="S441" s="332"/>
      <c r="T441" s="332"/>
      <c r="U441" s="332"/>
      <c r="V441" s="332"/>
      <c r="W441" s="332"/>
      <c r="X441" s="332"/>
      <c r="Y441" s="332"/>
    </row>
    <row r="442" spans="2:25" x14ac:dyDescent="0.3">
      <c r="B442" s="333">
        <v>60</v>
      </c>
      <c r="C442" s="333"/>
      <c r="D442" s="333"/>
      <c r="E442" s="333"/>
      <c r="F442" s="333"/>
      <c r="G442" s="333"/>
      <c r="H442" s="333"/>
      <c r="I442" s="333"/>
      <c r="J442" s="333"/>
      <c r="K442" s="333"/>
      <c r="L442" s="332"/>
      <c r="M442" s="333">
        <f t="shared" si="84"/>
        <v>30</v>
      </c>
      <c r="N442" s="333" t="e">
        <f t="shared" si="85"/>
        <v>#DIV/0!</v>
      </c>
      <c r="O442" s="333" t="e">
        <f t="shared" si="86"/>
        <v>#DIV/0!</v>
      </c>
      <c r="P442" s="334" t="e">
        <f t="shared" si="87"/>
        <v>#DIV/0!</v>
      </c>
      <c r="Q442" s="334" t="e">
        <f t="shared" si="88"/>
        <v>#DIV/0!</v>
      </c>
      <c r="R442" s="332"/>
      <c r="S442" s="332"/>
      <c r="T442" s="332"/>
      <c r="U442" s="332"/>
      <c r="V442" s="332"/>
      <c r="W442" s="332"/>
      <c r="X442" s="332"/>
      <c r="Y442" s="332"/>
    </row>
    <row r="443" spans="2:25" x14ac:dyDescent="0.3">
      <c r="B443" s="333">
        <v>60</v>
      </c>
      <c r="C443" s="333"/>
      <c r="D443" s="333"/>
      <c r="E443" s="333"/>
      <c r="F443" s="333"/>
      <c r="G443" s="333"/>
      <c r="H443" s="333"/>
      <c r="I443" s="333"/>
      <c r="J443" s="333"/>
      <c r="K443" s="333"/>
      <c r="L443" s="332"/>
      <c r="M443" s="333">
        <f t="shared" si="84"/>
        <v>30</v>
      </c>
      <c r="N443" s="333" t="e">
        <f t="shared" si="85"/>
        <v>#DIV/0!</v>
      </c>
      <c r="O443" s="333" t="e">
        <f t="shared" si="86"/>
        <v>#DIV/0!</v>
      </c>
      <c r="P443" s="334" t="e">
        <f t="shared" si="87"/>
        <v>#DIV/0!</v>
      </c>
      <c r="Q443" s="334" t="e">
        <f t="shared" si="88"/>
        <v>#DIV/0!</v>
      </c>
      <c r="R443" s="332"/>
      <c r="S443" s="332"/>
      <c r="T443" s="332"/>
      <c r="U443" s="332"/>
      <c r="V443" s="332"/>
      <c r="W443" s="332"/>
      <c r="X443" s="332"/>
      <c r="Y443" s="332"/>
    </row>
    <row r="444" spans="2:25" x14ac:dyDescent="0.3">
      <c r="B444" s="333">
        <v>60</v>
      </c>
      <c r="C444" s="333"/>
      <c r="D444" s="333"/>
      <c r="E444" s="333"/>
      <c r="F444" s="333"/>
      <c r="G444" s="333"/>
      <c r="H444" s="333"/>
      <c r="I444" s="333"/>
      <c r="J444" s="333"/>
      <c r="K444" s="333"/>
      <c r="L444" s="332"/>
      <c r="M444" s="333">
        <f t="shared" si="84"/>
        <v>30</v>
      </c>
      <c r="N444" s="333" t="e">
        <f t="shared" si="85"/>
        <v>#DIV/0!</v>
      </c>
      <c r="O444" s="333" t="e">
        <f t="shared" si="86"/>
        <v>#DIV/0!</v>
      </c>
      <c r="P444" s="334" t="e">
        <f t="shared" si="87"/>
        <v>#DIV/0!</v>
      </c>
      <c r="Q444" s="334" t="e">
        <f t="shared" si="88"/>
        <v>#DIV/0!</v>
      </c>
      <c r="R444" s="332"/>
      <c r="S444" s="332"/>
      <c r="T444" s="332"/>
      <c r="U444" s="332"/>
      <c r="V444" s="332"/>
      <c r="W444" s="332"/>
      <c r="X444" s="332"/>
      <c r="Y444" s="332"/>
    </row>
    <row r="445" spans="2:25" x14ac:dyDescent="0.3">
      <c r="B445" s="333">
        <v>60</v>
      </c>
      <c r="C445" s="333"/>
      <c r="D445" s="333"/>
      <c r="E445" s="333"/>
      <c r="F445" s="333"/>
      <c r="G445" s="333"/>
      <c r="H445" s="333"/>
      <c r="I445" s="333"/>
      <c r="J445" s="333"/>
      <c r="K445" s="333"/>
      <c r="L445" s="332"/>
      <c r="M445" s="333">
        <f t="shared" si="84"/>
        <v>30</v>
      </c>
      <c r="N445" s="333" t="e">
        <f t="shared" si="85"/>
        <v>#DIV/0!</v>
      </c>
      <c r="O445" s="333" t="e">
        <f t="shared" si="86"/>
        <v>#DIV/0!</v>
      </c>
      <c r="P445" s="334" t="e">
        <f t="shared" si="87"/>
        <v>#DIV/0!</v>
      </c>
      <c r="Q445" s="334" t="e">
        <f t="shared" si="88"/>
        <v>#DIV/0!</v>
      </c>
      <c r="R445" s="332"/>
      <c r="S445" s="332"/>
      <c r="T445" s="332"/>
      <c r="U445" s="332"/>
      <c r="V445" s="332"/>
      <c r="W445" s="332"/>
      <c r="X445" s="332"/>
      <c r="Y445" s="332"/>
    </row>
    <row r="446" spans="2:25" x14ac:dyDescent="0.3">
      <c r="B446" s="333">
        <v>60</v>
      </c>
      <c r="C446" s="333"/>
      <c r="D446" s="333"/>
      <c r="E446" s="333"/>
      <c r="F446" s="333"/>
      <c r="G446" s="333"/>
      <c r="H446" s="333"/>
      <c r="I446" s="333"/>
      <c r="J446" s="333"/>
      <c r="K446" s="333"/>
      <c r="L446" s="332"/>
      <c r="M446" s="333">
        <f t="shared" si="84"/>
        <v>30</v>
      </c>
      <c r="N446" s="333" t="e">
        <f t="shared" si="85"/>
        <v>#DIV/0!</v>
      </c>
      <c r="O446" s="333" t="e">
        <f t="shared" si="86"/>
        <v>#DIV/0!</v>
      </c>
      <c r="P446" s="334" t="e">
        <f t="shared" si="87"/>
        <v>#DIV/0!</v>
      </c>
      <c r="Q446" s="334" t="e">
        <f t="shared" si="88"/>
        <v>#DIV/0!</v>
      </c>
      <c r="R446" s="332"/>
      <c r="S446" s="332"/>
      <c r="T446" s="332"/>
      <c r="U446" s="332"/>
      <c r="V446" s="332"/>
      <c r="W446" s="332"/>
      <c r="X446" s="332"/>
      <c r="Y446" s="332"/>
    </row>
    <row r="447" spans="2:25" x14ac:dyDescent="0.3">
      <c r="B447" s="333">
        <v>60</v>
      </c>
      <c r="C447" s="333"/>
      <c r="D447" s="333"/>
      <c r="E447" s="333"/>
      <c r="F447" s="333"/>
      <c r="G447" s="333"/>
      <c r="H447" s="333"/>
      <c r="I447" s="333"/>
      <c r="J447" s="333"/>
      <c r="K447" s="333"/>
      <c r="L447" s="332"/>
      <c r="M447" s="333">
        <f t="shared" si="84"/>
        <v>30</v>
      </c>
      <c r="N447" s="333" t="e">
        <f t="shared" si="85"/>
        <v>#DIV/0!</v>
      </c>
      <c r="O447" s="333" t="e">
        <f t="shared" si="86"/>
        <v>#DIV/0!</v>
      </c>
      <c r="P447" s="334" t="e">
        <f t="shared" si="87"/>
        <v>#DIV/0!</v>
      </c>
      <c r="Q447" s="334" t="e">
        <f t="shared" si="88"/>
        <v>#DIV/0!</v>
      </c>
      <c r="R447" s="332"/>
      <c r="S447" s="332"/>
      <c r="T447" s="332"/>
      <c r="U447" s="332"/>
      <c r="V447" s="332"/>
      <c r="W447" s="332"/>
      <c r="X447" s="332"/>
      <c r="Y447" s="332"/>
    </row>
    <row r="448" spans="2:25" x14ac:dyDescent="0.3">
      <c r="B448" s="333">
        <v>60</v>
      </c>
      <c r="C448" s="333"/>
      <c r="D448" s="333"/>
      <c r="E448" s="333"/>
      <c r="F448" s="333"/>
      <c r="G448" s="333"/>
      <c r="H448" s="333"/>
      <c r="I448" s="333"/>
      <c r="J448" s="333"/>
      <c r="K448" s="333"/>
      <c r="L448" s="332"/>
      <c r="M448" s="333">
        <f t="shared" si="84"/>
        <v>30</v>
      </c>
      <c r="N448" s="333" t="e">
        <f t="shared" si="85"/>
        <v>#DIV/0!</v>
      </c>
      <c r="O448" s="333" t="e">
        <f t="shared" si="86"/>
        <v>#DIV/0!</v>
      </c>
      <c r="P448" s="334" t="e">
        <f t="shared" si="87"/>
        <v>#DIV/0!</v>
      </c>
      <c r="Q448" s="334" t="e">
        <f t="shared" si="88"/>
        <v>#DIV/0!</v>
      </c>
      <c r="R448" s="332"/>
      <c r="S448" s="332"/>
      <c r="T448" s="332"/>
      <c r="U448" s="332"/>
      <c r="V448" s="332"/>
      <c r="W448" s="332"/>
      <c r="X448" s="332"/>
      <c r="Y448" s="332"/>
    </row>
    <row r="449" spans="2:25" x14ac:dyDescent="0.3">
      <c r="B449" s="333">
        <v>60</v>
      </c>
      <c r="C449" s="333"/>
      <c r="D449" s="333"/>
      <c r="E449" s="333"/>
      <c r="F449" s="333"/>
      <c r="G449" s="333"/>
      <c r="H449" s="333"/>
      <c r="I449" s="333"/>
      <c r="J449" s="333"/>
      <c r="K449" s="333"/>
      <c r="L449" s="332"/>
      <c r="M449" s="333">
        <f t="shared" si="84"/>
        <v>30</v>
      </c>
      <c r="N449" s="333" t="e">
        <f t="shared" si="85"/>
        <v>#DIV/0!</v>
      </c>
      <c r="O449" s="333" t="e">
        <f t="shared" si="86"/>
        <v>#DIV/0!</v>
      </c>
      <c r="P449" s="334" t="e">
        <f t="shared" si="87"/>
        <v>#DIV/0!</v>
      </c>
      <c r="Q449" s="334" t="e">
        <f t="shared" si="88"/>
        <v>#DIV/0!</v>
      </c>
      <c r="R449" s="332"/>
      <c r="S449" s="332"/>
      <c r="T449" s="332"/>
      <c r="U449" s="332"/>
      <c r="V449" s="332"/>
      <c r="W449" s="332"/>
      <c r="X449" s="332"/>
      <c r="Y449" s="332"/>
    </row>
    <row r="450" spans="2:25" x14ac:dyDescent="0.3">
      <c r="B450" s="333">
        <v>60</v>
      </c>
      <c r="C450" s="333"/>
      <c r="D450" s="333"/>
      <c r="E450" s="333"/>
      <c r="F450" s="333"/>
      <c r="G450" s="333"/>
      <c r="H450" s="333"/>
      <c r="I450" s="333"/>
      <c r="J450" s="333"/>
      <c r="K450" s="333"/>
      <c r="L450" s="332"/>
      <c r="M450" s="333">
        <f t="shared" si="84"/>
        <v>30</v>
      </c>
      <c r="N450" s="333" t="e">
        <f t="shared" si="85"/>
        <v>#DIV/0!</v>
      </c>
      <c r="O450" s="333" t="e">
        <f t="shared" si="86"/>
        <v>#DIV/0!</v>
      </c>
      <c r="P450" s="334" t="e">
        <f t="shared" si="87"/>
        <v>#DIV/0!</v>
      </c>
      <c r="Q450" s="334" t="e">
        <f t="shared" si="88"/>
        <v>#DIV/0!</v>
      </c>
      <c r="R450" s="332"/>
      <c r="S450" s="332"/>
      <c r="T450" s="332"/>
      <c r="U450" s="332"/>
      <c r="V450" s="332"/>
      <c r="W450" s="332"/>
      <c r="X450" s="332"/>
      <c r="Y450" s="332"/>
    </row>
    <row r="451" spans="2:25" x14ac:dyDescent="0.3">
      <c r="B451" s="333">
        <v>60</v>
      </c>
      <c r="C451" s="333"/>
      <c r="D451" s="333"/>
      <c r="E451" s="333"/>
      <c r="F451" s="333"/>
      <c r="G451" s="333"/>
      <c r="H451" s="333"/>
      <c r="I451" s="333"/>
      <c r="J451" s="333"/>
      <c r="K451" s="333"/>
      <c r="L451" s="332"/>
      <c r="M451" s="333">
        <f t="shared" si="84"/>
        <v>30</v>
      </c>
      <c r="N451" s="333" t="e">
        <f t="shared" si="85"/>
        <v>#DIV/0!</v>
      </c>
      <c r="O451" s="333" t="e">
        <f t="shared" si="86"/>
        <v>#DIV/0!</v>
      </c>
      <c r="P451" s="334" t="e">
        <f t="shared" si="87"/>
        <v>#DIV/0!</v>
      </c>
      <c r="Q451" s="334" t="e">
        <f t="shared" si="88"/>
        <v>#DIV/0!</v>
      </c>
      <c r="R451" s="332"/>
      <c r="S451" s="332"/>
      <c r="T451" s="332"/>
      <c r="U451" s="332"/>
      <c r="V451" s="332"/>
      <c r="W451" s="332"/>
      <c r="X451" s="332"/>
      <c r="Y451" s="332"/>
    </row>
    <row r="452" spans="2:25" x14ac:dyDescent="0.3">
      <c r="B452" s="333">
        <v>60</v>
      </c>
      <c r="C452" s="333"/>
      <c r="D452" s="333"/>
      <c r="E452" s="333"/>
      <c r="F452" s="333"/>
      <c r="G452" s="333"/>
      <c r="H452" s="333"/>
      <c r="I452" s="333"/>
      <c r="J452" s="333"/>
      <c r="K452" s="333"/>
      <c r="L452" s="332"/>
      <c r="M452" s="333">
        <f t="shared" si="84"/>
        <v>30</v>
      </c>
      <c r="N452" s="333" t="e">
        <f t="shared" si="85"/>
        <v>#DIV/0!</v>
      </c>
      <c r="O452" s="333" t="e">
        <f t="shared" si="86"/>
        <v>#DIV/0!</v>
      </c>
      <c r="P452" s="334" t="e">
        <f t="shared" si="87"/>
        <v>#DIV/0!</v>
      </c>
      <c r="Q452" s="334" t="e">
        <f t="shared" si="88"/>
        <v>#DIV/0!</v>
      </c>
      <c r="R452" s="332"/>
      <c r="S452" s="332"/>
      <c r="T452" s="332"/>
      <c r="U452" s="332"/>
      <c r="V452" s="332"/>
      <c r="W452" s="332"/>
      <c r="X452" s="332"/>
      <c r="Y452" s="332"/>
    </row>
    <row r="453" spans="2:25" x14ac:dyDescent="0.3">
      <c r="B453" s="333">
        <v>60</v>
      </c>
      <c r="C453" s="333"/>
      <c r="D453" s="333"/>
      <c r="E453" s="333"/>
      <c r="F453" s="333"/>
      <c r="G453" s="333"/>
      <c r="H453" s="333"/>
      <c r="I453" s="333"/>
      <c r="J453" s="333"/>
      <c r="K453" s="333"/>
      <c r="L453" s="332"/>
      <c r="M453" s="333">
        <f t="shared" si="84"/>
        <v>30</v>
      </c>
      <c r="N453" s="333" t="e">
        <f t="shared" si="85"/>
        <v>#DIV/0!</v>
      </c>
      <c r="O453" s="333" t="e">
        <f t="shared" si="86"/>
        <v>#DIV/0!</v>
      </c>
      <c r="P453" s="334" t="e">
        <f t="shared" si="87"/>
        <v>#DIV/0!</v>
      </c>
      <c r="Q453" s="334" t="e">
        <f t="shared" si="88"/>
        <v>#DIV/0!</v>
      </c>
      <c r="R453" s="332"/>
      <c r="S453" s="332"/>
      <c r="T453" s="332"/>
      <c r="U453" s="332"/>
      <c r="V453" s="332"/>
      <c r="W453" s="332"/>
      <c r="X453" s="332"/>
      <c r="Y453" s="332"/>
    </row>
    <row r="454" spans="2:25" x14ac:dyDescent="0.3">
      <c r="B454" s="333">
        <v>60</v>
      </c>
      <c r="C454" s="333"/>
      <c r="D454" s="333"/>
      <c r="E454" s="333"/>
      <c r="F454" s="333"/>
      <c r="G454" s="333"/>
      <c r="H454" s="333"/>
      <c r="I454" s="333"/>
      <c r="J454" s="333"/>
      <c r="K454" s="333"/>
      <c r="L454" s="332"/>
      <c r="M454" s="333">
        <f t="shared" si="84"/>
        <v>30</v>
      </c>
      <c r="N454" s="333" t="e">
        <f t="shared" si="85"/>
        <v>#DIV/0!</v>
      </c>
      <c r="O454" s="333" t="e">
        <f t="shared" si="86"/>
        <v>#DIV/0!</v>
      </c>
      <c r="P454" s="334" t="e">
        <f t="shared" si="87"/>
        <v>#DIV/0!</v>
      </c>
      <c r="Q454" s="334" t="e">
        <f t="shared" si="88"/>
        <v>#DIV/0!</v>
      </c>
      <c r="R454" s="332"/>
      <c r="S454" s="332"/>
      <c r="T454" s="332"/>
      <c r="U454" s="332"/>
      <c r="V454" s="332"/>
      <c r="W454" s="332"/>
      <c r="X454" s="332"/>
      <c r="Y454" s="332"/>
    </row>
    <row r="455" spans="2:25" x14ac:dyDescent="0.3">
      <c r="B455" s="333">
        <v>60</v>
      </c>
      <c r="C455" s="333"/>
      <c r="D455" s="333"/>
      <c r="E455" s="333"/>
      <c r="F455" s="333"/>
      <c r="G455" s="333"/>
      <c r="H455" s="333"/>
      <c r="I455" s="333"/>
      <c r="J455" s="333"/>
      <c r="K455" s="333"/>
      <c r="L455" s="332"/>
      <c r="M455" s="333">
        <f t="shared" si="84"/>
        <v>30</v>
      </c>
      <c r="N455" s="333" t="e">
        <f t="shared" si="85"/>
        <v>#DIV/0!</v>
      </c>
      <c r="O455" s="333" t="e">
        <f t="shared" si="86"/>
        <v>#DIV/0!</v>
      </c>
      <c r="P455" s="334" t="e">
        <f t="shared" si="87"/>
        <v>#DIV/0!</v>
      </c>
      <c r="Q455" s="334" t="e">
        <f t="shared" si="88"/>
        <v>#DIV/0!</v>
      </c>
      <c r="R455" s="332"/>
      <c r="S455" s="332"/>
      <c r="T455" s="332"/>
      <c r="U455" s="332"/>
      <c r="V455" s="332"/>
      <c r="W455" s="332"/>
      <c r="X455" s="332"/>
      <c r="Y455" s="332"/>
    </row>
    <row r="456" spans="2:25" x14ac:dyDescent="0.3">
      <c r="B456" s="333">
        <v>60</v>
      </c>
      <c r="C456" s="333"/>
      <c r="D456" s="333"/>
      <c r="E456" s="333"/>
      <c r="F456" s="333"/>
      <c r="G456" s="333"/>
      <c r="H456" s="333"/>
      <c r="I456" s="333"/>
      <c r="J456" s="333"/>
      <c r="K456" s="333"/>
      <c r="L456" s="332"/>
      <c r="M456" s="333">
        <f t="shared" si="84"/>
        <v>30</v>
      </c>
      <c r="N456" s="333" t="e">
        <f t="shared" si="85"/>
        <v>#DIV/0!</v>
      </c>
      <c r="O456" s="333" t="e">
        <f t="shared" si="86"/>
        <v>#DIV/0!</v>
      </c>
      <c r="P456" s="334" t="e">
        <f t="shared" si="87"/>
        <v>#DIV/0!</v>
      </c>
      <c r="Q456" s="334" t="e">
        <f t="shared" si="88"/>
        <v>#DIV/0!</v>
      </c>
      <c r="R456" s="332"/>
      <c r="S456" s="332"/>
      <c r="T456" s="332"/>
      <c r="U456" s="332"/>
      <c r="V456" s="332"/>
      <c r="W456" s="332"/>
      <c r="X456" s="332"/>
      <c r="Y456" s="332"/>
    </row>
    <row r="457" spans="2:25" x14ac:dyDescent="0.3">
      <c r="B457" s="333">
        <v>80</v>
      </c>
      <c r="C457" s="333"/>
      <c r="D457" s="333"/>
      <c r="E457" s="333"/>
      <c r="F457" s="333"/>
      <c r="G457" s="333"/>
      <c r="H457" s="333"/>
      <c r="I457" s="333"/>
      <c r="J457" s="333"/>
      <c r="K457" s="333"/>
      <c r="L457" s="332"/>
      <c r="M457" s="333">
        <f t="shared" si="84"/>
        <v>40</v>
      </c>
      <c r="N457" s="333" t="e">
        <f t="shared" si="85"/>
        <v>#DIV/0!</v>
      </c>
      <c r="O457" s="333" t="e">
        <f t="shared" si="86"/>
        <v>#DIV/0!</v>
      </c>
      <c r="P457" s="334" t="e">
        <f t="shared" si="87"/>
        <v>#DIV/0!</v>
      </c>
      <c r="Q457" s="334" t="e">
        <f t="shared" si="88"/>
        <v>#DIV/0!</v>
      </c>
      <c r="R457" s="332"/>
      <c r="S457" s="332"/>
      <c r="T457" s="332"/>
      <c r="U457" s="332"/>
      <c r="V457" s="332"/>
      <c r="W457" s="332"/>
      <c r="X457" s="332"/>
      <c r="Y457" s="332"/>
    </row>
    <row r="458" spans="2:25" x14ac:dyDescent="0.3">
      <c r="B458" s="333">
        <v>80</v>
      </c>
      <c r="C458" s="333"/>
      <c r="D458" s="333"/>
      <c r="E458" s="333"/>
      <c r="F458" s="333"/>
      <c r="G458" s="333"/>
      <c r="H458" s="333"/>
      <c r="I458" s="333"/>
      <c r="J458" s="333"/>
      <c r="K458" s="333"/>
      <c r="L458" s="332"/>
      <c r="M458" s="333">
        <f t="shared" si="84"/>
        <v>40</v>
      </c>
      <c r="N458" s="333" t="e">
        <f t="shared" si="85"/>
        <v>#DIV/0!</v>
      </c>
      <c r="O458" s="333" t="e">
        <f t="shared" si="86"/>
        <v>#DIV/0!</v>
      </c>
      <c r="P458" s="334" t="e">
        <f t="shared" si="87"/>
        <v>#DIV/0!</v>
      </c>
      <c r="Q458" s="334" t="e">
        <f t="shared" si="88"/>
        <v>#DIV/0!</v>
      </c>
      <c r="R458" s="332"/>
      <c r="S458" s="332"/>
      <c r="T458" s="332"/>
      <c r="U458" s="332"/>
      <c r="V458" s="332"/>
      <c r="W458" s="332"/>
      <c r="X458" s="332"/>
      <c r="Y458" s="332"/>
    </row>
    <row r="459" spans="2:25" x14ac:dyDescent="0.3">
      <c r="B459" s="333">
        <v>80</v>
      </c>
      <c r="C459" s="333"/>
      <c r="D459" s="333"/>
      <c r="E459" s="333"/>
      <c r="F459" s="333"/>
      <c r="G459" s="333"/>
      <c r="H459" s="333"/>
      <c r="I459" s="333"/>
      <c r="J459" s="333"/>
      <c r="K459" s="333"/>
      <c r="L459" s="332"/>
      <c r="M459" s="333">
        <f t="shared" si="84"/>
        <v>40</v>
      </c>
      <c r="N459" s="333" t="e">
        <f t="shared" si="85"/>
        <v>#DIV/0!</v>
      </c>
      <c r="O459" s="333" t="e">
        <f t="shared" si="86"/>
        <v>#DIV/0!</v>
      </c>
      <c r="P459" s="334" t="e">
        <f t="shared" si="87"/>
        <v>#DIV/0!</v>
      </c>
      <c r="Q459" s="334" t="e">
        <f t="shared" si="88"/>
        <v>#DIV/0!</v>
      </c>
      <c r="R459" s="332"/>
      <c r="S459" s="332"/>
      <c r="T459" s="332"/>
      <c r="U459" s="332"/>
      <c r="V459" s="332"/>
      <c r="W459" s="332"/>
      <c r="X459" s="332"/>
      <c r="Y459" s="332"/>
    </row>
    <row r="460" spans="2:25" x14ac:dyDescent="0.3">
      <c r="B460" s="333">
        <v>80</v>
      </c>
      <c r="C460" s="333"/>
      <c r="D460" s="333"/>
      <c r="E460" s="333"/>
      <c r="F460" s="333"/>
      <c r="G460" s="333"/>
      <c r="H460" s="333"/>
      <c r="I460" s="333"/>
      <c r="J460" s="333"/>
      <c r="K460" s="333"/>
      <c r="L460" s="332"/>
      <c r="M460" s="333">
        <f t="shared" si="84"/>
        <v>40</v>
      </c>
      <c r="N460" s="333" t="e">
        <f t="shared" si="85"/>
        <v>#DIV/0!</v>
      </c>
      <c r="O460" s="333" t="e">
        <f t="shared" si="86"/>
        <v>#DIV/0!</v>
      </c>
      <c r="P460" s="334" t="e">
        <f t="shared" si="87"/>
        <v>#DIV/0!</v>
      </c>
      <c r="Q460" s="334" t="e">
        <f t="shared" si="88"/>
        <v>#DIV/0!</v>
      </c>
      <c r="R460" s="332"/>
      <c r="S460" s="332"/>
      <c r="T460" s="332"/>
      <c r="U460" s="332"/>
      <c r="V460" s="332"/>
      <c r="W460" s="332"/>
      <c r="X460" s="332"/>
      <c r="Y460" s="332"/>
    </row>
    <row r="461" spans="2:25" x14ac:dyDescent="0.3">
      <c r="B461" s="333">
        <v>80</v>
      </c>
      <c r="C461" s="333"/>
      <c r="D461" s="333"/>
      <c r="E461" s="333"/>
      <c r="F461" s="333"/>
      <c r="G461" s="333"/>
      <c r="H461" s="333"/>
      <c r="I461" s="333"/>
      <c r="J461" s="333"/>
      <c r="K461" s="333"/>
      <c r="L461" s="332"/>
      <c r="M461" s="333">
        <f t="shared" si="84"/>
        <v>40</v>
      </c>
      <c r="N461" s="333" t="e">
        <f t="shared" si="85"/>
        <v>#DIV/0!</v>
      </c>
      <c r="O461" s="333" t="e">
        <f t="shared" si="86"/>
        <v>#DIV/0!</v>
      </c>
      <c r="P461" s="334" t="e">
        <f t="shared" si="87"/>
        <v>#DIV/0!</v>
      </c>
      <c r="Q461" s="334" t="e">
        <f t="shared" si="88"/>
        <v>#DIV/0!</v>
      </c>
      <c r="R461" s="332"/>
      <c r="S461" s="332"/>
      <c r="T461" s="332"/>
      <c r="U461" s="332"/>
      <c r="V461" s="332"/>
      <c r="W461" s="332"/>
      <c r="X461" s="332"/>
      <c r="Y461" s="332"/>
    </row>
    <row r="462" spans="2:25" x14ac:dyDescent="0.3">
      <c r="B462" s="333">
        <v>80</v>
      </c>
      <c r="C462" s="333"/>
      <c r="D462" s="333"/>
      <c r="E462" s="333"/>
      <c r="F462" s="333"/>
      <c r="G462" s="333"/>
      <c r="H462" s="333"/>
      <c r="I462" s="333"/>
      <c r="J462" s="333"/>
      <c r="K462" s="333"/>
      <c r="L462" s="332"/>
      <c r="M462" s="333">
        <f t="shared" si="84"/>
        <v>40</v>
      </c>
      <c r="N462" s="333" t="e">
        <f t="shared" si="85"/>
        <v>#DIV/0!</v>
      </c>
      <c r="O462" s="333" t="e">
        <f t="shared" si="86"/>
        <v>#DIV/0!</v>
      </c>
      <c r="P462" s="334" t="e">
        <f t="shared" si="87"/>
        <v>#DIV/0!</v>
      </c>
      <c r="Q462" s="334" t="e">
        <f t="shared" si="88"/>
        <v>#DIV/0!</v>
      </c>
      <c r="R462" s="332"/>
      <c r="S462" s="332"/>
      <c r="T462" s="332"/>
      <c r="U462" s="332"/>
      <c r="V462" s="332"/>
      <c r="W462" s="332"/>
      <c r="X462" s="332"/>
      <c r="Y462" s="332"/>
    </row>
    <row r="463" spans="2:25" x14ac:dyDescent="0.3">
      <c r="B463" s="333">
        <v>80</v>
      </c>
      <c r="C463" s="333"/>
      <c r="D463" s="333"/>
      <c r="E463" s="333"/>
      <c r="F463" s="333"/>
      <c r="G463" s="333"/>
      <c r="H463" s="333"/>
      <c r="I463" s="333"/>
      <c r="J463" s="333"/>
      <c r="K463" s="333"/>
      <c r="L463" s="332"/>
      <c r="M463" s="333">
        <f t="shared" si="84"/>
        <v>40</v>
      </c>
      <c r="N463" s="333" t="e">
        <f t="shared" si="85"/>
        <v>#DIV/0!</v>
      </c>
      <c r="O463" s="333" t="e">
        <f t="shared" si="86"/>
        <v>#DIV/0!</v>
      </c>
      <c r="P463" s="334" t="e">
        <f t="shared" si="87"/>
        <v>#DIV/0!</v>
      </c>
      <c r="Q463" s="334" t="e">
        <f t="shared" si="88"/>
        <v>#DIV/0!</v>
      </c>
      <c r="R463" s="332"/>
      <c r="S463" s="332"/>
      <c r="T463" s="332"/>
      <c r="U463" s="332"/>
      <c r="V463" s="332"/>
      <c r="W463" s="332"/>
      <c r="X463" s="332"/>
      <c r="Y463" s="332"/>
    </row>
    <row r="464" spans="2:25" x14ac:dyDescent="0.3">
      <c r="B464" s="333">
        <v>80</v>
      </c>
      <c r="C464" s="333"/>
      <c r="D464" s="333"/>
      <c r="E464" s="333"/>
      <c r="F464" s="333"/>
      <c r="G464" s="333"/>
      <c r="H464" s="333"/>
      <c r="I464" s="333"/>
      <c r="J464" s="333"/>
      <c r="K464" s="333"/>
      <c r="L464" s="332"/>
      <c r="M464" s="333">
        <f t="shared" si="84"/>
        <v>40</v>
      </c>
      <c r="N464" s="333" t="e">
        <f t="shared" si="85"/>
        <v>#DIV/0!</v>
      </c>
      <c r="O464" s="333" t="e">
        <f t="shared" si="86"/>
        <v>#DIV/0!</v>
      </c>
      <c r="P464" s="334" t="e">
        <f t="shared" si="87"/>
        <v>#DIV/0!</v>
      </c>
      <c r="Q464" s="334" t="e">
        <f t="shared" si="88"/>
        <v>#DIV/0!</v>
      </c>
      <c r="R464" s="332"/>
      <c r="S464" s="332"/>
      <c r="T464" s="332"/>
      <c r="U464" s="332"/>
      <c r="V464" s="332"/>
      <c r="W464" s="332"/>
      <c r="X464" s="332"/>
      <c r="Y464" s="332"/>
    </row>
    <row r="465" spans="2:25" x14ac:dyDescent="0.3">
      <c r="B465" s="333">
        <v>80</v>
      </c>
      <c r="C465" s="333"/>
      <c r="D465" s="333"/>
      <c r="E465" s="333"/>
      <c r="F465" s="333"/>
      <c r="G465" s="333"/>
      <c r="H465" s="333"/>
      <c r="I465" s="333"/>
      <c r="J465" s="333"/>
      <c r="K465" s="333"/>
      <c r="L465" s="332"/>
      <c r="M465" s="333">
        <f t="shared" si="84"/>
        <v>40</v>
      </c>
      <c r="N465" s="333" t="e">
        <f t="shared" si="85"/>
        <v>#DIV/0!</v>
      </c>
      <c r="O465" s="333" t="e">
        <f t="shared" si="86"/>
        <v>#DIV/0!</v>
      </c>
      <c r="P465" s="334" t="e">
        <f t="shared" si="87"/>
        <v>#DIV/0!</v>
      </c>
      <c r="Q465" s="334" t="e">
        <f t="shared" si="88"/>
        <v>#DIV/0!</v>
      </c>
      <c r="R465" s="332"/>
      <c r="S465" s="332"/>
      <c r="T465" s="332"/>
      <c r="U465" s="332"/>
      <c r="V465" s="332"/>
      <c r="W465" s="332"/>
      <c r="X465" s="332"/>
      <c r="Y465" s="332"/>
    </row>
    <row r="466" spans="2:25" x14ac:dyDescent="0.3">
      <c r="B466" s="333">
        <v>80</v>
      </c>
      <c r="C466" s="333"/>
      <c r="D466" s="333"/>
      <c r="E466" s="333"/>
      <c r="F466" s="333"/>
      <c r="G466" s="333"/>
      <c r="H466" s="333"/>
      <c r="I466" s="333"/>
      <c r="J466" s="333"/>
      <c r="K466" s="333"/>
      <c r="L466" s="332"/>
      <c r="M466" s="333">
        <f t="shared" si="84"/>
        <v>40</v>
      </c>
      <c r="N466" s="333" t="e">
        <f t="shared" si="85"/>
        <v>#DIV/0!</v>
      </c>
      <c r="O466" s="333" t="e">
        <f t="shared" si="86"/>
        <v>#DIV/0!</v>
      </c>
      <c r="P466" s="334" t="e">
        <f t="shared" si="87"/>
        <v>#DIV/0!</v>
      </c>
      <c r="Q466" s="334" t="e">
        <f t="shared" si="88"/>
        <v>#DIV/0!</v>
      </c>
      <c r="R466" s="332"/>
      <c r="S466" s="332"/>
      <c r="T466" s="332"/>
      <c r="U466" s="332"/>
      <c r="V466" s="332"/>
      <c r="W466" s="332"/>
      <c r="X466" s="332"/>
      <c r="Y466" s="332"/>
    </row>
    <row r="467" spans="2:25" x14ac:dyDescent="0.3">
      <c r="B467" s="333">
        <v>80</v>
      </c>
      <c r="C467" s="333"/>
      <c r="D467" s="333"/>
      <c r="E467" s="333"/>
      <c r="F467" s="333"/>
      <c r="G467" s="333"/>
      <c r="H467" s="333"/>
      <c r="I467" s="333"/>
      <c r="J467" s="333"/>
      <c r="K467" s="333"/>
      <c r="L467" s="332"/>
      <c r="M467" s="333">
        <f t="shared" si="84"/>
        <v>40</v>
      </c>
      <c r="N467" s="333" t="e">
        <f t="shared" si="85"/>
        <v>#DIV/0!</v>
      </c>
      <c r="O467" s="333" t="e">
        <f t="shared" si="86"/>
        <v>#DIV/0!</v>
      </c>
      <c r="P467" s="334" t="e">
        <f t="shared" si="87"/>
        <v>#DIV/0!</v>
      </c>
      <c r="Q467" s="334" t="e">
        <f t="shared" si="88"/>
        <v>#DIV/0!</v>
      </c>
      <c r="R467" s="332"/>
      <c r="S467" s="332"/>
      <c r="T467" s="332"/>
      <c r="U467" s="332"/>
      <c r="V467" s="332"/>
      <c r="W467" s="332"/>
      <c r="X467" s="332"/>
      <c r="Y467" s="332"/>
    </row>
    <row r="468" spans="2:25" x14ac:dyDescent="0.3">
      <c r="B468" s="333">
        <v>80</v>
      </c>
      <c r="C468" s="333"/>
      <c r="D468" s="333"/>
      <c r="E468" s="333"/>
      <c r="F468" s="333"/>
      <c r="G468" s="333"/>
      <c r="H468" s="333"/>
      <c r="I468" s="333"/>
      <c r="J468" s="333"/>
      <c r="K468" s="333"/>
      <c r="L468" s="332"/>
      <c r="M468" s="333">
        <f t="shared" si="84"/>
        <v>40</v>
      </c>
      <c r="N468" s="333" t="e">
        <f t="shared" si="85"/>
        <v>#DIV/0!</v>
      </c>
      <c r="O468" s="333" t="e">
        <f t="shared" si="86"/>
        <v>#DIV/0!</v>
      </c>
      <c r="P468" s="334" t="e">
        <f t="shared" si="87"/>
        <v>#DIV/0!</v>
      </c>
      <c r="Q468" s="334" t="e">
        <f t="shared" si="88"/>
        <v>#DIV/0!</v>
      </c>
      <c r="R468" s="332"/>
      <c r="S468" s="332"/>
      <c r="T468" s="332"/>
      <c r="U468" s="332"/>
      <c r="V468" s="332"/>
      <c r="W468" s="332"/>
      <c r="X468" s="332"/>
      <c r="Y468" s="332"/>
    </row>
    <row r="469" spans="2:25" x14ac:dyDescent="0.3">
      <c r="B469" s="333">
        <v>80</v>
      </c>
      <c r="C469" s="333"/>
      <c r="D469" s="333"/>
      <c r="E469" s="333"/>
      <c r="F469" s="333"/>
      <c r="G469" s="333"/>
      <c r="H469" s="333"/>
      <c r="I469" s="333"/>
      <c r="J469" s="333"/>
      <c r="K469" s="333"/>
      <c r="L469" s="332"/>
      <c r="M469" s="333">
        <f t="shared" si="84"/>
        <v>40</v>
      </c>
      <c r="N469" s="333" t="e">
        <f t="shared" si="85"/>
        <v>#DIV/0!</v>
      </c>
      <c r="O469" s="333" t="e">
        <f t="shared" si="86"/>
        <v>#DIV/0!</v>
      </c>
      <c r="P469" s="334" t="e">
        <f t="shared" si="87"/>
        <v>#DIV/0!</v>
      </c>
      <c r="Q469" s="334" t="e">
        <f t="shared" si="88"/>
        <v>#DIV/0!</v>
      </c>
      <c r="R469" s="332"/>
      <c r="S469" s="332"/>
      <c r="T469" s="332"/>
      <c r="U469" s="332"/>
      <c r="V469" s="332"/>
      <c r="W469" s="332"/>
      <c r="X469" s="332"/>
      <c r="Y469" s="332"/>
    </row>
    <row r="470" spans="2:25" x14ac:dyDescent="0.3">
      <c r="B470" s="333">
        <v>80</v>
      </c>
      <c r="C470" s="333"/>
      <c r="D470" s="333"/>
      <c r="E470" s="333"/>
      <c r="F470" s="333"/>
      <c r="G470" s="333"/>
      <c r="H470" s="333"/>
      <c r="I470" s="333"/>
      <c r="J470" s="333"/>
      <c r="K470" s="333"/>
      <c r="L470" s="332"/>
      <c r="M470" s="333">
        <f t="shared" si="84"/>
        <v>40</v>
      </c>
      <c r="N470" s="333" t="e">
        <f t="shared" si="85"/>
        <v>#DIV/0!</v>
      </c>
      <c r="O470" s="333" t="e">
        <f t="shared" si="86"/>
        <v>#DIV/0!</v>
      </c>
      <c r="P470" s="334" t="e">
        <f t="shared" si="87"/>
        <v>#DIV/0!</v>
      </c>
      <c r="Q470" s="334" t="e">
        <f t="shared" si="88"/>
        <v>#DIV/0!</v>
      </c>
      <c r="R470" s="332"/>
      <c r="S470" s="332"/>
      <c r="T470" s="332"/>
      <c r="U470" s="332"/>
      <c r="V470" s="332"/>
      <c r="W470" s="332"/>
      <c r="X470" s="332"/>
      <c r="Y470" s="332"/>
    </row>
    <row r="471" spans="2:25" x14ac:dyDescent="0.3">
      <c r="B471" s="333">
        <v>80</v>
      </c>
      <c r="C471" s="333"/>
      <c r="D471" s="333"/>
      <c r="E471" s="333"/>
      <c r="F471" s="333"/>
      <c r="G471" s="333"/>
      <c r="H471" s="333"/>
      <c r="I471" s="333"/>
      <c r="J471" s="333"/>
      <c r="K471" s="333"/>
      <c r="L471" s="332"/>
      <c r="M471" s="333">
        <f t="shared" si="84"/>
        <v>40</v>
      </c>
      <c r="N471" s="333" t="e">
        <f t="shared" si="85"/>
        <v>#DIV/0!</v>
      </c>
      <c r="O471" s="333" t="e">
        <f t="shared" si="86"/>
        <v>#DIV/0!</v>
      </c>
      <c r="P471" s="334" t="e">
        <f t="shared" si="87"/>
        <v>#DIV/0!</v>
      </c>
      <c r="Q471" s="334" t="e">
        <f t="shared" si="88"/>
        <v>#DIV/0!</v>
      </c>
      <c r="R471" s="332"/>
      <c r="S471" s="332"/>
      <c r="T471" s="332"/>
      <c r="U471" s="332"/>
      <c r="V471" s="332"/>
      <c r="W471" s="332"/>
      <c r="X471" s="332"/>
      <c r="Y471" s="332"/>
    </row>
    <row r="472" spans="2:25" x14ac:dyDescent="0.3">
      <c r="B472" s="333">
        <v>80</v>
      </c>
      <c r="C472" s="333"/>
      <c r="D472" s="333"/>
      <c r="E472" s="333"/>
      <c r="F472" s="333"/>
      <c r="G472" s="333"/>
      <c r="H472" s="333"/>
      <c r="I472" s="333"/>
      <c r="J472" s="333"/>
      <c r="K472" s="333"/>
      <c r="L472" s="332"/>
      <c r="M472" s="333">
        <f t="shared" si="84"/>
        <v>40</v>
      </c>
      <c r="N472" s="333" t="e">
        <f t="shared" si="85"/>
        <v>#DIV/0!</v>
      </c>
      <c r="O472" s="333" t="e">
        <f t="shared" si="86"/>
        <v>#DIV/0!</v>
      </c>
      <c r="P472" s="334" t="e">
        <f t="shared" si="87"/>
        <v>#DIV/0!</v>
      </c>
      <c r="Q472" s="334" t="e">
        <f t="shared" si="88"/>
        <v>#DIV/0!</v>
      </c>
      <c r="R472" s="332"/>
      <c r="S472" s="332"/>
      <c r="T472" s="332"/>
      <c r="U472" s="332"/>
      <c r="V472" s="332"/>
      <c r="W472" s="332"/>
      <c r="X472" s="332"/>
      <c r="Y472" s="332"/>
    </row>
    <row r="473" spans="2:25" x14ac:dyDescent="0.3">
      <c r="B473" s="333">
        <v>80</v>
      </c>
      <c r="C473" s="333"/>
      <c r="D473" s="333"/>
      <c r="E473" s="333"/>
      <c r="F473" s="333"/>
      <c r="G473" s="333"/>
      <c r="H473" s="333"/>
      <c r="I473" s="333"/>
      <c r="J473" s="333"/>
      <c r="K473" s="333"/>
      <c r="L473" s="332"/>
      <c r="M473" s="333">
        <f t="shared" si="84"/>
        <v>40</v>
      </c>
      <c r="N473" s="333" t="e">
        <f t="shared" si="85"/>
        <v>#DIV/0!</v>
      </c>
      <c r="O473" s="333" t="e">
        <f t="shared" si="86"/>
        <v>#DIV/0!</v>
      </c>
      <c r="P473" s="334" t="e">
        <f t="shared" si="87"/>
        <v>#DIV/0!</v>
      </c>
      <c r="Q473" s="334" t="e">
        <f t="shared" si="88"/>
        <v>#DIV/0!</v>
      </c>
      <c r="R473" s="332"/>
      <c r="S473" s="332"/>
      <c r="T473" s="332"/>
      <c r="U473" s="332"/>
      <c r="V473" s="332"/>
      <c r="W473" s="332"/>
      <c r="X473" s="332"/>
      <c r="Y473" s="332"/>
    </row>
    <row r="474" spans="2:25" x14ac:dyDescent="0.3">
      <c r="B474" s="333">
        <v>80</v>
      </c>
      <c r="C474" s="333"/>
      <c r="D474" s="333"/>
      <c r="E474" s="333"/>
      <c r="F474" s="333"/>
      <c r="G474" s="333"/>
      <c r="H474" s="333"/>
      <c r="I474" s="333"/>
      <c r="J474" s="333"/>
      <c r="K474" s="333"/>
      <c r="L474" s="332"/>
      <c r="M474" s="333">
        <f t="shared" si="84"/>
        <v>40</v>
      </c>
      <c r="N474" s="333" t="e">
        <f t="shared" si="85"/>
        <v>#DIV/0!</v>
      </c>
      <c r="O474" s="333" t="e">
        <f t="shared" si="86"/>
        <v>#DIV/0!</v>
      </c>
      <c r="P474" s="334" t="e">
        <f t="shared" si="87"/>
        <v>#DIV/0!</v>
      </c>
      <c r="Q474" s="334" t="e">
        <f t="shared" si="88"/>
        <v>#DIV/0!</v>
      </c>
      <c r="R474" s="332"/>
      <c r="S474" s="332"/>
      <c r="T474" s="332"/>
      <c r="U474" s="332"/>
      <c r="V474" s="332"/>
      <c r="W474" s="332"/>
      <c r="X474" s="332"/>
      <c r="Y474" s="332"/>
    </row>
    <row r="475" spans="2:25" x14ac:dyDescent="0.3">
      <c r="B475" s="333">
        <v>80</v>
      </c>
      <c r="C475" s="333"/>
      <c r="D475" s="333"/>
      <c r="E475" s="333"/>
      <c r="F475" s="333"/>
      <c r="G475" s="333"/>
      <c r="H475" s="333"/>
      <c r="I475" s="333"/>
      <c r="J475" s="333"/>
      <c r="K475" s="333"/>
      <c r="L475" s="332"/>
      <c r="M475" s="333">
        <f t="shared" si="84"/>
        <v>40</v>
      </c>
      <c r="N475" s="333" t="e">
        <f t="shared" si="85"/>
        <v>#DIV/0!</v>
      </c>
      <c r="O475" s="333" t="e">
        <f t="shared" si="86"/>
        <v>#DIV/0!</v>
      </c>
      <c r="P475" s="334" t="e">
        <f t="shared" si="87"/>
        <v>#DIV/0!</v>
      </c>
      <c r="Q475" s="334" t="e">
        <f t="shared" si="88"/>
        <v>#DIV/0!</v>
      </c>
      <c r="R475" s="332"/>
      <c r="S475" s="332"/>
      <c r="T475" s="332"/>
      <c r="U475" s="332"/>
      <c r="V475" s="332"/>
      <c r="W475" s="332"/>
      <c r="X475" s="332"/>
      <c r="Y475" s="332"/>
    </row>
    <row r="476" spans="2:25" x14ac:dyDescent="0.3">
      <c r="B476" s="333">
        <v>80</v>
      </c>
      <c r="C476" s="333"/>
      <c r="D476" s="333"/>
      <c r="E476" s="333"/>
      <c r="F476" s="333"/>
      <c r="G476" s="333"/>
      <c r="H476" s="333"/>
      <c r="I476" s="333"/>
      <c r="J476" s="333"/>
      <c r="K476" s="333"/>
      <c r="L476" s="332"/>
      <c r="M476" s="333">
        <f t="shared" si="84"/>
        <v>40</v>
      </c>
      <c r="N476" s="333" t="e">
        <f t="shared" si="85"/>
        <v>#DIV/0!</v>
      </c>
      <c r="O476" s="333" t="e">
        <f t="shared" si="86"/>
        <v>#DIV/0!</v>
      </c>
      <c r="P476" s="334" t="e">
        <f t="shared" si="87"/>
        <v>#DIV/0!</v>
      </c>
      <c r="Q476" s="334" t="e">
        <f t="shared" si="88"/>
        <v>#DIV/0!</v>
      </c>
      <c r="R476" s="332"/>
      <c r="S476" s="332"/>
      <c r="T476" s="332"/>
      <c r="U476" s="332"/>
      <c r="V476" s="332"/>
      <c r="W476" s="332"/>
      <c r="X476" s="332"/>
      <c r="Y476" s="332"/>
    </row>
    <row r="480" spans="2:25" x14ac:dyDescent="0.3">
      <c r="B480" s="451" t="s">
        <v>761</v>
      </c>
      <c r="C480" s="452"/>
      <c r="D480" s="452"/>
      <c r="E480" s="452"/>
      <c r="F480" s="452"/>
      <c r="G480" s="452"/>
      <c r="H480" s="452"/>
      <c r="I480" s="452"/>
      <c r="J480" s="452"/>
      <c r="K480" s="452"/>
      <c r="L480" s="332"/>
      <c r="M480" s="451" t="s">
        <v>762</v>
      </c>
      <c r="N480" s="452"/>
      <c r="O480" s="452"/>
      <c r="P480" s="407" t="s">
        <v>763</v>
      </c>
      <c r="Q480" s="409"/>
      <c r="R480" s="332"/>
    </row>
    <row r="481" spans="2:25" x14ac:dyDescent="0.3">
      <c r="B481" s="230" t="s">
        <v>222</v>
      </c>
      <c r="C481" s="230" t="s">
        <v>779</v>
      </c>
      <c r="D481" s="230" t="s">
        <v>223</v>
      </c>
      <c r="E481" s="230" t="s">
        <v>224</v>
      </c>
      <c r="F481" s="230" t="s">
        <v>225</v>
      </c>
      <c r="G481" s="230" t="s">
        <v>226</v>
      </c>
      <c r="H481" s="230" t="s">
        <v>227</v>
      </c>
      <c r="I481" s="230" t="s">
        <v>789</v>
      </c>
      <c r="J481" s="230" t="s">
        <v>790</v>
      </c>
      <c r="K481" s="230" t="s">
        <v>230</v>
      </c>
      <c r="L481" s="332"/>
      <c r="M481" s="230" t="s">
        <v>764</v>
      </c>
      <c r="N481" s="230" t="s">
        <v>437</v>
      </c>
      <c r="O481" s="230" t="s">
        <v>438</v>
      </c>
      <c r="P481" s="226" t="s">
        <v>437</v>
      </c>
      <c r="Q481" s="226" t="s">
        <v>438</v>
      </c>
      <c r="R481" s="332"/>
    </row>
    <row r="482" spans="2:25" x14ac:dyDescent="0.3">
      <c r="B482" s="333">
        <v>0</v>
      </c>
      <c r="C482" s="333"/>
      <c r="D482" s="333"/>
      <c r="E482" s="333"/>
      <c r="F482" s="333"/>
      <c r="G482" s="333"/>
      <c r="H482" s="333"/>
      <c r="I482" s="333"/>
      <c r="J482" s="333"/>
      <c r="K482" s="333"/>
      <c r="L482" s="332"/>
      <c r="M482" s="333">
        <f t="shared" ref="M482:M545" si="89">B482/2</f>
        <v>0</v>
      </c>
      <c r="N482" s="333" t="e">
        <f>(SUM(C482:E482)-SUM($C$191:$E$191))*$F$71</f>
        <v>#DIV/0!</v>
      </c>
      <c r="O482" s="333" t="e">
        <f>(SUM(F482:H482)-SUM($F$191:$H$191))*$G$71</f>
        <v>#DIV/0!</v>
      </c>
      <c r="P482" s="334" t="e">
        <f>N482-M482</f>
        <v>#DIV/0!</v>
      </c>
      <c r="Q482" s="334" t="e">
        <f>O482-M482</f>
        <v>#DIV/0!</v>
      </c>
      <c r="R482" s="332"/>
    </row>
    <row r="483" spans="2:25" x14ac:dyDescent="0.3">
      <c r="B483" s="333">
        <v>0</v>
      </c>
      <c r="C483" s="333"/>
      <c r="D483" s="333"/>
      <c r="E483" s="333"/>
      <c r="F483" s="333"/>
      <c r="G483" s="333"/>
      <c r="H483" s="333"/>
      <c r="I483" s="333"/>
      <c r="J483" s="333"/>
      <c r="K483" s="333"/>
      <c r="L483" s="332"/>
      <c r="M483" s="333">
        <f t="shared" si="89"/>
        <v>0</v>
      </c>
      <c r="N483" s="333" t="e">
        <f>(SUM(C483:E483)-SUM($C$191:$E$191))*$F$71</f>
        <v>#DIV/0!</v>
      </c>
      <c r="O483" s="333" t="e">
        <f>(SUM(F483:H483)-SUM($F$191:$H$191))*$G$71</f>
        <v>#DIV/0!</v>
      </c>
      <c r="P483" s="334" t="e">
        <f>N483-M483</f>
        <v>#DIV/0!</v>
      </c>
      <c r="Q483" s="334" t="e">
        <f>O483-M483</f>
        <v>#DIV/0!</v>
      </c>
      <c r="R483" s="332"/>
    </row>
    <row r="484" spans="2:25" x14ac:dyDescent="0.3">
      <c r="B484" s="333">
        <v>0</v>
      </c>
      <c r="C484" s="333"/>
      <c r="D484" s="333"/>
      <c r="E484" s="333"/>
      <c r="F484" s="333"/>
      <c r="G484" s="333"/>
      <c r="H484" s="333"/>
      <c r="I484" s="333"/>
      <c r="J484" s="333"/>
      <c r="K484" s="333"/>
      <c r="L484" s="332"/>
      <c r="M484" s="333">
        <f t="shared" si="89"/>
        <v>0</v>
      </c>
      <c r="N484" s="333" t="e">
        <f t="shared" ref="N484:N547" si="90">(SUM(C484:E484)-SUM($C$191:$E$191))*$F$71</f>
        <v>#DIV/0!</v>
      </c>
      <c r="O484" s="333" t="e">
        <f t="shared" ref="O484:O547" si="91">(SUM(F484:H484)-SUM($F$191:$H$191))*$G$71</f>
        <v>#DIV/0!</v>
      </c>
      <c r="P484" s="334" t="e">
        <f t="shared" ref="P484:P547" si="92">N484-M484</f>
        <v>#DIV/0!</v>
      </c>
      <c r="Q484" s="334" t="e">
        <f t="shared" ref="Q484:Q547" si="93">O484-M484</f>
        <v>#DIV/0!</v>
      </c>
      <c r="R484" s="332"/>
    </row>
    <row r="485" spans="2:25" x14ac:dyDescent="0.3">
      <c r="B485" s="333">
        <v>0</v>
      </c>
      <c r="C485" s="333"/>
      <c r="D485" s="333"/>
      <c r="E485" s="333"/>
      <c r="F485" s="333"/>
      <c r="G485" s="333"/>
      <c r="H485" s="333"/>
      <c r="I485" s="333"/>
      <c r="J485" s="333"/>
      <c r="K485" s="333"/>
      <c r="L485" s="332"/>
      <c r="M485" s="333">
        <f t="shared" si="89"/>
        <v>0</v>
      </c>
      <c r="N485" s="333" t="e">
        <f t="shared" si="90"/>
        <v>#DIV/0!</v>
      </c>
      <c r="O485" s="333" t="e">
        <f t="shared" si="91"/>
        <v>#DIV/0!</v>
      </c>
      <c r="P485" s="334" t="e">
        <f t="shared" si="92"/>
        <v>#DIV/0!</v>
      </c>
      <c r="Q485" s="334" t="e">
        <f t="shared" si="93"/>
        <v>#DIV/0!</v>
      </c>
      <c r="R485" s="332"/>
    </row>
    <row r="486" spans="2:25" x14ac:dyDescent="0.3">
      <c r="B486" s="333">
        <v>0</v>
      </c>
      <c r="C486" s="333"/>
      <c r="D486" s="333"/>
      <c r="E486" s="333"/>
      <c r="F486" s="333"/>
      <c r="G486" s="333"/>
      <c r="H486" s="333"/>
      <c r="I486" s="333"/>
      <c r="J486" s="333"/>
      <c r="K486" s="333"/>
      <c r="L486" s="332"/>
      <c r="M486" s="333">
        <f t="shared" si="89"/>
        <v>0</v>
      </c>
      <c r="N486" s="333" t="e">
        <f t="shared" si="90"/>
        <v>#DIV/0!</v>
      </c>
      <c r="O486" s="333" t="e">
        <f t="shared" si="91"/>
        <v>#DIV/0!</v>
      </c>
      <c r="P486" s="334" t="e">
        <f t="shared" si="92"/>
        <v>#DIV/0!</v>
      </c>
      <c r="Q486" s="334" t="e">
        <f t="shared" si="93"/>
        <v>#DIV/0!</v>
      </c>
      <c r="R486" s="332"/>
    </row>
    <row r="487" spans="2:25" x14ac:dyDescent="0.3">
      <c r="B487" s="333">
        <v>0</v>
      </c>
      <c r="C487" s="333"/>
      <c r="D487" s="333"/>
      <c r="E487" s="333"/>
      <c r="F487" s="333"/>
      <c r="G487" s="333"/>
      <c r="H487" s="333"/>
      <c r="I487" s="333"/>
      <c r="J487" s="333"/>
      <c r="K487" s="333"/>
      <c r="L487" s="332"/>
      <c r="M487" s="333">
        <f t="shared" si="89"/>
        <v>0</v>
      </c>
      <c r="N487" s="333" t="e">
        <f t="shared" si="90"/>
        <v>#DIV/0!</v>
      </c>
      <c r="O487" s="333" t="e">
        <f t="shared" si="91"/>
        <v>#DIV/0!</v>
      </c>
      <c r="P487" s="334" t="e">
        <f t="shared" si="92"/>
        <v>#DIV/0!</v>
      </c>
      <c r="Q487" s="334" t="e">
        <f t="shared" si="93"/>
        <v>#DIV/0!</v>
      </c>
      <c r="R487" s="332"/>
      <c r="S487" s="332"/>
      <c r="T487" s="332"/>
      <c r="U487" s="332"/>
      <c r="V487" s="332"/>
      <c r="W487" s="332"/>
      <c r="X487" s="332"/>
      <c r="Y487" s="332"/>
    </row>
    <row r="488" spans="2:25" x14ac:dyDescent="0.3">
      <c r="B488" s="333">
        <v>0</v>
      </c>
      <c r="C488" s="333"/>
      <c r="D488" s="333"/>
      <c r="E488" s="333"/>
      <c r="F488" s="333"/>
      <c r="G488" s="333"/>
      <c r="H488" s="333"/>
      <c r="I488" s="333"/>
      <c r="J488" s="333"/>
      <c r="K488" s="333"/>
      <c r="L488" s="332"/>
      <c r="M488" s="333">
        <f t="shared" si="89"/>
        <v>0</v>
      </c>
      <c r="N488" s="333" t="e">
        <f t="shared" si="90"/>
        <v>#DIV/0!</v>
      </c>
      <c r="O488" s="333" t="e">
        <f t="shared" si="91"/>
        <v>#DIV/0!</v>
      </c>
      <c r="P488" s="334" t="e">
        <f t="shared" si="92"/>
        <v>#DIV/0!</v>
      </c>
      <c r="Q488" s="334" t="e">
        <f t="shared" si="93"/>
        <v>#DIV/0!</v>
      </c>
      <c r="R488" s="332"/>
      <c r="S488" s="332"/>
      <c r="T488" s="332"/>
      <c r="U488" s="332"/>
      <c r="V488" s="332"/>
      <c r="W488" s="332"/>
      <c r="X488" s="332"/>
      <c r="Y488" s="332"/>
    </row>
    <row r="489" spans="2:25" x14ac:dyDescent="0.3">
      <c r="B489" s="333">
        <v>0</v>
      </c>
      <c r="C489" s="333"/>
      <c r="D489" s="333"/>
      <c r="E489" s="333"/>
      <c r="F489" s="333"/>
      <c r="G489" s="333"/>
      <c r="H489" s="333"/>
      <c r="I489" s="333"/>
      <c r="J489" s="333"/>
      <c r="K489" s="333"/>
      <c r="L489" s="332"/>
      <c r="M489" s="333">
        <f t="shared" si="89"/>
        <v>0</v>
      </c>
      <c r="N489" s="333" t="e">
        <f t="shared" si="90"/>
        <v>#DIV/0!</v>
      </c>
      <c r="O489" s="333" t="e">
        <f t="shared" si="91"/>
        <v>#DIV/0!</v>
      </c>
      <c r="P489" s="334" t="e">
        <f t="shared" si="92"/>
        <v>#DIV/0!</v>
      </c>
      <c r="Q489" s="334" t="e">
        <f t="shared" si="93"/>
        <v>#DIV/0!</v>
      </c>
      <c r="R489" s="332"/>
      <c r="S489" s="332"/>
      <c r="T489" s="332"/>
      <c r="U489" s="332"/>
      <c r="V489" s="332"/>
      <c r="W489" s="332"/>
      <c r="X489" s="332"/>
      <c r="Y489" s="332"/>
    </row>
    <row r="490" spans="2:25" x14ac:dyDescent="0.3">
      <c r="B490" s="333">
        <v>0</v>
      </c>
      <c r="C490" s="333"/>
      <c r="D490" s="333"/>
      <c r="E490" s="333"/>
      <c r="F490" s="333"/>
      <c r="G490" s="333"/>
      <c r="H490" s="333"/>
      <c r="I490" s="333"/>
      <c r="J490" s="333"/>
      <c r="K490" s="333"/>
      <c r="L490" s="332"/>
      <c r="M490" s="333">
        <f t="shared" si="89"/>
        <v>0</v>
      </c>
      <c r="N490" s="333" t="e">
        <f t="shared" si="90"/>
        <v>#DIV/0!</v>
      </c>
      <c r="O490" s="333" t="e">
        <f t="shared" si="91"/>
        <v>#DIV/0!</v>
      </c>
      <c r="P490" s="334" t="e">
        <f t="shared" si="92"/>
        <v>#DIV/0!</v>
      </c>
      <c r="Q490" s="334" t="e">
        <f t="shared" si="93"/>
        <v>#DIV/0!</v>
      </c>
      <c r="R490" s="332"/>
      <c r="S490" s="332"/>
      <c r="T490" s="332"/>
      <c r="U490" s="332"/>
      <c r="V490" s="332"/>
      <c r="W490" s="332"/>
      <c r="X490" s="332"/>
      <c r="Y490" s="332"/>
    </row>
    <row r="491" spans="2:25" x14ac:dyDescent="0.3">
      <c r="B491" s="333">
        <v>0</v>
      </c>
      <c r="C491" s="333"/>
      <c r="D491" s="333"/>
      <c r="E491" s="333"/>
      <c r="F491" s="333"/>
      <c r="G491" s="333"/>
      <c r="H491" s="333"/>
      <c r="I491" s="333"/>
      <c r="J491" s="333"/>
      <c r="K491" s="333"/>
      <c r="L491" s="332"/>
      <c r="M491" s="333">
        <f t="shared" si="89"/>
        <v>0</v>
      </c>
      <c r="N491" s="333" t="e">
        <f t="shared" si="90"/>
        <v>#DIV/0!</v>
      </c>
      <c r="O491" s="333" t="e">
        <f t="shared" si="91"/>
        <v>#DIV/0!</v>
      </c>
      <c r="P491" s="334" t="e">
        <f t="shared" si="92"/>
        <v>#DIV/0!</v>
      </c>
      <c r="Q491" s="334" t="e">
        <f t="shared" si="93"/>
        <v>#DIV/0!</v>
      </c>
      <c r="R491" s="332"/>
      <c r="S491" s="332"/>
      <c r="T491" s="332"/>
      <c r="U491" s="332"/>
      <c r="V491" s="332"/>
      <c r="W491" s="332"/>
      <c r="X491" s="332"/>
      <c r="Y491" s="332"/>
    </row>
    <row r="492" spans="2:25" x14ac:dyDescent="0.3">
      <c r="B492" s="333">
        <v>0</v>
      </c>
      <c r="C492" s="333"/>
      <c r="D492" s="333"/>
      <c r="E492" s="333"/>
      <c r="F492" s="333"/>
      <c r="G492" s="333"/>
      <c r="H492" s="333"/>
      <c r="I492" s="333"/>
      <c r="J492" s="333"/>
      <c r="K492" s="333"/>
      <c r="L492" s="332"/>
      <c r="M492" s="333">
        <f t="shared" si="89"/>
        <v>0</v>
      </c>
      <c r="N492" s="333" t="e">
        <f t="shared" si="90"/>
        <v>#DIV/0!</v>
      </c>
      <c r="O492" s="333" t="e">
        <f t="shared" si="91"/>
        <v>#DIV/0!</v>
      </c>
      <c r="P492" s="334" t="e">
        <f t="shared" si="92"/>
        <v>#DIV/0!</v>
      </c>
      <c r="Q492" s="334" t="e">
        <f t="shared" si="93"/>
        <v>#DIV/0!</v>
      </c>
      <c r="R492" s="332"/>
      <c r="S492" s="332"/>
      <c r="T492" s="332"/>
      <c r="U492" s="332"/>
      <c r="V492" s="332"/>
      <c r="W492" s="332"/>
      <c r="X492" s="332"/>
      <c r="Y492" s="332"/>
    </row>
    <row r="493" spans="2:25" x14ac:dyDescent="0.3">
      <c r="B493" s="333">
        <v>0</v>
      </c>
      <c r="C493" s="333"/>
      <c r="D493" s="333"/>
      <c r="E493" s="333"/>
      <c r="F493" s="333"/>
      <c r="G493" s="333"/>
      <c r="H493" s="333"/>
      <c r="I493" s="333"/>
      <c r="J493" s="333"/>
      <c r="K493" s="333"/>
      <c r="L493" s="332"/>
      <c r="M493" s="333">
        <f t="shared" si="89"/>
        <v>0</v>
      </c>
      <c r="N493" s="333" t="e">
        <f t="shared" si="90"/>
        <v>#DIV/0!</v>
      </c>
      <c r="O493" s="333" t="e">
        <f t="shared" si="91"/>
        <v>#DIV/0!</v>
      </c>
      <c r="P493" s="334" t="e">
        <f t="shared" si="92"/>
        <v>#DIV/0!</v>
      </c>
      <c r="Q493" s="334" t="e">
        <f t="shared" si="93"/>
        <v>#DIV/0!</v>
      </c>
      <c r="R493" s="332"/>
      <c r="S493" s="332"/>
      <c r="T493" s="332"/>
      <c r="U493" s="332"/>
      <c r="V493" s="332"/>
      <c r="W493" s="332"/>
      <c r="X493" s="332"/>
      <c r="Y493" s="332"/>
    </row>
    <row r="494" spans="2:25" x14ac:dyDescent="0.3">
      <c r="B494" s="333">
        <v>0</v>
      </c>
      <c r="C494" s="333"/>
      <c r="D494" s="333"/>
      <c r="E494" s="333"/>
      <c r="F494" s="333"/>
      <c r="G494" s="333"/>
      <c r="H494" s="333"/>
      <c r="I494" s="333"/>
      <c r="J494" s="333"/>
      <c r="K494" s="333"/>
      <c r="L494" s="332"/>
      <c r="M494" s="333">
        <f t="shared" si="89"/>
        <v>0</v>
      </c>
      <c r="N494" s="333" t="e">
        <f t="shared" si="90"/>
        <v>#DIV/0!</v>
      </c>
      <c r="O494" s="333" t="e">
        <f t="shared" si="91"/>
        <v>#DIV/0!</v>
      </c>
      <c r="P494" s="334" t="e">
        <f t="shared" si="92"/>
        <v>#DIV/0!</v>
      </c>
      <c r="Q494" s="334" t="e">
        <f t="shared" si="93"/>
        <v>#DIV/0!</v>
      </c>
      <c r="R494" s="332"/>
      <c r="S494" s="332"/>
      <c r="T494" s="332"/>
      <c r="U494" s="332"/>
      <c r="V494" s="332"/>
      <c r="W494" s="332"/>
      <c r="X494" s="332"/>
      <c r="Y494" s="332"/>
    </row>
    <row r="495" spans="2:25" x14ac:dyDescent="0.3">
      <c r="B495" s="333">
        <v>0</v>
      </c>
      <c r="C495" s="333"/>
      <c r="D495" s="333"/>
      <c r="E495" s="333"/>
      <c r="F495" s="333"/>
      <c r="G495" s="333"/>
      <c r="H495" s="333"/>
      <c r="I495" s="333"/>
      <c r="J495" s="333"/>
      <c r="K495" s="333"/>
      <c r="L495" s="332"/>
      <c r="M495" s="333">
        <f t="shared" si="89"/>
        <v>0</v>
      </c>
      <c r="N495" s="333" t="e">
        <f t="shared" si="90"/>
        <v>#DIV/0!</v>
      </c>
      <c r="O495" s="333" t="e">
        <f t="shared" si="91"/>
        <v>#DIV/0!</v>
      </c>
      <c r="P495" s="334" t="e">
        <f t="shared" si="92"/>
        <v>#DIV/0!</v>
      </c>
      <c r="Q495" s="334" t="e">
        <f t="shared" si="93"/>
        <v>#DIV/0!</v>
      </c>
      <c r="R495" s="332"/>
      <c r="S495" s="332"/>
      <c r="T495" s="332"/>
      <c r="U495" s="332"/>
      <c r="V495" s="332"/>
      <c r="W495" s="332"/>
      <c r="X495" s="332"/>
      <c r="Y495" s="332"/>
    </row>
    <row r="496" spans="2:25" x14ac:dyDescent="0.3">
      <c r="B496" s="333">
        <v>0</v>
      </c>
      <c r="C496" s="333"/>
      <c r="D496" s="333"/>
      <c r="E496" s="333"/>
      <c r="F496" s="333"/>
      <c r="G496" s="333"/>
      <c r="H496" s="333"/>
      <c r="I496" s="333"/>
      <c r="J496" s="333"/>
      <c r="K496" s="333"/>
      <c r="L496" s="332"/>
      <c r="M496" s="333">
        <f t="shared" si="89"/>
        <v>0</v>
      </c>
      <c r="N496" s="333" t="e">
        <f t="shared" si="90"/>
        <v>#DIV/0!</v>
      </c>
      <c r="O496" s="333" t="e">
        <f t="shared" si="91"/>
        <v>#DIV/0!</v>
      </c>
      <c r="P496" s="334" t="e">
        <f t="shared" si="92"/>
        <v>#DIV/0!</v>
      </c>
      <c r="Q496" s="334" t="e">
        <f t="shared" si="93"/>
        <v>#DIV/0!</v>
      </c>
      <c r="R496" s="332"/>
      <c r="S496" s="332"/>
      <c r="T496" s="332"/>
      <c r="U496" s="332"/>
      <c r="V496" s="332"/>
      <c r="W496" s="332"/>
      <c r="X496" s="332"/>
      <c r="Y496" s="332"/>
    </row>
    <row r="497" spans="2:25" x14ac:dyDescent="0.3">
      <c r="B497" s="333">
        <v>0</v>
      </c>
      <c r="C497" s="333"/>
      <c r="D497" s="333"/>
      <c r="E497" s="333"/>
      <c r="F497" s="333"/>
      <c r="G497" s="333"/>
      <c r="H497" s="333"/>
      <c r="I497" s="333"/>
      <c r="J497" s="333"/>
      <c r="K497" s="333"/>
      <c r="L497" s="332"/>
      <c r="M497" s="333">
        <f t="shared" si="89"/>
        <v>0</v>
      </c>
      <c r="N497" s="333" t="e">
        <f t="shared" si="90"/>
        <v>#DIV/0!</v>
      </c>
      <c r="O497" s="333" t="e">
        <f t="shared" si="91"/>
        <v>#DIV/0!</v>
      </c>
      <c r="P497" s="334" t="e">
        <f t="shared" si="92"/>
        <v>#DIV/0!</v>
      </c>
      <c r="Q497" s="334" t="e">
        <f t="shared" si="93"/>
        <v>#DIV/0!</v>
      </c>
      <c r="R497" s="332"/>
      <c r="S497" s="332"/>
      <c r="T497" s="332"/>
      <c r="U497" s="332"/>
      <c r="V497" s="332"/>
      <c r="W497" s="332"/>
      <c r="X497" s="332"/>
      <c r="Y497" s="332"/>
    </row>
    <row r="498" spans="2:25" x14ac:dyDescent="0.3">
      <c r="B498" s="333">
        <v>0</v>
      </c>
      <c r="C498" s="333"/>
      <c r="D498" s="333"/>
      <c r="E498" s="333"/>
      <c r="F498" s="333"/>
      <c r="G498" s="333"/>
      <c r="H498" s="333"/>
      <c r="I498" s="333"/>
      <c r="J498" s="333"/>
      <c r="K498" s="333"/>
      <c r="L498" s="332"/>
      <c r="M498" s="333">
        <f t="shared" si="89"/>
        <v>0</v>
      </c>
      <c r="N498" s="333" t="e">
        <f t="shared" si="90"/>
        <v>#DIV/0!</v>
      </c>
      <c r="O498" s="333" t="e">
        <f t="shared" si="91"/>
        <v>#DIV/0!</v>
      </c>
      <c r="P498" s="334" t="e">
        <f t="shared" si="92"/>
        <v>#DIV/0!</v>
      </c>
      <c r="Q498" s="334" t="e">
        <f t="shared" si="93"/>
        <v>#DIV/0!</v>
      </c>
      <c r="R498" s="332"/>
      <c r="S498" s="332"/>
      <c r="T498" s="332"/>
      <c r="U498" s="332"/>
      <c r="V498" s="332"/>
      <c r="W498" s="332"/>
      <c r="X498" s="332"/>
      <c r="Y498" s="332"/>
    </row>
    <row r="499" spans="2:25" x14ac:dyDescent="0.3">
      <c r="B499" s="333">
        <v>0</v>
      </c>
      <c r="C499" s="333"/>
      <c r="D499" s="333"/>
      <c r="E499" s="333"/>
      <c r="F499" s="333"/>
      <c r="G499" s="333"/>
      <c r="H499" s="333"/>
      <c r="I499" s="333"/>
      <c r="J499" s="333"/>
      <c r="K499" s="333"/>
      <c r="L499" s="332"/>
      <c r="M499" s="333">
        <f t="shared" si="89"/>
        <v>0</v>
      </c>
      <c r="N499" s="333" t="e">
        <f t="shared" si="90"/>
        <v>#DIV/0!</v>
      </c>
      <c r="O499" s="333" t="e">
        <f t="shared" si="91"/>
        <v>#DIV/0!</v>
      </c>
      <c r="P499" s="334" t="e">
        <f t="shared" si="92"/>
        <v>#DIV/0!</v>
      </c>
      <c r="Q499" s="334" t="e">
        <f t="shared" si="93"/>
        <v>#DIV/0!</v>
      </c>
      <c r="R499" s="332"/>
      <c r="S499" s="332"/>
      <c r="T499" s="332"/>
      <c r="U499" s="332"/>
      <c r="V499" s="332"/>
      <c r="W499" s="332"/>
      <c r="X499" s="332"/>
      <c r="Y499" s="332"/>
    </row>
    <row r="500" spans="2:25" x14ac:dyDescent="0.3">
      <c r="B500" s="333">
        <v>0</v>
      </c>
      <c r="C500" s="333"/>
      <c r="D500" s="333"/>
      <c r="E500" s="333"/>
      <c r="F500" s="333"/>
      <c r="G500" s="333"/>
      <c r="H500" s="333"/>
      <c r="I500" s="333"/>
      <c r="J500" s="333"/>
      <c r="K500" s="333"/>
      <c r="L500" s="332"/>
      <c r="M500" s="333">
        <f t="shared" si="89"/>
        <v>0</v>
      </c>
      <c r="N500" s="333" t="e">
        <f t="shared" si="90"/>
        <v>#DIV/0!</v>
      </c>
      <c r="O500" s="333" t="e">
        <f t="shared" si="91"/>
        <v>#DIV/0!</v>
      </c>
      <c r="P500" s="334" t="e">
        <f t="shared" si="92"/>
        <v>#DIV/0!</v>
      </c>
      <c r="Q500" s="334" t="e">
        <f t="shared" si="93"/>
        <v>#DIV/0!</v>
      </c>
      <c r="R500" s="332"/>
      <c r="S500" s="332"/>
      <c r="T500" s="332"/>
      <c r="U500" s="332"/>
      <c r="V500" s="332"/>
      <c r="W500" s="332"/>
      <c r="X500" s="332"/>
      <c r="Y500" s="332"/>
    </row>
    <row r="501" spans="2:25" x14ac:dyDescent="0.3">
      <c r="B501" s="333">
        <v>0</v>
      </c>
      <c r="C501" s="333"/>
      <c r="D501" s="333"/>
      <c r="E501" s="333"/>
      <c r="F501" s="333"/>
      <c r="G501" s="333"/>
      <c r="H501" s="333"/>
      <c r="I501" s="333"/>
      <c r="J501" s="333"/>
      <c r="K501" s="333"/>
      <c r="L501" s="332"/>
      <c r="M501" s="333">
        <f t="shared" si="89"/>
        <v>0</v>
      </c>
      <c r="N501" s="333" t="e">
        <f t="shared" si="90"/>
        <v>#DIV/0!</v>
      </c>
      <c r="O501" s="333" t="e">
        <f t="shared" si="91"/>
        <v>#DIV/0!</v>
      </c>
      <c r="P501" s="334" t="e">
        <f t="shared" si="92"/>
        <v>#DIV/0!</v>
      </c>
      <c r="Q501" s="334" t="e">
        <f t="shared" si="93"/>
        <v>#DIV/0!</v>
      </c>
      <c r="R501" s="332"/>
      <c r="S501" s="332"/>
      <c r="T501" s="332"/>
      <c r="U501" s="332"/>
      <c r="V501" s="332"/>
      <c r="W501" s="332"/>
      <c r="X501" s="332"/>
      <c r="Y501" s="332"/>
    </row>
    <row r="502" spans="2:25" x14ac:dyDescent="0.3">
      <c r="B502" s="333">
        <v>10</v>
      </c>
      <c r="C502" s="333"/>
      <c r="D502" s="333"/>
      <c r="E502" s="333"/>
      <c r="F502" s="333"/>
      <c r="G502" s="333"/>
      <c r="H502" s="333"/>
      <c r="I502" s="333"/>
      <c r="J502" s="333"/>
      <c r="K502" s="333"/>
      <c r="L502" s="332"/>
      <c r="M502" s="333">
        <f t="shared" si="89"/>
        <v>5</v>
      </c>
      <c r="N502" s="333" t="e">
        <f t="shared" si="90"/>
        <v>#DIV/0!</v>
      </c>
      <c r="O502" s="333" t="e">
        <f t="shared" si="91"/>
        <v>#DIV/0!</v>
      </c>
      <c r="P502" s="334" t="e">
        <f t="shared" si="92"/>
        <v>#DIV/0!</v>
      </c>
      <c r="Q502" s="334" t="e">
        <f t="shared" si="93"/>
        <v>#DIV/0!</v>
      </c>
      <c r="R502" s="332"/>
      <c r="S502" s="332"/>
      <c r="T502" s="332"/>
      <c r="U502" s="332"/>
      <c r="V502" s="332"/>
      <c r="W502" s="332"/>
      <c r="X502" s="332"/>
      <c r="Y502" s="332"/>
    </row>
    <row r="503" spans="2:25" x14ac:dyDescent="0.3">
      <c r="B503" s="333">
        <v>10</v>
      </c>
      <c r="C503" s="333"/>
      <c r="D503" s="333"/>
      <c r="E503" s="333"/>
      <c r="F503" s="333"/>
      <c r="G503" s="333"/>
      <c r="H503" s="333"/>
      <c r="I503" s="333"/>
      <c r="J503" s="333"/>
      <c r="K503" s="333"/>
      <c r="L503" s="332"/>
      <c r="M503" s="333">
        <f t="shared" si="89"/>
        <v>5</v>
      </c>
      <c r="N503" s="333" t="e">
        <f t="shared" si="90"/>
        <v>#DIV/0!</v>
      </c>
      <c r="O503" s="333" t="e">
        <f t="shared" si="91"/>
        <v>#DIV/0!</v>
      </c>
      <c r="P503" s="334" t="e">
        <f t="shared" si="92"/>
        <v>#DIV/0!</v>
      </c>
      <c r="Q503" s="334" t="e">
        <f t="shared" si="93"/>
        <v>#DIV/0!</v>
      </c>
      <c r="R503" s="332"/>
      <c r="S503" s="332"/>
      <c r="T503" s="332"/>
      <c r="U503" s="332"/>
      <c r="V503" s="332"/>
      <c r="W503" s="332"/>
      <c r="X503" s="332"/>
      <c r="Y503" s="332"/>
    </row>
    <row r="504" spans="2:25" x14ac:dyDescent="0.3">
      <c r="B504" s="333">
        <v>10</v>
      </c>
      <c r="C504" s="333"/>
      <c r="D504" s="333"/>
      <c r="E504" s="333"/>
      <c r="F504" s="333"/>
      <c r="G504" s="333"/>
      <c r="H504" s="333"/>
      <c r="I504" s="333"/>
      <c r="J504" s="333"/>
      <c r="K504" s="333"/>
      <c r="L504" s="332"/>
      <c r="M504" s="333">
        <f t="shared" si="89"/>
        <v>5</v>
      </c>
      <c r="N504" s="333" t="e">
        <f t="shared" si="90"/>
        <v>#DIV/0!</v>
      </c>
      <c r="O504" s="333" t="e">
        <f t="shared" si="91"/>
        <v>#DIV/0!</v>
      </c>
      <c r="P504" s="334" t="e">
        <f t="shared" si="92"/>
        <v>#DIV/0!</v>
      </c>
      <c r="Q504" s="334" t="e">
        <f t="shared" si="93"/>
        <v>#DIV/0!</v>
      </c>
      <c r="R504" s="332"/>
      <c r="S504" s="332"/>
      <c r="T504" s="332"/>
      <c r="U504" s="332"/>
      <c r="V504" s="332"/>
      <c r="W504" s="332"/>
      <c r="X504" s="332"/>
      <c r="Y504" s="332"/>
    </row>
    <row r="505" spans="2:25" x14ac:dyDescent="0.3">
      <c r="B505" s="333">
        <v>10</v>
      </c>
      <c r="C505" s="333"/>
      <c r="D505" s="333"/>
      <c r="E505" s="333"/>
      <c r="F505" s="333"/>
      <c r="G505" s="333"/>
      <c r="H505" s="333"/>
      <c r="I505" s="333"/>
      <c r="J505" s="333"/>
      <c r="K505" s="333"/>
      <c r="L505" s="332"/>
      <c r="M505" s="333">
        <f t="shared" si="89"/>
        <v>5</v>
      </c>
      <c r="N505" s="333" t="e">
        <f t="shared" si="90"/>
        <v>#DIV/0!</v>
      </c>
      <c r="O505" s="333" t="e">
        <f t="shared" si="91"/>
        <v>#DIV/0!</v>
      </c>
      <c r="P505" s="334" t="e">
        <f t="shared" si="92"/>
        <v>#DIV/0!</v>
      </c>
      <c r="Q505" s="334" t="e">
        <f t="shared" si="93"/>
        <v>#DIV/0!</v>
      </c>
      <c r="R505" s="332"/>
      <c r="S505" s="332"/>
      <c r="T505" s="332"/>
      <c r="U505" s="332"/>
      <c r="V505" s="332"/>
      <c r="W505" s="332"/>
      <c r="X505" s="332"/>
      <c r="Y505" s="332"/>
    </row>
    <row r="506" spans="2:25" x14ac:dyDescent="0.3">
      <c r="B506" s="333">
        <v>10</v>
      </c>
      <c r="C506" s="333"/>
      <c r="D506" s="333"/>
      <c r="E506" s="333"/>
      <c r="F506" s="333"/>
      <c r="G506" s="333"/>
      <c r="H506" s="333"/>
      <c r="I506" s="333"/>
      <c r="J506" s="333"/>
      <c r="K506" s="333"/>
      <c r="L506" s="332"/>
      <c r="M506" s="333">
        <f t="shared" si="89"/>
        <v>5</v>
      </c>
      <c r="N506" s="333" t="e">
        <f t="shared" si="90"/>
        <v>#DIV/0!</v>
      </c>
      <c r="O506" s="333" t="e">
        <f t="shared" si="91"/>
        <v>#DIV/0!</v>
      </c>
      <c r="P506" s="334" t="e">
        <f t="shared" si="92"/>
        <v>#DIV/0!</v>
      </c>
      <c r="Q506" s="334" t="e">
        <f t="shared" si="93"/>
        <v>#DIV/0!</v>
      </c>
      <c r="R506" s="332"/>
      <c r="S506" s="332"/>
      <c r="T506" s="332"/>
      <c r="U506" s="332"/>
      <c r="V506" s="332"/>
      <c r="W506" s="332"/>
      <c r="X506" s="332"/>
      <c r="Y506" s="332"/>
    </row>
    <row r="507" spans="2:25" x14ac:dyDescent="0.3">
      <c r="B507" s="333">
        <v>10</v>
      </c>
      <c r="C507" s="333"/>
      <c r="D507" s="333"/>
      <c r="E507" s="333"/>
      <c r="F507" s="333"/>
      <c r="G507" s="333"/>
      <c r="H507" s="333"/>
      <c r="I507" s="333"/>
      <c r="J507" s="333"/>
      <c r="K507" s="333"/>
      <c r="L507" s="332"/>
      <c r="M507" s="333">
        <f t="shared" si="89"/>
        <v>5</v>
      </c>
      <c r="N507" s="333" t="e">
        <f t="shared" si="90"/>
        <v>#DIV/0!</v>
      </c>
      <c r="O507" s="333" t="e">
        <f t="shared" si="91"/>
        <v>#DIV/0!</v>
      </c>
      <c r="P507" s="334" t="e">
        <f t="shared" si="92"/>
        <v>#DIV/0!</v>
      </c>
      <c r="Q507" s="334" t="e">
        <f t="shared" si="93"/>
        <v>#DIV/0!</v>
      </c>
      <c r="R507" s="332"/>
      <c r="S507" s="332"/>
      <c r="T507" s="332"/>
      <c r="U507" s="332"/>
      <c r="V507" s="332"/>
      <c r="W507" s="332"/>
      <c r="X507" s="332"/>
      <c r="Y507" s="332"/>
    </row>
    <row r="508" spans="2:25" x14ac:dyDescent="0.3">
      <c r="B508" s="333">
        <v>10</v>
      </c>
      <c r="C508" s="333"/>
      <c r="D508" s="333"/>
      <c r="E508" s="333"/>
      <c r="F508" s="333"/>
      <c r="G508" s="333"/>
      <c r="H508" s="333"/>
      <c r="I508" s="333"/>
      <c r="J508" s="333"/>
      <c r="K508" s="333"/>
      <c r="L508" s="332"/>
      <c r="M508" s="333">
        <f t="shared" si="89"/>
        <v>5</v>
      </c>
      <c r="N508" s="333" t="e">
        <f t="shared" si="90"/>
        <v>#DIV/0!</v>
      </c>
      <c r="O508" s="333" t="e">
        <f t="shared" si="91"/>
        <v>#DIV/0!</v>
      </c>
      <c r="P508" s="334" t="e">
        <f t="shared" si="92"/>
        <v>#DIV/0!</v>
      </c>
      <c r="Q508" s="334" t="e">
        <f t="shared" si="93"/>
        <v>#DIV/0!</v>
      </c>
      <c r="R508" s="332"/>
      <c r="S508" s="332"/>
      <c r="T508" s="332"/>
      <c r="U508" s="332"/>
      <c r="V508" s="332"/>
      <c r="W508" s="332"/>
      <c r="X508" s="332"/>
      <c r="Y508" s="332"/>
    </row>
    <row r="509" spans="2:25" x14ac:dyDescent="0.3">
      <c r="B509" s="333">
        <v>10</v>
      </c>
      <c r="C509" s="333"/>
      <c r="D509" s="333"/>
      <c r="E509" s="333"/>
      <c r="F509" s="333"/>
      <c r="G509" s="333"/>
      <c r="H509" s="333"/>
      <c r="I509" s="333"/>
      <c r="J509" s="333"/>
      <c r="K509" s="333"/>
      <c r="L509" s="332"/>
      <c r="M509" s="333">
        <f t="shared" si="89"/>
        <v>5</v>
      </c>
      <c r="N509" s="333" t="e">
        <f t="shared" si="90"/>
        <v>#DIV/0!</v>
      </c>
      <c r="O509" s="333" t="e">
        <f t="shared" si="91"/>
        <v>#DIV/0!</v>
      </c>
      <c r="P509" s="334" t="e">
        <f t="shared" si="92"/>
        <v>#DIV/0!</v>
      </c>
      <c r="Q509" s="334" t="e">
        <f t="shared" si="93"/>
        <v>#DIV/0!</v>
      </c>
      <c r="R509" s="332"/>
      <c r="S509" s="332"/>
      <c r="T509" s="332"/>
      <c r="U509" s="332"/>
      <c r="V509" s="332"/>
      <c r="W509" s="332"/>
      <c r="X509" s="332"/>
      <c r="Y509" s="332"/>
    </row>
    <row r="510" spans="2:25" x14ac:dyDescent="0.3">
      <c r="B510" s="333">
        <v>10</v>
      </c>
      <c r="C510" s="333"/>
      <c r="D510" s="333"/>
      <c r="E510" s="333"/>
      <c r="F510" s="333"/>
      <c r="G510" s="333"/>
      <c r="H510" s="333"/>
      <c r="I510" s="333"/>
      <c r="J510" s="333"/>
      <c r="K510" s="333"/>
      <c r="L510" s="332"/>
      <c r="M510" s="333">
        <f t="shared" si="89"/>
        <v>5</v>
      </c>
      <c r="N510" s="333" t="e">
        <f t="shared" si="90"/>
        <v>#DIV/0!</v>
      </c>
      <c r="O510" s="333" t="e">
        <f t="shared" si="91"/>
        <v>#DIV/0!</v>
      </c>
      <c r="P510" s="334" t="e">
        <f t="shared" si="92"/>
        <v>#DIV/0!</v>
      </c>
      <c r="Q510" s="334" t="e">
        <f t="shared" si="93"/>
        <v>#DIV/0!</v>
      </c>
      <c r="R510" s="332"/>
      <c r="S510" s="332"/>
      <c r="T510" s="332"/>
      <c r="U510" s="332"/>
      <c r="V510" s="332"/>
      <c r="W510" s="332"/>
      <c r="X510" s="332"/>
      <c r="Y510" s="332"/>
    </row>
    <row r="511" spans="2:25" x14ac:dyDescent="0.3">
      <c r="B511" s="333">
        <v>10</v>
      </c>
      <c r="C511" s="333"/>
      <c r="D511" s="333"/>
      <c r="E511" s="333"/>
      <c r="F511" s="333"/>
      <c r="G511" s="333"/>
      <c r="H511" s="333"/>
      <c r="I511" s="333"/>
      <c r="J511" s="333"/>
      <c r="K511" s="333"/>
      <c r="L511" s="332"/>
      <c r="M511" s="333">
        <f t="shared" si="89"/>
        <v>5</v>
      </c>
      <c r="N511" s="333" t="e">
        <f t="shared" si="90"/>
        <v>#DIV/0!</v>
      </c>
      <c r="O511" s="333" t="e">
        <f t="shared" si="91"/>
        <v>#DIV/0!</v>
      </c>
      <c r="P511" s="334" t="e">
        <f t="shared" si="92"/>
        <v>#DIV/0!</v>
      </c>
      <c r="Q511" s="334" t="e">
        <f t="shared" si="93"/>
        <v>#DIV/0!</v>
      </c>
      <c r="R511" s="332"/>
      <c r="S511" s="332"/>
      <c r="T511" s="332"/>
      <c r="U511" s="332"/>
      <c r="V511" s="332"/>
      <c r="W511" s="332"/>
      <c r="X511" s="332"/>
      <c r="Y511" s="332"/>
    </row>
    <row r="512" spans="2:25" x14ac:dyDescent="0.3">
      <c r="B512" s="333">
        <v>10</v>
      </c>
      <c r="C512" s="333"/>
      <c r="D512" s="333"/>
      <c r="E512" s="333"/>
      <c r="F512" s="333"/>
      <c r="G512" s="333"/>
      <c r="H512" s="333"/>
      <c r="I512" s="333"/>
      <c r="J512" s="333"/>
      <c r="K512" s="333"/>
      <c r="L512" s="332"/>
      <c r="M512" s="333">
        <f t="shared" si="89"/>
        <v>5</v>
      </c>
      <c r="N512" s="333" t="e">
        <f t="shared" si="90"/>
        <v>#DIV/0!</v>
      </c>
      <c r="O512" s="333" t="e">
        <f t="shared" si="91"/>
        <v>#DIV/0!</v>
      </c>
      <c r="P512" s="334" t="e">
        <f t="shared" si="92"/>
        <v>#DIV/0!</v>
      </c>
      <c r="Q512" s="334" t="e">
        <f t="shared" si="93"/>
        <v>#DIV/0!</v>
      </c>
      <c r="R512" s="332"/>
      <c r="S512" s="332"/>
      <c r="T512" s="332"/>
      <c r="U512" s="332"/>
      <c r="V512" s="332"/>
      <c r="W512" s="332"/>
      <c r="X512" s="332"/>
      <c r="Y512" s="332"/>
    </row>
    <row r="513" spans="2:25" x14ac:dyDescent="0.3">
      <c r="B513" s="333">
        <v>10</v>
      </c>
      <c r="C513" s="333"/>
      <c r="D513" s="333"/>
      <c r="E513" s="333"/>
      <c r="F513" s="333"/>
      <c r="G513" s="333"/>
      <c r="H513" s="333"/>
      <c r="I513" s="333"/>
      <c r="J513" s="333"/>
      <c r="K513" s="333"/>
      <c r="L513" s="332"/>
      <c r="M513" s="333">
        <f t="shared" si="89"/>
        <v>5</v>
      </c>
      <c r="N513" s="333" t="e">
        <f t="shared" si="90"/>
        <v>#DIV/0!</v>
      </c>
      <c r="O513" s="333" t="e">
        <f t="shared" si="91"/>
        <v>#DIV/0!</v>
      </c>
      <c r="P513" s="334" t="e">
        <f t="shared" si="92"/>
        <v>#DIV/0!</v>
      </c>
      <c r="Q513" s="334" t="e">
        <f t="shared" si="93"/>
        <v>#DIV/0!</v>
      </c>
      <c r="R513" s="332"/>
      <c r="S513" s="332"/>
      <c r="T513" s="332"/>
      <c r="U513" s="332"/>
      <c r="V513" s="332"/>
      <c r="W513" s="332"/>
      <c r="X513" s="332"/>
      <c r="Y513" s="332"/>
    </row>
    <row r="514" spans="2:25" x14ac:dyDescent="0.3">
      <c r="B514" s="333">
        <v>10</v>
      </c>
      <c r="C514" s="333"/>
      <c r="D514" s="333"/>
      <c r="E514" s="333"/>
      <c r="F514" s="333"/>
      <c r="G514" s="333"/>
      <c r="H514" s="333"/>
      <c r="I514" s="333"/>
      <c r="J514" s="333"/>
      <c r="K514" s="333"/>
      <c r="L514" s="332"/>
      <c r="M514" s="333">
        <f t="shared" si="89"/>
        <v>5</v>
      </c>
      <c r="N514" s="333" t="e">
        <f t="shared" si="90"/>
        <v>#DIV/0!</v>
      </c>
      <c r="O514" s="333" t="e">
        <f t="shared" si="91"/>
        <v>#DIV/0!</v>
      </c>
      <c r="P514" s="334" t="e">
        <f t="shared" si="92"/>
        <v>#DIV/0!</v>
      </c>
      <c r="Q514" s="334" t="e">
        <f t="shared" si="93"/>
        <v>#DIV/0!</v>
      </c>
      <c r="R514" s="332"/>
      <c r="S514" s="332"/>
      <c r="T514" s="332"/>
      <c r="U514" s="332"/>
      <c r="V514" s="332"/>
      <c r="W514" s="332"/>
      <c r="X514" s="332"/>
      <c r="Y514" s="332"/>
    </row>
    <row r="515" spans="2:25" x14ac:dyDescent="0.3">
      <c r="B515" s="333">
        <v>10</v>
      </c>
      <c r="C515" s="333"/>
      <c r="D515" s="333"/>
      <c r="E515" s="333"/>
      <c r="F515" s="333"/>
      <c r="G515" s="333"/>
      <c r="H515" s="333"/>
      <c r="I515" s="333"/>
      <c r="J515" s="333"/>
      <c r="K515" s="333"/>
      <c r="L515" s="332"/>
      <c r="M515" s="333">
        <f t="shared" si="89"/>
        <v>5</v>
      </c>
      <c r="N515" s="333" t="e">
        <f t="shared" si="90"/>
        <v>#DIV/0!</v>
      </c>
      <c r="O515" s="333" t="e">
        <f t="shared" si="91"/>
        <v>#DIV/0!</v>
      </c>
      <c r="P515" s="334" t="e">
        <f t="shared" si="92"/>
        <v>#DIV/0!</v>
      </c>
      <c r="Q515" s="334" t="e">
        <f t="shared" si="93"/>
        <v>#DIV/0!</v>
      </c>
      <c r="R515" s="332"/>
      <c r="S515" s="332"/>
      <c r="T515" s="332"/>
      <c r="U515" s="332"/>
      <c r="V515" s="332"/>
      <c r="W515" s="332"/>
      <c r="X515" s="332"/>
      <c r="Y515" s="332"/>
    </row>
    <row r="516" spans="2:25" x14ac:dyDescent="0.3">
      <c r="B516" s="333">
        <v>10</v>
      </c>
      <c r="C516" s="333"/>
      <c r="D516" s="333"/>
      <c r="E516" s="333"/>
      <c r="F516" s="333"/>
      <c r="G516" s="333"/>
      <c r="H516" s="333"/>
      <c r="I516" s="333"/>
      <c r="J516" s="333"/>
      <c r="K516" s="333"/>
      <c r="L516" s="332"/>
      <c r="M516" s="333">
        <f t="shared" si="89"/>
        <v>5</v>
      </c>
      <c r="N516" s="333" t="e">
        <f t="shared" si="90"/>
        <v>#DIV/0!</v>
      </c>
      <c r="O516" s="333" t="e">
        <f t="shared" si="91"/>
        <v>#DIV/0!</v>
      </c>
      <c r="P516" s="334" t="e">
        <f t="shared" si="92"/>
        <v>#DIV/0!</v>
      </c>
      <c r="Q516" s="334" t="e">
        <f t="shared" si="93"/>
        <v>#DIV/0!</v>
      </c>
      <c r="R516" s="332"/>
      <c r="S516" s="332"/>
      <c r="T516" s="332"/>
      <c r="U516" s="332"/>
      <c r="V516" s="332"/>
      <c r="W516" s="332"/>
      <c r="X516" s="332"/>
      <c r="Y516" s="332"/>
    </row>
    <row r="517" spans="2:25" x14ac:dyDescent="0.3">
      <c r="B517" s="333">
        <v>10</v>
      </c>
      <c r="C517" s="333"/>
      <c r="D517" s="333"/>
      <c r="E517" s="333"/>
      <c r="F517" s="333"/>
      <c r="G517" s="333"/>
      <c r="H517" s="333"/>
      <c r="I517" s="333"/>
      <c r="J517" s="333"/>
      <c r="K517" s="333"/>
      <c r="L517" s="332"/>
      <c r="M517" s="333">
        <f t="shared" si="89"/>
        <v>5</v>
      </c>
      <c r="N517" s="333" t="e">
        <f t="shared" si="90"/>
        <v>#DIV/0!</v>
      </c>
      <c r="O517" s="333" t="e">
        <f t="shared" si="91"/>
        <v>#DIV/0!</v>
      </c>
      <c r="P517" s="334" t="e">
        <f t="shared" si="92"/>
        <v>#DIV/0!</v>
      </c>
      <c r="Q517" s="334" t="e">
        <f t="shared" si="93"/>
        <v>#DIV/0!</v>
      </c>
      <c r="R517" s="332"/>
      <c r="S517" s="332"/>
      <c r="T517" s="332"/>
      <c r="U517" s="332"/>
      <c r="V517" s="332"/>
      <c r="W517" s="332"/>
      <c r="X517" s="332"/>
      <c r="Y517" s="332"/>
    </row>
    <row r="518" spans="2:25" x14ac:dyDescent="0.3">
      <c r="B518" s="333">
        <v>10</v>
      </c>
      <c r="C518" s="333"/>
      <c r="D518" s="333"/>
      <c r="E518" s="333"/>
      <c r="F518" s="333"/>
      <c r="G518" s="333"/>
      <c r="H518" s="333"/>
      <c r="I518" s="333"/>
      <c r="J518" s="333"/>
      <c r="K518" s="333"/>
      <c r="L518" s="332"/>
      <c r="M518" s="333">
        <f t="shared" si="89"/>
        <v>5</v>
      </c>
      <c r="N518" s="333" t="e">
        <f t="shared" si="90"/>
        <v>#DIV/0!</v>
      </c>
      <c r="O518" s="333" t="e">
        <f t="shared" si="91"/>
        <v>#DIV/0!</v>
      </c>
      <c r="P518" s="334" t="e">
        <f t="shared" si="92"/>
        <v>#DIV/0!</v>
      </c>
      <c r="Q518" s="334" t="e">
        <f t="shared" si="93"/>
        <v>#DIV/0!</v>
      </c>
      <c r="R518" s="332"/>
      <c r="S518" s="332"/>
      <c r="T518" s="332"/>
      <c r="U518" s="332"/>
      <c r="V518" s="332"/>
      <c r="W518" s="332"/>
      <c r="X518" s="332"/>
      <c r="Y518" s="332"/>
    </row>
    <row r="519" spans="2:25" x14ac:dyDescent="0.3">
      <c r="B519" s="333">
        <v>10</v>
      </c>
      <c r="C519" s="333"/>
      <c r="D519" s="333"/>
      <c r="E519" s="333"/>
      <c r="F519" s="333"/>
      <c r="G519" s="333"/>
      <c r="H519" s="333"/>
      <c r="I519" s="333"/>
      <c r="J519" s="333"/>
      <c r="K519" s="333"/>
      <c r="L519" s="332"/>
      <c r="M519" s="333">
        <f t="shared" si="89"/>
        <v>5</v>
      </c>
      <c r="N519" s="333" t="e">
        <f t="shared" si="90"/>
        <v>#DIV/0!</v>
      </c>
      <c r="O519" s="333" t="e">
        <f t="shared" si="91"/>
        <v>#DIV/0!</v>
      </c>
      <c r="P519" s="334" t="e">
        <f t="shared" si="92"/>
        <v>#DIV/0!</v>
      </c>
      <c r="Q519" s="334" t="e">
        <f t="shared" si="93"/>
        <v>#DIV/0!</v>
      </c>
      <c r="R519" s="332"/>
      <c r="S519" s="332"/>
      <c r="T519" s="332"/>
      <c r="U519" s="332"/>
      <c r="V519" s="332"/>
      <c r="W519" s="332"/>
      <c r="X519" s="332"/>
      <c r="Y519" s="332"/>
    </row>
    <row r="520" spans="2:25" x14ac:dyDescent="0.3">
      <c r="B520" s="333">
        <v>10</v>
      </c>
      <c r="C520" s="333"/>
      <c r="D520" s="333"/>
      <c r="E520" s="333"/>
      <c r="F520" s="333"/>
      <c r="G520" s="333"/>
      <c r="H520" s="333"/>
      <c r="I520" s="333"/>
      <c r="J520" s="333"/>
      <c r="K520" s="333"/>
      <c r="L520" s="332"/>
      <c r="M520" s="333">
        <f t="shared" si="89"/>
        <v>5</v>
      </c>
      <c r="N520" s="333" t="e">
        <f t="shared" si="90"/>
        <v>#DIV/0!</v>
      </c>
      <c r="O520" s="333" t="e">
        <f t="shared" si="91"/>
        <v>#DIV/0!</v>
      </c>
      <c r="P520" s="334" t="e">
        <f t="shared" si="92"/>
        <v>#DIV/0!</v>
      </c>
      <c r="Q520" s="334" t="e">
        <f t="shared" si="93"/>
        <v>#DIV/0!</v>
      </c>
      <c r="R520" s="332"/>
      <c r="S520" s="332"/>
      <c r="T520" s="332"/>
      <c r="U520" s="332"/>
      <c r="V520" s="332"/>
      <c r="W520" s="332"/>
      <c r="X520" s="332"/>
      <c r="Y520" s="332"/>
    </row>
    <row r="521" spans="2:25" x14ac:dyDescent="0.3">
      <c r="B521" s="333">
        <v>10</v>
      </c>
      <c r="C521" s="333"/>
      <c r="D521" s="333"/>
      <c r="E521" s="333"/>
      <c r="F521" s="333"/>
      <c r="G521" s="333"/>
      <c r="H521" s="333"/>
      <c r="I521" s="333"/>
      <c r="J521" s="333"/>
      <c r="K521" s="333"/>
      <c r="L521" s="332"/>
      <c r="M521" s="333">
        <f t="shared" si="89"/>
        <v>5</v>
      </c>
      <c r="N521" s="333" t="e">
        <f t="shared" si="90"/>
        <v>#DIV/0!</v>
      </c>
      <c r="O521" s="333" t="e">
        <f t="shared" si="91"/>
        <v>#DIV/0!</v>
      </c>
      <c r="P521" s="334" t="e">
        <f t="shared" si="92"/>
        <v>#DIV/0!</v>
      </c>
      <c r="Q521" s="334" t="e">
        <f t="shared" si="93"/>
        <v>#DIV/0!</v>
      </c>
      <c r="R521" s="332"/>
      <c r="S521" s="332"/>
      <c r="T521" s="332"/>
      <c r="U521" s="332"/>
      <c r="V521" s="332"/>
      <c r="W521" s="332"/>
      <c r="X521" s="332"/>
      <c r="Y521" s="332"/>
    </row>
    <row r="522" spans="2:25" x14ac:dyDescent="0.3">
      <c r="B522" s="333">
        <v>20</v>
      </c>
      <c r="C522" s="333"/>
      <c r="D522" s="333"/>
      <c r="E522" s="333"/>
      <c r="F522" s="333"/>
      <c r="G522" s="333"/>
      <c r="H522" s="333"/>
      <c r="I522" s="333"/>
      <c r="J522" s="333"/>
      <c r="K522" s="333"/>
      <c r="L522" s="332"/>
      <c r="M522" s="333">
        <f t="shared" si="89"/>
        <v>10</v>
      </c>
      <c r="N522" s="333" t="e">
        <f t="shared" si="90"/>
        <v>#DIV/0!</v>
      </c>
      <c r="O522" s="333" t="e">
        <f t="shared" si="91"/>
        <v>#DIV/0!</v>
      </c>
      <c r="P522" s="334" t="e">
        <f t="shared" si="92"/>
        <v>#DIV/0!</v>
      </c>
      <c r="Q522" s="334" t="e">
        <f t="shared" si="93"/>
        <v>#DIV/0!</v>
      </c>
      <c r="R522" s="332"/>
      <c r="S522" s="332"/>
      <c r="T522" s="332"/>
      <c r="U522" s="332"/>
      <c r="V522" s="332"/>
      <c r="W522" s="332"/>
      <c r="X522" s="332"/>
      <c r="Y522" s="332"/>
    </row>
    <row r="523" spans="2:25" x14ac:dyDescent="0.3">
      <c r="B523" s="333">
        <v>20</v>
      </c>
      <c r="C523" s="333"/>
      <c r="D523" s="333"/>
      <c r="E523" s="333"/>
      <c r="F523" s="333"/>
      <c r="G523" s="333"/>
      <c r="H523" s="333"/>
      <c r="I523" s="333"/>
      <c r="J523" s="333"/>
      <c r="K523" s="333"/>
      <c r="L523" s="332"/>
      <c r="M523" s="333">
        <f t="shared" si="89"/>
        <v>10</v>
      </c>
      <c r="N523" s="333" t="e">
        <f t="shared" si="90"/>
        <v>#DIV/0!</v>
      </c>
      <c r="O523" s="333" t="e">
        <f t="shared" si="91"/>
        <v>#DIV/0!</v>
      </c>
      <c r="P523" s="334" t="e">
        <f t="shared" si="92"/>
        <v>#DIV/0!</v>
      </c>
      <c r="Q523" s="334" t="e">
        <f t="shared" si="93"/>
        <v>#DIV/0!</v>
      </c>
      <c r="R523" s="332"/>
      <c r="S523" s="332"/>
      <c r="T523" s="332"/>
      <c r="U523" s="332"/>
      <c r="V523" s="332"/>
      <c r="W523" s="332"/>
      <c r="X523" s="332"/>
      <c r="Y523" s="332"/>
    </row>
    <row r="524" spans="2:25" x14ac:dyDescent="0.3">
      <c r="B524" s="333">
        <v>20</v>
      </c>
      <c r="C524" s="333"/>
      <c r="D524" s="333"/>
      <c r="E524" s="333"/>
      <c r="F524" s="333"/>
      <c r="G524" s="333"/>
      <c r="H524" s="333"/>
      <c r="I524" s="333"/>
      <c r="J524" s="333"/>
      <c r="K524" s="333"/>
      <c r="L524" s="332"/>
      <c r="M524" s="333">
        <f t="shared" si="89"/>
        <v>10</v>
      </c>
      <c r="N524" s="333" t="e">
        <f t="shared" si="90"/>
        <v>#DIV/0!</v>
      </c>
      <c r="O524" s="333" t="e">
        <f t="shared" si="91"/>
        <v>#DIV/0!</v>
      </c>
      <c r="P524" s="334" t="e">
        <f t="shared" si="92"/>
        <v>#DIV/0!</v>
      </c>
      <c r="Q524" s="334" t="e">
        <f t="shared" si="93"/>
        <v>#DIV/0!</v>
      </c>
      <c r="R524" s="332"/>
      <c r="S524" s="332"/>
      <c r="T524" s="332"/>
      <c r="U524" s="332"/>
      <c r="V524" s="332"/>
      <c r="W524" s="332"/>
      <c r="X524" s="332"/>
      <c r="Y524" s="332"/>
    </row>
    <row r="525" spans="2:25" x14ac:dyDescent="0.3">
      <c r="B525" s="333">
        <v>20</v>
      </c>
      <c r="C525" s="333"/>
      <c r="D525" s="333"/>
      <c r="E525" s="333"/>
      <c r="F525" s="333"/>
      <c r="G525" s="333"/>
      <c r="H525" s="333"/>
      <c r="I525" s="333"/>
      <c r="J525" s="333"/>
      <c r="K525" s="333"/>
      <c r="L525" s="332"/>
      <c r="M525" s="333">
        <f t="shared" si="89"/>
        <v>10</v>
      </c>
      <c r="N525" s="333" t="e">
        <f t="shared" si="90"/>
        <v>#DIV/0!</v>
      </c>
      <c r="O525" s="333" t="e">
        <f t="shared" si="91"/>
        <v>#DIV/0!</v>
      </c>
      <c r="P525" s="334" t="e">
        <f t="shared" si="92"/>
        <v>#DIV/0!</v>
      </c>
      <c r="Q525" s="334" t="e">
        <f t="shared" si="93"/>
        <v>#DIV/0!</v>
      </c>
      <c r="R525" s="332"/>
      <c r="S525" s="332"/>
      <c r="T525" s="332"/>
      <c r="U525" s="332"/>
      <c r="V525" s="332"/>
      <c r="W525" s="332"/>
      <c r="X525" s="332"/>
      <c r="Y525" s="332"/>
    </row>
    <row r="526" spans="2:25" x14ac:dyDescent="0.3">
      <c r="B526" s="333">
        <v>20</v>
      </c>
      <c r="C526" s="333"/>
      <c r="D526" s="333"/>
      <c r="E526" s="333"/>
      <c r="F526" s="333"/>
      <c r="G526" s="333"/>
      <c r="H526" s="333"/>
      <c r="I526" s="333"/>
      <c r="J526" s="333"/>
      <c r="K526" s="333"/>
      <c r="L526" s="332"/>
      <c r="M526" s="333">
        <f t="shared" si="89"/>
        <v>10</v>
      </c>
      <c r="N526" s="333" t="e">
        <f t="shared" si="90"/>
        <v>#DIV/0!</v>
      </c>
      <c r="O526" s="333" t="e">
        <f t="shared" si="91"/>
        <v>#DIV/0!</v>
      </c>
      <c r="P526" s="334" t="e">
        <f t="shared" si="92"/>
        <v>#DIV/0!</v>
      </c>
      <c r="Q526" s="334" t="e">
        <f t="shared" si="93"/>
        <v>#DIV/0!</v>
      </c>
      <c r="R526" s="332"/>
      <c r="S526" s="332"/>
      <c r="T526" s="332"/>
      <c r="U526" s="332"/>
      <c r="V526" s="332"/>
      <c r="W526" s="332"/>
      <c r="X526" s="332"/>
      <c r="Y526" s="332"/>
    </row>
    <row r="527" spans="2:25" x14ac:dyDescent="0.3">
      <c r="B527" s="333">
        <v>20</v>
      </c>
      <c r="C527" s="333"/>
      <c r="D527" s="333"/>
      <c r="E527" s="333"/>
      <c r="F527" s="333"/>
      <c r="G527" s="333"/>
      <c r="H527" s="333"/>
      <c r="I527" s="333"/>
      <c r="J527" s="333"/>
      <c r="K527" s="333"/>
      <c r="L527" s="332"/>
      <c r="M527" s="333">
        <f t="shared" si="89"/>
        <v>10</v>
      </c>
      <c r="N527" s="333" t="e">
        <f t="shared" si="90"/>
        <v>#DIV/0!</v>
      </c>
      <c r="O527" s="333" t="e">
        <f t="shared" si="91"/>
        <v>#DIV/0!</v>
      </c>
      <c r="P527" s="334" t="e">
        <f t="shared" si="92"/>
        <v>#DIV/0!</v>
      </c>
      <c r="Q527" s="334" t="e">
        <f t="shared" si="93"/>
        <v>#DIV/0!</v>
      </c>
      <c r="R527" s="332"/>
      <c r="S527" s="332"/>
      <c r="T527" s="332"/>
      <c r="U527" s="332"/>
      <c r="V527" s="332"/>
      <c r="W527" s="332"/>
      <c r="X527" s="332"/>
      <c r="Y527" s="332"/>
    </row>
    <row r="528" spans="2:25" x14ac:dyDescent="0.3">
      <c r="B528" s="333">
        <v>20</v>
      </c>
      <c r="C528" s="333"/>
      <c r="D528" s="333"/>
      <c r="E528" s="333"/>
      <c r="F528" s="333"/>
      <c r="G528" s="333"/>
      <c r="H528" s="333"/>
      <c r="I528" s="333"/>
      <c r="J528" s="333"/>
      <c r="K528" s="333"/>
      <c r="L528" s="332"/>
      <c r="M528" s="333">
        <f t="shared" si="89"/>
        <v>10</v>
      </c>
      <c r="N528" s="333" t="e">
        <f t="shared" si="90"/>
        <v>#DIV/0!</v>
      </c>
      <c r="O528" s="333" t="e">
        <f t="shared" si="91"/>
        <v>#DIV/0!</v>
      </c>
      <c r="P528" s="334" t="e">
        <f t="shared" si="92"/>
        <v>#DIV/0!</v>
      </c>
      <c r="Q528" s="334" t="e">
        <f t="shared" si="93"/>
        <v>#DIV/0!</v>
      </c>
      <c r="R528" s="332"/>
      <c r="S528" s="332"/>
      <c r="T528" s="332"/>
      <c r="U528" s="332"/>
      <c r="V528" s="332"/>
      <c r="W528" s="332"/>
      <c r="X528" s="332"/>
      <c r="Y528" s="332"/>
    </row>
    <row r="529" spans="2:25" x14ac:dyDescent="0.3">
      <c r="B529" s="333">
        <v>20</v>
      </c>
      <c r="C529" s="333"/>
      <c r="D529" s="333"/>
      <c r="E529" s="333"/>
      <c r="F529" s="333"/>
      <c r="G529" s="333"/>
      <c r="H529" s="333"/>
      <c r="I529" s="333"/>
      <c r="J529" s="333"/>
      <c r="K529" s="333"/>
      <c r="L529" s="332"/>
      <c r="M529" s="333">
        <f t="shared" si="89"/>
        <v>10</v>
      </c>
      <c r="N529" s="333" t="e">
        <f t="shared" si="90"/>
        <v>#DIV/0!</v>
      </c>
      <c r="O529" s="333" t="e">
        <f t="shared" si="91"/>
        <v>#DIV/0!</v>
      </c>
      <c r="P529" s="334" t="e">
        <f t="shared" si="92"/>
        <v>#DIV/0!</v>
      </c>
      <c r="Q529" s="334" t="e">
        <f t="shared" si="93"/>
        <v>#DIV/0!</v>
      </c>
      <c r="R529" s="332"/>
      <c r="S529" s="332"/>
      <c r="T529" s="332"/>
      <c r="U529" s="332"/>
      <c r="V529" s="332"/>
      <c r="W529" s="332"/>
      <c r="X529" s="332"/>
      <c r="Y529" s="332"/>
    </row>
    <row r="530" spans="2:25" x14ac:dyDescent="0.3">
      <c r="B530" s="333">
        <v>20</v>
      </c>
      <c r="C530" s="333"/>
      <c r="D530" s="333"/>
      <c r="E530" s="333"/>
      <c r="F530" s="333"/>
      <c r="G530" s="333"/>
      <c r="H530" s="333"/>
      <c r="I530" s="333"/>
      <c r="J530" s="333"/>
      <c r="K530" s="333"/>
      <c r="L530" s="332"/>
      <c r="M530" s="333">
        <f t="shared" si="89"/>
        <v>10</v>
      </c>
      <c r="N530" s="333" t="e">
        <f t="shared" si="90"/>
        <v>#DIV/0!</v>
      </c>
      <c r="O530" s="333" t="e">
        <f t="shared" si="91"/>
        <v>#DIV/0!</v>
      </c>
      <c r="P530" s="334" t="e">
        <f t="shared" si="92"/>
        <v>#DIV/0!</v>
      </c>
      <c r="Q530" s="334" t="e">
        <f t="shared" si="93"/>
        <v>#DIV/0!</v>
      </c>
      <c r="R530" s="332"/>
      <c r="S530" s="332"/>
      <c r="T530" s="332"/>
      <c r="U530" s="332"/>
      <c r="V530" s="332"/>
      <c r="W530" s="332"/>
      <c r="X530" s="332"/>
      <c r="Y530" s="332"/>
    </row>
    <row r="531" spans="2:25" x14ac:dyDescent="0.3">
      <c r="B531" s="333">
        <v>20</v>
      </c>
      <c r="C531" s="333"/>
      <c r="D531" s="333"/>
      <c r="E531" s="333"/>
      <c r="F531" s="333"/>
      <c r="G531" s="333"/>
      <c r="H531" s="333"/>
      <c r="I531" s="333"/>
      <c r="J531" s="333"/>
      <c r="K531" s="333"/>
      <c r="L531" s="332"/>
      <c r="M531" s="333">
        <f t="shared" si="89"/>
        <v>10</v>
      </c>
      <c r="N531" s="333" t="e">
        <f t="shared" si="90"/>
        <v>#DIV/0!</v>
      </c>
      <c r="O531" s="333" t="e">
        <f t="shared" si="91"/>
        <v>#DIV/0!</v>
      </c>
      <c r="P531" s="334" t="e">
        <f t="shared" si="92"/>
        <v>#DIV/0!</v>
      </c>
      <c r="Q531" s="334" t="e">
        <f t="shared" si="93"/>
        <v>#DIV/0!</v>
      </c>
      <c r="R531" s="332"/>
      <c r="S531" s="332"/>
      <c r="T531" s="332"/>
      <c r="U531" s="332"/>
      <c r="V531" s="332"/>
      <c r="W531" s="332"/>
      <c r="X531" s="332"/>
      <c r="Y531" s="332"/>
    </row>
    <row r="532" spans="2:25" x14ac:dyDescent="0.3">
      <c r="B532" s="333">
        <v>20</v>
      </c>
      <c r="C532" s="333"/>
      <c r="D532" s="333"/>
      <c r="E532" s="333"/>
      <c r="F532" s="333"/>
      <c r="G532" s="333"/>
      <c r="H532" s="333"/>
      <c r="I532" s="333"/>
      <c r="J532" s="333"/>
      <c r="K532" s="333"/>
      <c r="L532" s="332"/>
      <c r="M532" s="333">
        <f t="shared" si="89"/>
        <v>10</v>
      </c>
      <c r="N532" s="333" t="e">
        <f t="shared" si="90"/>
        <v>#DIV/0!</v>
      </c>
      <c r="O532" s="333" t="e">
        <f t="shared" si="91"/>
        <v>#DIV/0!</v>
      </c>
      <c r="P532" s="334" t="e">
        <f t="shared" si="92"/>
        <v>#DIV/0!</v>
      </c>
      <c r="Q532" s="334" t="e">
        <f t="shared" si="93"/>
        <v>#DIV/0!</v>
      </c>
      <c r="R532" s="332"/>
      <c r="S532" s="332"/>
      <c r="T532" s="332"/>
      <c r="U532" s="332"/>
      <c r="V532" s="332"/>
      <c r="W532" s="332"/>
      <c r="X532" s="332"/>
      <c r="Y532" s="332"/>
    </row>
    <row r="533" spans="2:25" x14ac:dyDescent="0.3">
      <c r="B533" s="333">
        <v>20</v>
      </c>
      <c r="C533" s="333"/>
      <c r="D533" s="333"/>
      <c r="E533" s="333"/>
      <c r="F533" s="333"/>
      <c r="G533" s="333"/>
      <c r="H533" s="333"/>
      <c r="I533" s="333"/>
      <c r="J533" s="333"/>
      <c r="K533" s="333"/>
      <c r="L533" s="332"/>
      <c r="M533" s="333">
        <f t="shared" si="89"/>
        <v>10</v>
      </c>
      <c r="N533" s="333" t="e">
        <f t="shared" si="90"/>
        <v>#DIV/0!</v>
      </c>
      <c r="O533" s="333" t="e">
        <f t="shared" si="91"/>
        <v>#DIV/0!</v>
      </c>
      <c r="P533" s="334" t="e">
        <f t="shared" si="92"/>
        <v>#DIV/0!</v>
      </c>
      <c r="Q533" s="334" t="e">
        <f t="shared" si="93"/>
        <v>#DIV/0!</v>
      </c>
      <c r="R533" s="332"/>
      <c r="S533" s="332"/>
      <c r="T533" s="332"/>
      <c r="U533" s="332"/>
      <c r="V533" s="332"/>
      <c r="W533" s="332"/>
      <c r="X533" s="332"/>
      <c r="Y533" s="332"/>
    </row>
    <row r="534" spans="2:25" x14ac:dyDescent="0.3">
      <c r="B534" s="333">
        <v>20</v>
      </c>
      <c r="C534" s="333"/>
      <c r="D534" s="333"/>
      <c r="E534" s="333"/>
      <c r="F534" s="333"/>
      <c r="G534" s="333"/>
      <c r="H534" s="333"/>
      <c r="I534" s="333"/>
      <c r="J534" s="333"/>
      <c r="K534" s="333"/>
      <c r="L534" s="332"/>
      <c r="M534" s="333">
        <f t="shared" si="89"/>
        <v>10</v>
      </c>
      <c r="N534" s="333" t="e">
        <f t="shared" si="90"/>
        <v>#DIV/0!</v>
      </c>
      <c r="O534" s="333" t="e">
        <f t="shared" si="91"/>
        <v>#DIV/0!</v>
      </c>
      <c r="P534" s="334" t="e">
        <f t="shared" si="92"/>
        <v>#DIV/0!</v>
      </c>
      <c r="Q534" s="334" t="e">
        <f t="shared" si="93"/>
        <v>#DIV/0!</v>
      </c>
      <c r="R534" s="332"/>
      <c r="S534" s="332"/>
      <c r="T534" s="332"/>
      <c r="U534" s="332"/>
      <c r="V534" s="332"/>
      <c r="W534" s="332"/>
      <c r="X534" s="332"/>
      <c r="Y534" s="332"/>
    </row>
    <row r="535" spans="2:25" x14ac:dyDescent="0.3">
      <c r="B535" s="333">
        <v>20</v>
      </c>
      <c r="C535" s="333"/>
      <c r="D535" s="333"/>
      <c r="E535" s="333"/>
      <c r="F535" s="333"/>
      <c r="G535" s="333"/>
      <c r="H535" s="333"/>
      <c r="I535" s="333"/>
      <c r="J535" s="333"/>
      <c r="K535" s="333"/>
      <c r="L535" s="332"/>
      <c r="M535" s="333">
        <f t="shared" si="89"/>
        <v>10</v>
      </c>
      <c r="N535" s="333" t="e">
        <f t="shared" si="90"/>
        <v>#DIV/0!</v>
      </c>
      <c r="O535" s="333" t="e">
        <f t="shared" si="91"/>
        <v>#DIV/0!</v>
      </c>
      <c r="P535" s="334" t="e">
        <f t="shared" si="92"/>
        <v>#DIV/0!</v>
      </c>
      <c r="Q535" s="334" t="e">
        <f t="shared" si="93"/>
        <v>#DIV/0!</v>
      </c>
      <c r="R535" s="332"/>
      <c r="S535" s="332"/>
      <c r="T535" s="332"/>
      <c r="U535" s="332"/>
      <c r="V535" s="332"/>
      <c r="W535" s="332"/>
      <c r="X535" s="332"/>
      <c r="Y535" s="332"/>
    </row>
    <row r="536" spans="2:25" x14ac:dyDescent="0.3">
      <c r="B536" s="333">
        <v>20</v>
      </c>
      <c r="C536" s="333"/>
      <c r="D536" s="333"/>
      <c r="E536" s="333"/>
      <c r="F536" s="333"/>
      <c r="G536" s="333"/>
      <c r="H536" s="333"/>
      <c r="I536" s="333"/>
      <c r="J536" s="333"/>
      <c r="K536" s="333"/>
      <c r="L536" s="332"/>
      <c r="M536" s="333">
        <f t="shared" si="89"/>
        <v>10</v>
      </c>
      <c r="N536" s="333" t="e">
        <f t="shared" si="90"/>
        <v>#DIV/0!</v>
      </c>
      <c r="O536" s="333" t="e">
        <f t="shared" si="91"/>
        <v>#DIV/0!</v>
      </c>
      <c r="P536" s="334" t="e">
        <f t="shared" si="92"/>
        <v>#DIV/0!</v>
      </c>
      <c r="Q536" s="334" t="e">
        <f t="shared" si="93"/>
        <v>#DIV/0!</v>
      </c>
      <c r="R536" s="332"/>
      <c r="S536" s="332"/>
      <c r="T536" s="332"/>
      <c r="U536" s="332"/>
      <c r="V536" s="332"/>
      <c r="W536" s="332"/>
      <c r="X536" s="332"/>
      <c r="Y536" s="332"/>
    </row>
    <row r="537" spans="2:25" x14ac:dyDescent="0.3">
      <c r="B537" s="333">
        <v>20</v>
      </c>
      <c r="C537" s="333"/>
      <c r="D537" s="333"/>
      <c r="E537" s="333"/>
      <c r="F537" s="333"/>
      <c r="G537" s="333"/>
      <c r="H537" s="333"/>
      <c r="I537" s="333"/>
      <c r="J537" s="333"/>
      <c r="K537" s="333"/>
      <c r="L537" s="332"/>
      <c r="M537" s="333">
        <f t="shared" si="89"/>
        <v>10</v>
      </c>
      <c r="N537" s="333" t="e">
        <f t="shared" si="90"/>
        <v>#DIV/0!</v>
      </c>
      <c r="O537" s="333" t="e">
        <f t="shared" si="91"/>
        <v>#DIV/0!</v>
      </c>
      <c r="P537" s="334" t="e">
        <f t="shared" si="92"/>
        <v>#DIV/0!</v>
      </c>
      <c r="Q537" s="334" t="e">
        <f t="shared" si="93"/>
        <v>#DIV/0!</v>
      </c>
      <c r="R537" s="332"/>
      <c r="S537" s="332"/>
      <c r="T537" s="332"/>
      <c r="U537" s="332"/>
      <c r="V537" s="332"/>
      <c r="W537" s="332"/>
      <c r="X537" s="332"/>
      <c r="Y537" s="332"/>
    </row>
    <row r="538" spans="2:25" x14ac:dyDescent="0.3">
      <c r="B538" s="333">
        <v>20</v>
      </c>
      <c r="C538" s="333"/>
      <c r="D538" s="333"/>
      <c r="E538" s="333"/>
      <c r="F538" s="333"/>
      <c r="G538" s="333"/>
      <c r="H538" s="333"/>
      <c r="I538" s="333"/>
      <c r="J538" s="333"/>
      <c r="K538" s="333"/>
      <c r="L538" s="332"/>
      <c r="M538" s="333">
        <f t="shared" si="89"/>
        <v>10</v>
      </c>
      <c r="N538" s="333" t="e">
        <f t="shared" si="90"/>
        <v>#DIV/0!</v>
      </c>
      <c r="O538" s="333" t="e">
        <f t="shared" si="91"/>
        <v>#DIV/0!</v>
      </c>
      <c r="P538" s="334" t="e">
        <f t="shared" si="92"/>
        <v>#DIV/0!</v>
      </c>
      <c r="Q538" s="334" t="e">
        <f t="shared" si="93"/>
        <v>#DIV/0!</v>
      </c>
      <c r="R538" s="332"/>
      <c r="S538" s="332"/>
      <c r="T538" s="332"/>
      <c r="U538" s="332"/>
      <c r="V538" s="332"/>
      <c r="W538" s="332"/>
      <c r="X538" s="332"/>
      <c r="Y538" s="332"/>
    </row>
    <row r="539" spans="2:25" x14ac:dyDescent="0.3">
      <c r="B539" s="333">
        <v>20</v>
      </c>
      <c r="C539" s="333"/>
      <c r="D539" s="333"/>
      <c r="E539" s="333"/>
      <c r="F539" s="333"/>
      <c r="G539" s="333"/>
      <c r="H539" s="333"/>
      <c r="I539" s="333"/>
      <c r="J539" s="333"/>
      <c r="K539" s="333"/>
      <c r="L539" s="332"/>
      <c r="M539" s="333">
        <f t="shared" si="89"/>
        <v>10</v>
      </c>
      <c r="N539" s="333" t="e">
        <f t="shared" si="90"/>
        <v>#DIV/0!</v>
      </c>
      <c r="O539" s="333" t="e">
        <f t="shared" si="91"/>
        <v>#DIV/0!</v>
      </c>
      <c r="P539" s="334" t="e">
        <f t="shared" si="92"/>
        <v>#DIV/0!</v>
      </c>
      <c r="Q539" s="334" t="e">
        <f t="shared" si="93"/>
        <v>#DIV/0!</v>
      </c>
      <c r="R539" s="332"/>
      <c r="S539" s="332"/>
      <c r="T539" s="332"/>
      <c r="U539" s="332"/>
      <c r="V539" s="332"/>
      <c r="W539" s="332"/>
      <c r="X539" s="332"/>
      <c r="Y539" s="332"/>
    </row>
    <row r="540" spans="2:25" x14ac:dyDescent="0.3">
      <c r="B540" s="333">
        <v>20</v>
      </c>
      <c r="C540" s="333"/>
      <c r="D540" s="333"/>
      <c r="E540" s="333"/>
      <c r="F540" s="333"/>
      <c r="G540" s="333"/>
      <c r="H540" s="333"/>
      <c r="I540" s="333"/>
      <c r="J540" s="333"/>
      <c r="K540" s="333"/>
      <c r="L540" s="332"/>
      <c r="M540" s="333">
        <f t="shared" si="89"/>
        <v>10</v>
      </c>
      <c r="N540" s="333" t="e">
        <f t="shared" si="90"/>
        <v>#DIV/0!</v>
      </c>
      <c r="O540" s="333" t="e">
        <f t="shared" si="91"/>
        <v>#DIV/0!</v>
      </c>
      <c r="P540" s="334" t="e">
        <f t="shared" si="92"/>
        <v>#DIV/0!</v>
      </c>
      <c r="Q540" s="334" t="e">
        <f t="shared" si="93"/>
        <v>#DIV/0!</v>
      </c>
      <c r="R540" s="332"/>
      <c r="S540" s="332"/>
      <c r="T540" s="332"/>
      <c r="U540" s="332"/>
      <c r="V540" s="332"/>
      <c r="W540" s="332"/>
      <c r="X540" s="332"/>
      <c r="Y540" s="332"/>
    </row>
    <row r="541" spans="2:25" x14ac:dyDescent="0.3">
      <c r="B541" s="333">
        <v>20</v>
      </c>
      <c r="C541" s="333"/>
      <c r="D541" s="333"/>
      <c r="E541" s="333"/>
      <c r="F541" s="333"/>
      <c r="G541" s="333"/>
      <c r="H541" s="333"/>
      <c r="I541" s="333"/>
      <c r="J541" s="333"/>
      <c r="K541" s="333"/>
      <c r="L541" s="332"/>
      <c r="M541" s="333">
        <f t="shared" si="89"/>
        <v>10</v>
      </c>
      <c r="N541" s="333" t="e">
        <f t="shared" si="90"/>
        <v>#DIV/0!</v>
      </c>
      <c r="O541" s="333" t="e">
        <f t="shared" si="91"/>
        <v>#DIV/0!</v>
      </c>
      <c r="P541" s="334" t="e">
        <f t="shared" si="92"/>
        <v>#DIV/0!</v>
      </c>
      <c r="Q541" s="334" t="e">
        <f t="shared" si="93"/>
        <v>#DIV/0!</v>
      </c>
      <c r="R541" s="332"/>
      <c r="S541" s="332"/>
      <c r="T541" s="332"/>
      <c r="U541" s="332"/>
      <c r="V541" s="332"/>
      <c r="W541" s="332"/>
      <c r="X541" s="332"/>
      <c r="Y541" s="332"/>
    </row>
    <row r="542" spans="2:25" x14ac:dyDescent="0.3">
      <c r="B542" s="333">
        <v>40</v>
      </c>
      <c r="C542" s="333"/>
      <c r="D542" s="333"/>
      <c r="E542" s="333"/>
      <c r="F542" s="333"/>
      <c r="G542" s="333"/>
      <c r="H542" s="333"/>
      <c r="I542" s="333"/>
      <c r="J542" s="333"/>
      <c r="K542" s="333"/>
      <c r="L542" s="332"/>
      <c r="M542" s="333">
        <f t="shared" si="89"/>
        <v>20</v>
      </c>
      <c r="N542" s="333" t="e">
        <f t="shared" si="90"/>
        <v>#DIV/0!</v>
      </c>
      <c r="O542" s="333" t="e">
        <f t="shared" si="91"/>
        <v>#DIV/0!</v>
      </c>
      <c r="P542" s="334" t="e">
        <f t="shared" si="92"/>
        <v>#DIV/0!</v>
      </c>
      <c r="Q542" s="334" t="e">
        <f t="shared" si="93"/>
        <v>#DIV/0!</v>
      </c>
      <c r="R542" s="332"/>
      <c r="S542" s="332"/>
      <c r="T542" s="332"/>
      <c r="U542" s="332"/>
      <c r="V542" s="332"/>
      <c r="W542" s="332"/>
      <c r="X542" s="332"/>
      <c r="Y542" s="332"/>
    </row>
    <row r="543" spans="2:25" x14ac:dyDescent="0.3">
      <c r="B543" s="333">
        <v>40</v>
      </c>
      <c r="C543" s="333"/>
      <c r="D543" s="333"/>
      <c r="E543" s="333"/>
      <c r="F543" s="333"/>
      <c r="G543" s="333"/>
      <c r="H543" s="333"/>
      <c r="I543" s="333"/>
      <c r="J543" s="333"/>
      <c r="K543" s="333"/>
      <c r="L543" s="332"/>
      <c r="M543" s="333">
        <f t="shared" si="89"/>
        <v>20</v>
      </c>
      <c r="N543" s="333" t="e">
        <f t="shared" si="90"/>
        <v>#DIV/0!</v>
      </c>
      <c r="O543" s="333" t="e">
        <f t="shared" si="91"/>
        <v>#DIV/0!</v>
      </c>
      <c r="P543" s="334" t="e">
        <f t="shared" si="92"/>
        <v>#DIV/0!</v>
      </c>
      <c r="Q543" s="334" t="e">
        <f t="shared" si="93"/>
        <v>#DIV/0!</v>
      </c>
      <c r="R543" s="332"/>
      <c r="S543" s="332"/>
      <c r="T543" s="332"/>
      <c r="U543" s="332"/>
      <c r="V543" s="332"/>
      <c r="W543" s="332"/>
      <c r="X543" s="332"/>
      <c r="Y543" s="332"/>
    </row>
    <row r="544" spans="2:25" x14ac:dyDescent="0.3">
      <c r="B544" s="333">
        <v>40</v>
      </c>
      <c r="C544" s="333"/>
      <c r="D544" s="333"/>
      <c r="E544" s="333"/>
      <c r="F544" s="333"/>
      <c r="G544" s="333"/>
      <c r="H544" s="333"/>
      <c r="I544" s="333"/>
      <c r="J544" s="333"/>
      <c r="K544" s="333"/>
      <c r="L544" s="332"/>
      <c r="M544" s="333">
        <f t="shared" si="89"/>
        <v>20</v>
      </c>
      <c r="N544" s="333" t="e">
        <f t="shared" si="90"/>
        <v>#DIV/0!</v>
      </c>
      <c r="O544" s="333" t="e">
        <f t="shared" si="91"/>
        <v>#DIV/0!</v>
      </c>
      <c r="P544" s="334" t="e">
        <f t="shared" si="92"/>
        <v>#DIV/0!</v>
      </c>
      <c r="Q544" s="334" t="e">
        <f t="shared" si="93"/>
        <v>#DIV/0!</v>
      </c>
      <c r="R544" s="332"/>
      <c r="S544" s="332"/>
      <c r="T544" s="332"/>
      <c r="U544" s="332"/>
      <c r="V544" s="332"/>
      <c r="W544" s="332"/>
      <c r="X544" s="332"/>
      <c r="Y544" s="332"/>
    </row>
    <row r="545" spans="2:25" x14ac:dyDescent="0.3">
      <c r="B545" s="333">
        <v>40</v>
      </c>
      <c r="C545" s="333"/>
      <c r="D545" s="333"/>
      <c r="E545" s="333"/>
      <c r="F545" s="333"/>
      <c r="G545" s="333"/>
      <c r="H545" s="333"/>
      <c r="I545" s="333"/>
      <c r="J545" s="333"/>
      <c r="K545" s="333"/>
      <c r="L545" s="332"/>
      <c r="M545" s="333">
        <f t="shared" si="89"/>
        <v>20</v>
      </c>
      <c r="N545" s="333" t="e">
        <f t="shared" si="90"/>
        <v>#DIV/0!</v>
      </c>
      <c r="O545" s="333" t="e">
        <f t="shared" si="91"/>
        <v>#DIV/0!</v>
      </c>
      <c r="P545" s="334" t="e">
        <f t="shared" si="92"/>
        <v>#DIV/0!</v>
      </c>
      <c r="Q545" s="334" t="e">
        <f t="shared" si="93"/>
        <v>#DIV/0!</v>
      </c>
      <c r="R545" s="332"/>
      <c r="S545" s="332"/>
      <c r="T545" s="332"/>
      <c r="U545" s="332"/>
      <c r="V545" s="332"/>
      <c r="W545" s="332"/>
      <c r="X545" s="332"/>
      <c r="Y545" s="332"/>
    </row>
    <row r="546" spans="2:25" x14ac:dyDescent="0.3">
      <c r="B546" s="333">
        <v>40</v>
      </c>
      <c r="C546" s="333"/>
      <c r="D546" s="333"/>
      <c r="E546" s="333"/>
      <c r="F546" s="333"/>
      <c r="G546" s="333"/>
      <c r="H546" s="333"/>
      <c r="I546" s="333"/>
      <c r="J546" s="333"/>
      <c r="K546" s="333"/>
      <c r="L546" s="332"/>
      <c r="M546" s="333">
        <f t="shared" ref="M546:M601" si="94">B546/2</f>
        <v>20</v>
      </c>
      <c r="N546" s="333" t="e">
        <f t="shared" si="90"/>
        <v>#DIV/0!</v>
      </c>
      <c r="O546" s="333" t="e">
        <f t="shared" si="91"/>
        <v>#DIV/0!</v>
      </c>
      <c r="P546" s="334" t="e">
        <f t="shared" si="92"/>
        <v>#DIV/0!</v>
      </c>
      <c r="Q546" s="334" t="e">
        <f t="shared" si="93"/>
        <v>#DIV/0!</v>
      </c>
      <c r="R546" s="332"/>
      <c r="S546" s="332"/>
      <c r="T546" s="332"/>
      <c r="U546" s="332"/>
      <c r="V546" s="332"/>
      <c r="W546" s="332"/>
      <c r="X546" s="332"/>
      <c r="Y546" s="332"/>
    </row>
    <row r="547" spans="2:25" x14ac:dyDescent="0.3">
      <c r="B547" s="333">
        <v>40</v>
      </c>
      <c r="C547" s="333"/>
      <c r="D547" s="333"/>
      <c r="E547" s="333"/>
      <c r="F547" s="333"/>
      <c r="G547" s="333"/>
      <c r="H547" s="333"/>
      <c r="I547" s="333"/>
      <c r="J547" s="333"/>
      <c r="K547" s="333"/>
      <c r="L547" s="332"/>
      <c r="M547" s="333">
        <f t="shared" si="94"/>
        <v>20</v>
      </c>
      <c r="N547" s="333" t="e">
        <f t="shared" si="90"/>
        <v>#DIV/0!</v>
      </c>
      <c r="O547" s="333" t="e">
        <f t="shared" si="91"/>
        <v>#DIV/0!</v>
      </c>
      <c r="P547" s="334" t="e">
        <f t="shared" si="92"/>
        <v>#DIV/0!</v>
      </c>
      <c r="Q547" s="334" t="e">
        <f t="shared" si="93"/>
        <v>#DIV/0!</v>
      </c>
      <c r="R547" s="332"/>
      <c r="S547" s="332"/>
      <c r="T547" s="332"/>
      <c r="U547" s="332"/>
      <c r="V547" s="332"/>
      <c r="W547" s="332"/>
      <c r="X547" s="332"/>
      <c r="Y547" s="332"/>
    </row>
    <row r="548" spans="2:25" x14ac:dyDescent="0.3">
      <c r="B548" s="333">
        <v>40</v>
      </c>
      <c r="C548" s="333"/>
      <c r="D548" s="333"/>
      <c r="E548" s="333"/>
      <c r="F548" s="333"/>
      <c r="G548" s="333"/>
      <c r="H548" s="333"/>
      <c r="I548" s="333"/>
      <c r="J548" s="333"/>
      <c r="K548" s="333"/>
      <c r="L548" s="332"/>
      <c r="M548" s="333">
        <f t="shared" si="94"/>
        <v>20</v>
      </c>
      <c r="N548" s="333" t="e">
        <f t="shared" ref="N548:N601" si="95">(SUM(C548:E548)-SUM($C$191:$E$191))*$F$71</f>
        <v>#DIV/0!</v>
      </c>
      <c r="O548" s="333" t="e">
        <f t="shared" ref="O548:O601" si="96">(SUM(F548:H548)-SUM($F$191:$H$191))*$G$71</f>
        <v>#DIV/0!</v>
      </c>
      <c r="P548" s="334" t="e">
        <f t="shared" ref="P548:P601" si="97">N548-M548</f>
        <v>#DIV/0!</v>
      </c>
      <c r="Q548" s="334" t="e">
        <f t="shared" ref="Q548:Q601" si="98">O548-M548</f>
        <v>#DIV/0!</v>
      </c>
      <c r="R548" s="332"/>
      <c r="S548" s="332"/>
      <c r="T548" s="332"/>
      <c r="U548" s="332"/>
      <c r="V548" s="332"/>
      <c r="W548" s="332"/>
      <c r="X548" s="332"/>
      <c r="Y548" s="332"/>
    </row>
    <row r="549" spans="2:25" x14ac:dyDescent="0.3">
      <c r="B549" s="333">
        <v>40</v>
      </c>
      <c r="C549" s="333"/>
      <c r="D549" s="333"/>
      <c r="E549" s="333"/>
      <c r="F549" s="333"/>
      <c r="G549" s="333"/>
      <c r="H549" s="333"/>
      <c r="I549" s="333"/>
      <c r="J549" s="333"/>
      <c r="K549" s="333"/>
      <c r="L549" s="332"/>
      <c r="M549" s="333">
        <f t="shared" si="94"/>
        <v>20</v>
      </c>
      <c r="N549" s="333" t="e">
        <f t="shared" si="95"/>
        <v>#DIV/0!</v>
      </c>
      <c r="O549" s="333" t="e">
        <f t="shared" si="96"/>
        <v>#DIV/0!</v>
      </c>
      <c r="P549" s="334" t="e">
        <f t="shared" si="97"/>
        <v>#DIV/0!</v>
      </c>
      <c r="Q549" s="334" t="e">
        <f t="shared" si="98"/>
        <v>#DIV/0!</v>
      </c>
      <c r="R549" s="332"/>
      <c r="S549" s="332"/>
      <c r="T549" s="332"/>
      <c r="U549" s="332"/>
      <c r="V549" s="332"/>
      <c r="W549" s="332"/>
      <c r="X549" s="332"/>
      <c r="Y549" s="332"/>
    </row>
    <row r="550" spans="2:25" x14ac:dyDescent="0.3">
      <c r="B550" s="333">
        <v>40</v>
      </c>
      <c r="C550" s="333"/>
      <c r="D550" s="333"/>
      <c r="E550" s="333"/>
      <c r="F550" s="333"/>
      <c r="G550" s="333"/>
      <c r="H550" s="333"/>
      <c r="I550" s="333"/>
      <c r="J550" s="333"/>
      <c r="K550" s="333"/>
      <c r="L550" s="332"/>
      <c r="M550" s="333">
        <f t="shared" si="94"/>
        <v>20</v>
      </c>
      <c r="N550" s="333" t="e">
        <f t="shared" si="95"/>
        <v>#DIV/0!</v>
      </c>
      <c r="O550" s="333" t="e">
        <f t="shared" si="96"/>
        <v>#DIV/0!</v>
      </c>
      <c r="P550" s="334" t="e">
        <f t="shared" si="97"/>
        <v>#DIV/0!</v>
      </c>
      <c r="Q550" s="334" t="e">
        <f t="shared" si="98"/>
        <v>#DIV/0!</v>
      </c>
      <c r="R550" s="332"/>
      <c r="S550" s="332"/>
      <c r="T550" s="332"/>
      <c r="U550" s="332"/>
      <c r="V550" s="332"/>
      <c r="W550" s="332"/>
      <c r="X550" s="332"/>
      <c r="Y550" s="332"/>
    </row>
    <row r="551" spans="2:25" x14ac:dyDescent="0.3">
      <c r="B551" s="333">
        <v>40</v>
      </c>
      <c r="C551" s="333"/>
      <c r="D551" s="333"/>
      <c r="E551" s="333"/>
      <c r="F551" s="333"/>
      <c r="G551" s="333"/>
      <c r="H551" s="333"/>
      <c r="I551" s="333"/>
      <c r="J551" s="333"/>
      <c r="K551" s="333"/>
      <c r="L551" s="332"/>
      <c r="M551" s="333">
        <f t="shared" si="94"/>
        <v>20</v>
      </c>
      <c r="N551" s="333" t="e">
        <f t="shared" si="95"/>
        <v>#DIV/0!</v>
      </c>
      <c r="O551" s="333" t="e">
        <f t="shared" si="96"/>
        <v>#DIV/0!</v>
      </c>
      <c r="P551" s="334" t="e">
        <f t="shared" si="97"/>
        <v>#DIV/0!</v>
      </c>
      <c r="Q551" s="334" t="e">
        <f t="shared" si="98"/>
        <v>#DIV/0!</v>
      </c>
      <c r="R551" s="332"/>
      <c r="S551" s="332"/>
      <c r="T551" s="332"/>
      <c r="U551" s="332"/>
      <c r="V551" s="332"/>
      <c r="W551" s="332"/>
      <c r="X551" s="332"/>
      <c r="Y551" s="332"/>
    </row>
    <row r="552" spans="2:25" x14ac:dyDescent="0.3">
      <c r="B552" s="333">
        <v>40</v>
      </c>
      <c r="C552" s="333"/>
      <c r="D552" s="333"/>
      <c r="E552" s="333"/>
      <c r="F552" s="333"/>
      <c r="G552" s="333"/>
      <c r="H552" s="333"/>
      <c r="I552" s="333"/>
      <c r="J552" s="333"/>
      <c r="K552" s="333"/>
      <c r="L552" s="332"/>
      <c r="M552" s="333">
        <f t="shared" si="94"/>
        <v>20</v>
      </c>
      <c r="N552" s="333" t="e">
        <f t="shared" si="95"/>
        <v>#DIV/0!</v>
      </c>
      <c r="O552" s="333" t="e">
        <f t="shared" si="96"/>
        <v>#DIV/0!</v>
      </c>
      <c r="P552" s="334" t="e">
        <f t="shared" si="97"/>
        <v>#DIV/0!</v>
      </c>
      <c r="Q552" s="334" t="e">
        <f t="shared" si="98"/>
        <v>#DIV/0!</v>
      </c>
      <c r="R552" s="332"/>
      <c r="S552" s="332"/>
      <c r="T552" s="332"/>
      <c r="U552" s="332"/>
      <c r="V552" s="332"/>
      <c r="W552" s="332"/>
      <c r="X552" s="332"/>
      <c r="Y552" s="332"/>
    </row>
    <row r="553" spans="2:25" x14ac:dyDescent="0.3">
      <c r="B553" s="333">
        <v>40</v>
      </c>
      <c r="C553" s="333"/>
      <c r="D553" s="333"/>
      <c r="E553" s="333"/>
      <c r="F553" s="333"/>
      <c r="G553" s="333"/>
      <c r="H553" s="333"/>
      <c r="I553" s="333"/>
      <c r="J553" s="333"/>
      <c r="K553" s="333"/>
      <c r="L553" s="332"/>
      <c r="M553" s="333">
        <f t="shared" si="94"/>
        <v>20</v>
      </c>
      <c r="N553" s="333" t="e">
        <f t="shared" si="95"/>
        <v>#DIV/0!</v>
      </c>
      <c r="O553" s="333" t="e">
        <f t="shared" si="96"/>
        <v>#DIV/0!</v>
      </c>
      <c r="P553" s="334" t="e">
        <f t="shared" si="97"/>
        <v>#DIV/0!</v>
      </c>
      <c r="Q553" s="334" t="e">
        <f t="shared" si="98"/>
        <v>#DIV/0!</v>
      </c>
      <c r="R553" s="332"/>
      <c r="S553" s="332"/>
      <c r="T553" s="332"/>
      <c r="U553" s="332"/>
      <c r="V553" s="332"/>
      <c r="W553" s="332"/>
      <c r="X553" s="332"/>
      <c r="Y553" s="332"/>
    </row>
    <row r="554" spans="2:25" x14ac:dyDescent="0.3">
      <c r="B554" s="333">
        <v>40</v>
      </c>
      <c r="C554" s="333"/>
      <c r="D554" s="333"/>
      <c r="E554" s="333"/>
      <c r="F554" s="333"/>
      <c r="G554" s="333"/>
      <c r="H554" s="333"/>
      <c r="I554" s="333"/>
      <c r="J554" s="333"/>
      <c r="K554" s="333"/>
      <c r="L554" s="332"/>
      <c r="M554" s="333">
        <f t="shared" si="94"/>
        <v>20</v>
      </c>
      <c r="N554" s="333" t="e">
        <f t="shared" si="95"/>
        <v>#DIV/0!</v>
      </c>
      <c r="O554" s="333" t="e">
        <f t="shared" si="96"/>
        <v>#DIV/0!</v>
      </c>
      <c r="P554" s="334" t="e">
        <f t="shared" si="97"/>
        <v>#DIV/0!</v>
      </c>
      <c r="Q554" s="334" t="e">
        <f t="shared" si="98"/>
        <v>#DIV/0!</v>
      </c>
      <c r="R554" s="332"/>
      <c r="S554" s="332"/>
      <c r="T554" s="332"/>
      <c r="U554" s="332"/>
      <c r="V554" s="332"/>
      <c r="W554" s="332"/>
      <c r="X554" s="332"/>
      <c r="Y554" s="332"/>
    </row>
    <row r="555" spans="2:25" x14ac:dyDescent="0.3">
      <c r="B555" s="333">
        <v>40</v>
      </c>
      <c r="C555" s="333"/>
      <c r="D555" s="333"/>
      <c r="E555" s="333"/>
      <c r="F555" s="333"/>
      <c r="G555" s="333"/>
      <c r="H555" s="333"/>
      <c r="I555" s="333"/>
      <c r="J555" s="333"/>
      <c r="K555" s="333"/>
      <c r="L555" s="332"/>
      <c r="M555" s="333">
        <f t="shared" si="94"/>
        <v>20</v>
      </c>
      <c r="N555" s="333" t="e">
        <f t="shared" si="95"/>
        <v>#DIV/0!</v>
      </c>
      <c r="O555" s="333" t="e">
        <f t="shared" si="96"/>
        <v>#DIV/0!</v>
      </c>
      <c r="P555" s="334" t="e">
        <f t="shared" si="97"/>
        <v>#DIV/0!</v>
      </c>
      <c r="Q555" s="334" t="e">
        <f t="shared" si="98"/>
        <v>#DIV/0!</v>
      </c>
      <c r="R555" s="332"/>
      <c r="S555" s="332"/>
      <c r="T555" s="332"/>
      <c r="U555" s="332"/>
      <c r="V555" s="332"/>
      <c r="W555" s="332"/>
      <c r="X555" s="332"/>
      <c r="Y555" s="332"/>
    </row>
    <row r="556" spans="2:25" x14ac:dyDescent="0.3">
      <c r="B556" s="333">
        <v>40</v>
      </c>
      <c r="C556" s="333"/>
      <c r="D556" s="333"/>
      <c r="E556" s="333"/>
      <c r="F556" s="333"/>
      <c r="G556" s="333"/>
      <c r="H556" s="333"/>
      <c r="I556" s="333"/>
      <c r="J556" s="333"/>
      <c r="K556" s="333"/>
      <c r="L556" s="332"/>
      <c r="M556" s="333">
        <f t="shared" si="94"/>
        <v>20</v>
      </c>
      <c r="N556" s="333" t="e">
        <f t="shared" si="95"/>
        <v>#DIV/0!</v>
      </c>
      <c r="O556" s="333" t="e">
        <f t="shared" si="96"/>
        <v>#DIV/0!</v>
      </c>
      <c r="P556" s="334" t="e">
        <f t="shared" si="97"/>
        <v>#DIV/0!</v>
      </c>
      <c r="Q556" s="334" t="e">
        <f t="shared" si="98"/>
        <v>#DIV/0!</v>
      </c>
      <c r="R556" s="332"/>
      <c r="S556" s="332"/>
      <c r="T556" s="332"/>
      <c r="U556" s="332"/>
      <c r="V556" s="332"/>
      <c r="W556" s="332"/>
      <c r="X556" s="332"/>
      <c r="Y556" s="332"/>
    </row>
    <row r="557" spans="2:25" x14ac:dyDescent="0.3">
      <c r="B557" s="333">
        <v>40</v>
      </c>
      <c r="C557" s="333"/>
      <c r="D557" s="333"/>
      <c r="E557" s="333"/>
      <c r="F557" s="333"/>
      <c r="G557" s="333"/>
      <c r="H557" s="333"/>
      <c r="I557" s="333"/>
      <c r="J557" s="333"/>
      <c r="K557" s="333"/>
      <c r="L557" s="332"/>
      <c r="M557" s="333">
        <f t="shared" si="94"/>
        <v>20</v>
      </c>
      <c r="N557" s="333" t="e">
        <f t="shared" si="95"/>
        <v>#DIV/0!</v>
      </c>
      <c r="O557" s="333" t="e">
        <f t="shared" si="96"/>
        <v>#DIV/0!</v>
      </c>
      <c r="P557" s="334" t="e">
        <f t="shared" si="97"/>
        <v>#DIV/0!</v>
      </c>
      <c r="Q557" s="334" t="e">
        <f t="shared" si="98"/>
        <v>#DIV/0!</v>
      </c>
      <c r="R557" s="332"/>
      <c r="S557" s="332"/>
      <c r="T557" s="332"/>
      <c r="U557" s="332"/>
      <c r="V557" s="332"/>
      <c r="W557" s="332"/>
      <c r="X557" s="332"/>
      <c r="Y557" s="332"/>
    </row>
    <row r="558" spans="2:25" x14ac:dyDescent="0.3">
      <c r="B558" s="333">
        <v>40</v>
      </c>
      <c r="C558" s="333"/>
      <c r="D558" s="333"/>
      <c r="E558" s="333"/>
      <c r="F558" s="333"/>
      <c r="G558" s="333"/>
      <c r="H558" s="333"/>
      <c r="I558" s="333"/>
      <c r="J558" s="333"/>
      <c r="K558" s="333"/>
      <c r="L558" s="332"/>
      <c r="M558" s="333">
        <f t="shared" si="94"/>
        <v>20</v>
      </c>
      <c r="N558" s="333" t="e">
        <f t="shared" si="95"/>
        <v>#DIV/0!</v>
      </c>
      <c r="O558" s="333" t="e">
        <f t="shared" si="96"/>
        <v>#DIV/0!</v>
      </c>
      <c r="P558" s="334" t="e">
        <f t="shared" si="97"/>
        <v>#DIV/0!</v>
      </c>
      <c r="Q558" s="334" t="e">
        <f t="shared" si="98"/>
        <v>#DIV/0!</v>
      </c>
      <c r="R558" s="332"/>
      <c r="S558" s="332"/>
      <c r="T558" s="332"/>
      <c r="U558" s="332"/>
      <c r="V558" s="332"/>
      <c r="W558" s="332"/>
      <c r="X558" s="332"/>
      <c r="Y558" s="332"/>
    </row>
    <row r="559" spans="2:25" x14ac:dyDescent="0.3">
      <c r="B559" s="333">
        <v>40</v>
      </c>
      <c r="C559" s="333"/>
      <c r="D559" s="333"/>
      <c r="E559" s="333"/>
      <c r="F559" s="333"/>
      <c r="G559" s="333"/>
      <c r="H559" s="333"/>
      <c r="I559" s="333"/>
      <c r="J559" s="333"/>
      <c r="K559" s="333"/>
      <c r="L559" s="332"/>
      <c r="M559" s="333">
        <f t="shared" si="94"/>
        <v>20</v>
      </c>
      <c r="N559" s="333" t="e">
        <f t="shared" si="95"/>
        <v>#DIV/0!</v>
      </c>
      <c r="O559" s="333" t="e">
        <f t="shared" si="96"/>
        <v>#DIV/0!</v>
      </c>
      <c r="P559" s="334" t="e">
        <f t="shared" si="97"/>
        <v>#DIV/0!</v>
      </c>
      <c r="Q559" s="334" t="e">
        <f t="shared" si="98"/>
        <v>#DIV/0!</v>
      </c>
      <c r="R559" s="332"/>
      <c r="S559" s="332"/>
      <c r="T559" s="332"/>
      <c r="U559" s="332"/>
      <c r="V559" s="332"/>
      <c r="W559" s="332"/>
      <c r="X559" s="332"/>
      <c r="Y559" s="332"/>
    </row>
    <row r="560" spans="2:25" x14ac:dyDescent="0.3">
      <c r="B560" s="333">
        <v>40</v>
      </c>
      <c r="C560" s="333"/>
      <c r="D560" s="333"/>
      <c r="E560" s="333"/>
      <c r="F560" s="333"/>
      <c r="G560" s="333"/>
      <c r="H560" s="333"/>
      <c r="I560" s="333"/>
      <c r="J560" s="333"/>
      <c r="K560" s="333"/>
      <c r="L560" s="332"/>
      <c r="M560" s="333">
        <f t="shared" si="94"/>
        <v>20</v>
      </c>
      <c r="N560" s="333" t="e">
        <f t="shared" si="95"/>
        <v>#DIV/0!</v>
      </c>
      <c r="O560" s="333" t="e">
        <f t="shared" si="96"/>
        <v>#DIV/0!</v>
      </c>
      <c r="P560" s="334" t="e">
        <f t="shared" si="97"/>
        <v>#DIV/0!</v>
      </c>
      <c r="Q560" s="334" t="e">
        <f t="shared" si="98"/>
        <v>#DIV/0!</v>
      </c>
      <c r="R560" s="332"/>
      <c r="S560" s="332"/>
      <c r="T560" s="332"/>
      <c r="U560" s="332"/>
      <c r="V560" s="332"/>
      <c r="W560" s="332"/>
      <c r="X560" s="332"/>
      <c r="Y560" s="332"/>
    </row>
    <row r="561" spans="2:25" x14ac:dyDescent="0.3">
      <c r="B561" s="333">
        <v>40</v>
      </c>
      <c r="C561" s="333"/>
      <c r="D561" s="333"/>
      <c r="E561" s="333"/>
      <c r="F561" s="333"/>
      <c r="G561" s="333"/>
      <c r="H561" s="333"/>
      <c r="I561" s="333"/>
      <c r="J561" s="333"/>
      <c r="K561" s="333"/>
      <c r="L561" s="332"/>
      <c r="M561" s="333">
        <f t="shared" si="94"/>
        <v>20</v>
      </c>
      <c r="N561" s="333" t="e">
        <f t="shared" si="95"/>
        <v>#DIV/0!</v>
      </c>
      <c r="O561" s="333" t="e">
        <f t="shared" si="96"/>
        <v>#DIV/0!</v>
      </c>
      <c r="P561" s="334" t="e">
        <f t="shared" si="97"/>
        <v>#DIV/0!</v>
      </c>
      <c r="Q561" s="334" t="e">
        <f t="shared" si="98"/>
        <v>#DIV/0!</v>
      </c>
      <c r="R561" s="332"/>
      <c r="S561" s="332"/>
      <c r="T561" s="332"/>
      <c r="U561" s="332"/>
      <c r="V561" s="332"/>
      <c r="W561" s="332"/>
      <c r="X561" s="332"/>
      <c r="Y561" s="332"/>
    </row>
    <row r="562" spans="2:25" x14ac:dyDescent="0.3">
      <c r="B562" s="333">
        <v>60</v>
      </c>
      <c r="C562" s="333"/>
      <c r="D562" s="333"/>
      <c r="E562" s="333"/>
      <c r="F562" s="333"/>
      <c r="G562" s="333"/>
      <c r="H562" s="333"/>
      <c r="I562" s="333"/>
      <c r="J562" s="333"/>
      <c r="K562" s="333"/>
      <c r="L562" s="332"/>
      <c r="M562" s="333">
        <f t="shared" si="94"/>
        <v>30</v>
      </c>
      <c r="N562" s="333" t="e">
        <f t="shared" si="95"/>
        <v>#DIV/0!</v>
      </c>
      <c r="O562" s="333" t="e">
        <f t="shared" si="96"/>
        <v>#DIV/0!</v>
      </c>
      <c r="P562" s="334" t="e">
        <f t="shared" si="97"/>
        <v>#DIV/0!</v>
      </c>
      <c r="Q562" s="334" t="e">
        <f t="shared" si="98"/>
        <v>#DIV/0!</v>
      </c>
      <c r="R562" s="332"/>
      <c r="S562" s="332"/>
      <c r="T562" s="332"/>
      <c r="U562" s="332"/>
      <c r="V562" s="332"/>
      <c r="W562" s="332"/>
      <c r="X562" s="332"/>
      <c r="Y562" s="332"/>
    </row>
    <row r="563" spans="2:25" x14ac:dyDescent="0.3">
      <c r="B563" s="333">
        <v>60</v>
      </c>
      <c r="C563" s="333"/>
      <c r="D563" s="333"/>
      <c r="E563" s="333"/>
      <c r="F563" s="333"/>
      <c r="G563" s="333"/>
      <c r="H563" s="333"/>
      <c r="I563" s="333"/>
      <c r="J563" s="333"/>
      <c r="K563" s="333"/>
      <c r="L563" s="332"/>
      <c r="M563" s="333">
        <f t="shared" si="94"/>
        <v>30</v>
      </c>
      <c r="N563" s="333" t="e">
        <f t="shared" si="95"/>
        <v>#DIV/0!</v>
      </c>
      <c r="O563" s="333" t="e">
        <f t="shared" si="96"/>
        <v>#DIV/0!</v>
      </c>
      <c r="P563" s="334" t="e">
        <f t="shared" si="97"/>
        <v>#DIV/0!</v>
      </c>
      <c r="Q563" s="334" t="e">
        <f t="shared" si="98"/>
        <v>#DIV/0!</v>
      </c>
      <c r="R563" s="332"/>
      <c r="S563" s="332"/>
      <c r="T563" s="332"/>
      <c r="U563" s="332"/>
      <c r="V563" s="332"/>
      <c r="W563" s="332"/>
      <c r="X563" s="332"/>
      <c r="Y563" s="332"/>
    </row>
    <row r="564" spans="2:25" x14ac:dyDescent="0.3">
      <c r="B564" s="333">
        <v>60</v>
      </c>
      <c r="C564" s="333"/>
      <c r="D564" s="333"/>
      <c r="E564" s="333"/>
      <c r="F564" s="333"/>
      <c r="G564" s="333"/>
      <c r="H564" s="333"/>
      <c r="I564" s="333"/>
      <c r="J564" s="333"/>
      <c r="K564" s="333"/>
      <c r="L564" s="332"/>
      <c r="M564" s="333">
        <f t="shared" si="94"/>
        <v>30</v>
      </c>
      <c r="N564" s="333" t="e">
        <f t="shared" si="95"/>
        <v>#DIV/0!</v>
      </c>
      <c r="O564" s="333" t="e">
        <f t="shared" si="96"/>
        <v>#DIV/0!</v>
      </c>
      <c r="P564" s="334" t="e">
        <f t="shared" si="97"/>
        <v>#DIV/0!</v>
      </c>
      <c r="Q564" s="334" t="e">
        <f t="shared" si="98"/>
        <v>#DIV/0!</v>
      </c>
      <c r="R564" s="332"/>
      <c r="S564" s="332"/>
      <c r="T564" s="332"/>
      <c r="U564" s="332"/>
      <c r="V564" s="332"/>
      <c r="W564" s="332"/>
      <c r="X564" s="332"/>
      <c r="Y564" s="332"/>
    </row>
    <row r="565" spans="2:25" x14ac:dyDescent="0.3">
      <c r="B565" s="333">
        <v>60</v>
      </c>
      <c r="C565" s="333"/>
      <c r="D565" s="333"/>
      <c r="E565" s="333"/>
      <c r="F565" s="333"/>
      <c r="G565" s="333"/>
      <c r="H565" s="333"/>
      <c r="I565" s="333"/>
      <c r="J565" s="333"/>
      <c r="K565" s="333"/>
      <c r="L565" s="332"/>
      <c r="M565" s="333">
        <f t="shared" si="94"/>
        <v>30</v>
      </c>
      <c r="N565" s="333" t="e">
        <f t="shared" si="95"/>
        <v>#DIV/0!</v>
      </c>
      <c r="O565" s="333" t="e">
        <f t="shared" si="96"/>
        <v>#DIV/0!</v>
      </c>
      <c r="P565" s="334" t="e">
        <f t="shared" si="97"/>
        <v>#DIV/0!</v>
      </c>
      <c r="Q565" s="334" t="e">
        <f t="shared" si="98"/>
        <v>#DIV/0!</v>
      </c>
      <c r="R565" s="332"/>
      <c r="S565" s="332"/>
      <c r="T565" s="332"/>
      <c r="U565" s="332"/>
      <c r="V565" s="332"/>
      <c r="W565" s="332"/>
      <c r="X565" s="332"/>
      <c r="Y565" s="332"/>
    </row>
    <row r="566" spans="2:25" x14ac:dyDescent="0.3">
      <c r="B566" s="333">
        <v>60</v>
      </c>
      <c r="C566" s="333"/>
      <c r="D566" s="333"/>
      <c r="E566" s="333"/>
      <c r="F566" s="333"/>
      <c r="G566" s="333"/>
      <c r="H566" s="333"/>
      <c r="I566" s="333"/>
      <c r="J566" s="333"/>
      <c r="K566" s="333"/>
      <c r="L566" s="332"/>
      <c r="M566" s="333">
        <f t="shared" si="94"/>
        <v>30</v>
      </c>
      <c r="N566" s="333" t="e">
        <f t="shared" si="95"/>
        <v>#DIV/0!</v>
      </c>
      <c r="O566" s="333" t="e">
        <f t="shared" si="96"/>
        <v>#DIV/0!</v>
      </c>
      <c r="P566" s="334" t="e">
        <f t="shared" si="97"/>
        <v>#DIV/0!</v>
      </c>
      <c r="Q566" s="334" t="e">
        <f t="shared" si="98"/>
        <v>#DIV/0!</v>
      </c>
      <c r="R566" s="332"/>
      <c r="S566" s="332"/>
      <c r="T566" s="332"/>
      <c r="U566" s="332"/>
      <c r="V566" s="332"/>
      <c r="W566" s="332"/>
      <c r="X566" s="332"/>
      <c r="Y566" s="332"/>
    </row>
    <row r="567" spans="2:25" x14ac:dyDescent="0.3">
      <c r="B567" s="333">
        <v>60</v>
      </c>
      <c r="C567" s="333"/>
      <c r="D567" s="333"/>
      <c r="E567" s="333"/>
      <c r="F567" s="333"/>
      <c r="G567" s="333"/>
      <c r="H567" s="333"/>
      <c r="I567" s="333"/>
      <c r="J567" s="333"/>
      <c r="K567" s="333"/>
      <c r="L567" s="332"/>
      <c r="M567" s="333">
        <f t="shared" si="94"/>
        <v>30</v>
      </c>
      <c r="N567" s="333" t="e">
        <f t="shared" si="95"/>
        <v>#DIV/0!</v>
      </c>
      <c r="O567" s="333" t="e">
        <f t="shared" si="96"/>
        <v>#DIV/0!</v>
      </c>
      <c r="P567" s="334" t="e">
        <f t="shared" si="97"/>
        <v>#DIV/0!</v>
      </c>
      <c r="Q567" s="334" t="e">
        <f t="shared" si="98"/>
        <v>#DIV/0!</v>
      </c>
      <c r="R567" s="332"/>
      <c r="S567" s="332"/>
      <c r="T567" s="332"/>
      <c r="U567" s="332"/>
      <c r="V567" s="332"/>
      <c r="W567" s="332"/>
      <c r="X567" s="332"/>
      <c r="Y567" s="332"/>
    </row>
    <row r="568" spans="2:25" x14ac:dyDescent="0.3">
      <c r="B568" s="333">
        <v>60</v>
      </c>
      <c r="C568" s="333"/>
      <c r="D568" s="333"/>
      <c r="E568" s="333"/>
      <c r="F568" s="333"/>
      <c r="G568" s="333"/>
      <c r="H568" s="333"/>
      <c r="I568" s="333"/>
      <c r="J568" s="333"/>
      <c r="K568" s="333"/>
      <c r="L568" s="332"/>
      <c r="M568" s="333">
        <f t="shared" si="94"/>
        <v>30</v>
      </c>
      <c r="N568" s="333" t="e">
        <f t="shared" si="95"/>
        <v>#DIV/0!</v>
      </c>
      <c r="O568" s="333" t="e">
        <f t="shared" si="96"/>
        <v>#DIV/0!</v>
      </c>
      <c r="P568" s="334" t="e">
        <f t="shared" si="97"/>
        <v>#DIV/0!</v>
      </c>
      <c r="Q568" s="334" t="e">
        <f t="shared" si="98"/>
        <v>#DIV/0!</v>
      </c>
      <c r="R568" s="332"/>
      <c r="S568" s="332"/>
      <c r="T568" s="332"/>
      <c r="U568" s="332"/>
      <c r="V568" s="332"/>
      <c r="W568" s="332"/>
      <c r="X568" s="332"/>
      <c r="Y568" s="332"/>
    </row>
    <row r="569" spans="2:25" x14ac:dyDescent="0.3">
      <c r="B569" s="333">
        <v>60</v>
      </c>
      <c r="C569" s="333"/>
      <c r="D569" s="333"/>
      <c r="E569" s="333"/>
      <c r="F569" s="333"/>
      <c r="G569" s="333"/>
      <c r="H569" s="333"/>
      <c r="I569" s="333"/>
      <c r="J569" s="333"/>
      <c r="K569" s="333"/>
      <c r="L569" s="332"/>
      <c r="M569" s="333">
        <f t="shared" si="94"/>
        <v>30</v>
      </c>
      <c r="N569" s="333" t="e">
        <f t="shared" si="95"/>
        <v>#DIV/0!</v>
      </c>
      <c r="O569" s="333" t="e">
        <f t="shared" si="96"/>
        <v>#DIV/0!</v>
      </c>
      <c r="P569" s="334" t="e">
        <f t="shared" si="97"/>
        <v>#DIV/0!</v>
      </c>
      <c r="Q569" s="334" t="e">
        <f t="shared" si="98"/>
        <v>#DIV/0!</v>
      </c>
      <c r="R569" s="332"/>
      <c r="S569" s="332"/>
      <c r="T569" s="332"/>
      <c r="U569" s="332"/>
      <c r="V569" s="332"/>
      <c r="W569" s="332"/>
      <c r="X569" s="332"/>
      <c r="Y569" s="332"/>
    </row>
    <row r="570" spans="2:25" x14ac:dyDescent="0.3">
      <c r="B570" s="333">
        <v>60</v>
      </c>
      <c r="C570" s="333"/>
      <c r="D570" s="333"/>
      <c r="E570" s="333"/>
      <c r="F570" s="333"/>
      <c r="G570" s="333"/>
      <c r="H570" s="333"/>
      <c r="I570" s="333"/>
      <c r="J570" s="333"/>
      <c r="K570" s="333"/>
      <c r="L570" s="332"/>
      <c r="M570" s="333">
        <f t="shared" si="94"/>
        <v>30</v>
      </c>
      <c r="N570" s="333" t="e">
        <f t="shared" si="95"/>
        <v>#DIV/0!</v>
      </c>
      <c r="O570" s="333" t="e">
        <f t="shared" si="96"/>
        <v>#DIV/0!</v>
      </c>
      <c r="P570" s="334" t="e">
        <f t="shared" si="97"/>
        <v>#DIV/0!</v>
      </c>
      <c r="Q570" s="334" t="e">
        <f t="shared" si="98"/>
        <v>#DIV/0!</v>
      </c>
      <c r="R570" s="332"/>
      <c r="S570" s="332"/>
      <c r="T570" s="332"/>
      <c r="U570" s="332"/>
      <c r="V570" s="332"/>
      <c r="W570" s="332"/>
      <c r="X570" s="332"/>
      <c r="Y570" s="332"/>
    </row>
    <row r="571" spans="2:25" x14ac:dyDescent="0.3">
      <c r="B571" s="333">
        <v>60</v>
      </c>
      <c r="C571" s="333"/>
      <c r="D571" s="333"/>
      <c r="E571" s="333"/>
      <c r="F571" s="333"/>
      <c r="G571" s="333"/>
      <c r="H571" s="333"/>
      <c r="I571" s="333"/>
      <c r="J571" s="333"/>
      <c r="K571" s="333"/>
      <c r="L571" s="332"/>
      <c r="M571" s="333">
        <f t="shared" si="94"/>
        <v>30</v>
      </c>
      <c r="N571" s="333" t="e">
        <f t="shared" si="95"/>
        <v>#DIV/0!</v>
      </c>
      <c r="O571" s="333" t="e">
        <f t="shared" si="96"/>
        <v>#DIV/0!</v>
      </c>
      <c r="P571" s="334" t="e">
        <f t="shared" si="97"/>
        <v>#DIV/0!</v>
      </c>
      <c r="Q571" s="334" t="e">
        <f t="shared" si="98"/>
        <v>#DIV/0!</v>
      </c>
      <c r="R571" s="332"/>
      <c r="S571" s="332"/>
      <c r="T571" s="332"/>
      <c r="U571" s="332"/>
      <c r="V571" s="332"/>
      <c r="W571" s="332"/>
      <c r="X571" s="332"/>
      <c r="Y571" s="332"/>
    </row>
    <row r="572" spans="2:25" x14ac:dyDescent="0.3">
      <c r="B572" s="333">
        <v>60</v>
      </c>
      <c r="C572" s="333"/>
      <c r="D572" s="333"/>
      <c r="E572" s="333"/>
      <c r="F572" s="333"/>
      <c r="G572" s="333"/>
      <c r="H572" s="333"/>
      <c r="I572" s="333"/>
      <c r="J572" s="333"/>
      <c r="K572" s="333"/>
      <c r="L572" s="332"/>
      <c r="M572" s="333">
        <f t="shared" si="94"/>
        <v>30</v>
      </c>
      <c r="N572" s="333" t="e">
        <f t="shared" si="95"/>
        <v>#DIV/0!</v>
      </c>
      <c r="O572" s="333" t="e">
        <f t="shared" si="96"/>
        <v>#DIV/0!</v>
      </c>
      <c r="P572" s="334" t="e">
        <f t="shared" si="97"/>
        <v>#DIV/0!</v>
      </c>
      <c r="Q572" s="334" t="e">
        <f t="shared" si="98"/>
        <v>#DIV/0!</v>
      </c>
      <c r="R572" s="332"/>
      <c r="S572" s="332"/>
      <c r="T572" s="332"/>
      <c r="U572" s="332"/>
      <c r="V572" s="332"/>
      <c r="W572" s="332"/>
      <c r="X572" s="332"/>
      <c r="Y572" s="332"/>
    </row>
    <row r="573" spans="2:25" x14ac:dyDescent="0.3">
      <c r="B573" s="333">
        <v>60</v>
      </c>
      <c r="C573" s="333"/>
      <c r="D573" s="333"/>
      <c r="E573" s="333"/>
      <c r="F573" s="333"/>
      <c r="G573" s="333"/>
      <c r="H573" s="333"/>
      <c r="I573" s="333"/>
      <c r="J573" s="333"/>
      <c r="K573" s="333"/>
      <c r="L573" s="332"/>
      <c r="M573" s="333">
        <f t="shared" si="94"/>
        <v>30</v>
      </c>
      <c r="N573" s="333" t="e">
        <f t="shared" si="95"/>
        <v>#DIV/0!</v>
      </c>
      <c r="O573" s="333" t="e">
        <f t="shared" si="96"/>
        <v>#DIV/0!</v>
      </c>
      <c r="P573" s="334" t="e">
        <f t="shared" si="97"/>
        <v>#DIV/0!</v>
      </c>
      <c r="Q573" s="334" t="e">
        <f t="shared" si="98"/>
        <v>#DIV/0!</v>
      </c>
      <c r="R573" s="332"/>
      <c r="S573" s="332"/>
      <c r="T573" s="332"/>
      <c r="U573" s="332"/>
      <c r="V573" s="332"/>
      <c r="W573" s="332"/>
      <c r="X573" s="332"/>
      <c r="Y573" s="332"/>
    </row>
    <row r="574" spans="2:25" x14ac:dyDescent="0.3">
      <c r="B574" s="333">
        <v>60</v>
      </c>
      <c r="C574" s="333"/>
      <c r="D574" s="333"/>
      <c r="E574" s="333"/>
      <c r="F574" s="333"/>
      <c r="G574" s="333"/>
      <c r="H574" s="333"/>
      <c r="I574" s="333"/>
      <c r="J574" s="333"/>
      <c r="K574" s="333"/>
      <c r="L574" s="332"/>
      <c r="M574" s="333">
        <f t="shared" si="94"/>
        <v>30</v>
      </c>
      <c r="N574" s="333" t="e">
        <f t="shared" si="95"/>
        <v>#DIV/0!</v>
      </c>
      <c r="O574" s="333" t="e">
        <f t="shared" si="96"/>
        <v>#DIV/0!</v>
      </c>
      <c r="P574" s="334" t="e">
        <f t="shared" si="97"/>
        <v>#DIV/0!</v>
      </c>
      <c r="Q574" s="334" t="e">
        <f t="shared" si="98"/>
        <v>#DIV/0!</v>
      </c>
      <c r="R574" s="332"/>
      <c r="S574" s="332"/>
      <c r="T574" s="332"/>
      <c r="U574" s="332"/>
      <c r="V574" s="332"/>
      <c r="W574" s="332"/>
      <c r="X574" s="332"/>
      <c r="Y574" s="332"/>
    </row>
    <row r="575" spans="2:25" x14ac:dyDescent="0.3">
      <c r="B575" s="333">
        <v>60</v>
      </c>
      <c r="C575" s="333"/>
      <c r="D575" s="333"/>
      <c r="E575" s="333"/>
      <c r="F575" s="333"/>
      <c r="G575" s="333"/>
      <c r="H575" s="333"/>
      <c r="I575" s="333"/>
      <c r="J575" s="333"/>
      <c r="K575" s="333"/>
      <c r="L575" s="332"/>
      <c r="M575" s="333">
        <f t="shared" si="94"/>
        <v>30</v>
      </c>
      <c r="N575" s="333" t="e">
        <f t="shared" si="95"/>
        <v>#DIV/0!</v>
      </c>
      <c r="O575" s="333" t="e">
        <f t="shared" si="96"/>
        <v>#DIV/0!</v>
      </c>
      <c r="P575" s="334" t="e">
        <f t="shared" si="97"/>
        <v>#DIV/0!</v>
      </c>
      <c r="Q575" s="334" t="e">
        <f t="shared" si="98"/>
        <v>#DIV/0!</v>
      </c>
      <c r="R575" s="332"/>
      <c r="S575" s="332"/>
      <c r="T575" s="332"/>
      <c r="U575" s="332"/>
      <c r="V575" s="332"/>
      <c r="W575" s="332"/>
      <c r="X575" s="332"/>
      <c r="Y575" s="332"/>
    </row>
    <row r="576" spans="2:25" x14ac:dyDescent="0.3">
      <c r="B576" s="333">
        <v>60</v>
      </c>
      <c r="C576" s="333"/>
      <c r="D576" s="333"/>
      <c r="E576" s="333"/>
      <c r="F576" s="333"/>
      <c r="G576" s="333"/>
      <c r="H576" s="333"/>
      <c r="I576" s="333"/>
      <c r="J576" s="333"/>
      <c r="K576" s="333"/>
      <c r="L576" s="332"/>
      <c r="M576" s="333">
        <f t="shared" si="94"/>
        <v>30</v>
      </c>
      <c r="N576" s="333" t="e">
        <f t="shared" si="95"/>
        <v>#DIV/0!</v>
      </c>
      <c r="O576" s="333" t="e">
        <f t="shared" si="96"/>
        <v>#DIV/0!</v>
      </c>
      <c r="P576" s="334" t="e">
        <f t="shared" si="97"/>
        <v>#DIV/0!</v>
      </c>
      <c r="Q576" s="334" t="e">
        <f t="shared" si="98"/>
        <v>#DIV/0!</v>
      </c>
      <c r="R576" s="332"/>
      <c r="S576" s="332"/>
      <c r="T576" s="332"/>
      <c r="U576" s="332"/>
      <c r="V576" s="332"/>
      <c r="W576" s="332"/>
      <c r="X576" s="332"/>
      <c r="Y576" s="332"/>
    </row>
    <row r="577" spans="2:25" x14ac:dyDescent="0.3">
      <c r="B577" s="333">
        <v>60</v>
      </c>
      <c r="C577" s="333"/>
      <c r="D577" s="333"/>
      <c r="E577" s="333"/>
      <c r="F577" s="333"/>
      <c r="G577" s="333"/>
      <c r="H577" s="333"/>
      <c r="I577" s="333"/>
      <c r="J577" s="333"/>
      <c r="K577" s="333"/>
      <c r="L577" s="332"/>
      <c r="M577" s="333">
        <f t="shared" si="94"/>
        <v>30</v>
      </c>
      <c r="N577" s="333" t="e">
        <f t="shared" si="95"/>
        <v>#DIV/0!</v>
      </c>
      <c r="O577" s="333" t="e">
        <f t="shared" si="96"/>
        <v>#DIV/0!</v>
      </c>
      <c r="P577" s="334" t="e">
        <f t="shared" si="97"/>
        <v>#DIV/0!</v>
      </c>
      <c r="Q577" s="334" t="e">
        <f t="shared" si="98"/>
        <v>#DIV/0!</v>
      </c>
      <c r="R577" s="332"/>
      <c r="S577" s="332"/>
      <c r="T577" s="332"/>
      <c r="U577" s="332"/>
      <c r="V577" s="332"/>
      <c r="W577" s="332"/>
      <c r="X577" s="332"/>
      <c r="Y577" s="332"/>
    </row>
    <row r="578" spans="2:25" x14ac:dyDescent="0.3">
      <c r="B578" s="333">
        <v>60</v>
      </c>
      <c r="C578" s="333"/>
      <c r="D578" s="333"/>
      <c r="E578" s="333"/>
      <c r="F578" s="333"/>
      <c r="G578" s="333"/>
      <c r="H578" s="333"/>
      <c r="I578" s="333"/>
      <c r="J578" s="333"/>
      <c r="K578" s="333"/>
      <c r="L578" s="332"/>
      <c r="M578" s="333">
        <f t="shared" si="94"/>
        <v>30</v>
      </c>
      <c r="N578" s="333" t="e">
        <f t="shared" si="95"/>
        <v>#DIV/0!</v>
      </c>
      <c r="O578" s="333" t="e">
        <f t="shared" si="96"/>
        <v>#DIV/0!</v>
      </c>
      <c r="P578" s="334" t="e">
        <f t="shared" si="97"/>
        <v>#DIV/0!</v>
      </c>
      <c r="Q578" s="334" t="e">
        <f t="shared" si="98"/>
        <v>#DIV/0!</v>
      </c>
      <c r="R578" s="332"/>
      <c r="S578" s="332"/>
      <c r="T578" s="332"/>
      <c r="U578" s="332"/>
      <c r="V578" s="332"/>
      <c r="W578" s="332"/>
      <c r="X578" s="332"/>
      <c r="Y578" s="332"/>
    </row>
    <row r="579" spans="2:25" x14ac:dyDescent="0.3">
      <c r="B579" s="333">
        <v>60</v>
      </c>
      <c r="C579" s="333"/>
      <c r="D579" s="333"/>
      <c r="E579" s="333"/>
      <c r="F579" s="333"/>
      <c r="G579" s="333"/>
      <c r="H579" s="333"/>
      <c r="I579" s="333"/>
      <c r="J579" s="333"/>
      <c r="K579" s="333"/>
      <c r="L579" s="332"/>
      <c r="M579" s="333">
        <f t="shared" si="94"/>
        <v>30</v>
      </c>
      <c r="N579" s="333" t="e">
        <f t="shared" si="95"/>
        <v>#DIV/0!</v>
      </c>
      <c r="O579" s="333" t="e">
        <f t="shared" si="96"/>
        <v>#DIV/0!</v>
      </c>
      <c r="P579" s="334" t="e">
        <f t="shared" si="97"/>
        <v>#DIV/0!</v>
      </c>
      <c r="Q579" s="334" t="e">
        <f t="shared" si="98"/>
        <v>#DIV/0!</v>
      </c>
      <c r="R579" s="332"/>
      <c r="S579" s="332"/>
      <c r="T579" s="332"/>
      <c r="U579" s="332"/>
      <c r="V579" s="332"/>
      <c r="W579" s="332"/>
      <c r="X579" s="332"/>
      <c r="Y579" s="332"/>
    </row>
    <row r="580" spans="2:25" x14ac:dyDescent="0.3">
      <c r="B580" s="333">
        <v>60</v>
      </c>
      <c r="C580" s="333"/>
      <c r="D580" s="333"/>
      <c r="E580" s="333"/>
      <c r="F580" s="333"/>
      <c r="G580" s="333"/>
      <c r="H580" s="333"/>
      <c r="I580" s="333"/>
      <c r="J580" s="333"/>
      <c r="K580" s="333"/>
      <c r="L580" s="332"/>
      <c r="M580" s="333">
        <f t="shared" si="94"/>
        <v>30</v>
      </c>
      <c r="N580" s="333" t="e">
        <f t="shared" si="95"/>
        <v>#DIV/0!</v>
      </c>
      <c r="O580" s="333" t="e">
        <f t="shared" si="96"/>
        <v>#DIV/0!</v>
      </c>
      <c r="P580" s="334" t="e">
        <f t="shared" si="97"/>
        <v>#DIV/0!</v>
      </c>
      <c r="Q580" s="334" t="e">
        <f t="shared" si="98"/>
        <v>#DIV/0!</v>
      </c>
      <c r="R580" s="332"/>
      <c r="S580" s="332"/>
      <c r="T580" s="332"/>
      <c r="U580" s="332"/>
      <c r="V580" s="332"/>
      <c r="W580" s="332"/>
      <c r="X580" s="332"/>
      <c r="Y580" s="332"/>
    </row>
    <row r="581" spans="2:25" x14ac:dyDescent="0.3">
      <c r="B581" s="333">
        <v>60</v>
      </c>
      <c r="C581" s="333"/>
      <c r="D581" s="333"/>
      <c r="E581" s="333"/>
      <c r="F581" s="333"/>
      <c r="G581" s="333"/>
      <c r="H581" s="333"/>
      <c r="I581" s="333"/>
      <c r="J581" s="333"/>
      <c r="K581" s="333"/>
      <c r="L581" s="332"/>
      <c r="M581" s="333">
        <f t="shared" si="94"/>
        <v>30</v>
      </c>
      <c r="N581" s="333" t="e">
        <f t="shared" si="95"/>
        <v>#DIV/0!</v>
      </c>
      <c r="O581" s="333" t="e">
        <f t="shared" si="96"/>
        <v>#DIV/0!</v>
      </c>
      <c r="P581" s="334" t="e">
        <f t="shared" si="97"/>
        <v>#DIV/0!</v>
      </c>
      <c r="Q581" s="334" t="e">
        <f t="shared" si="98"/>
        <v>#DIV/0!</v>
      </c>
      <c r="R581" s="332"/>
      <c r="S581" s="332"/>
      <c r="T581" s="332"/>
      <c r="U581" s="332"/>
      <c r="V581" s="332"/>
      <c r="W581" s="332"/>
      <c r="X581" s="332"/>
      <c r="Y581" s="332"/>
    </row>
    <row r="582" spans="2:25" x14ac:dyDescent="0.3">
      <c r="B582" s="333">
        <v>80</v>
      </c>
      <c r="C582" s="333"/>
      <c r="D582" s="333"/>
      <c r="E582" s="333"/>
      <c r="F582" s="333"/>
      <c r="G582" s="333"/>
      <c r="H582" s="333"/>
      <c r="I582" s="333"/>
      <c r="J582" s="333"/>
      <c r="K582" s="333"/>
      <c r="L582" s="332"/>
      <c r="M582" s="333">
        <f t="shared" si="94"/>
        <v>40</v>
      </c>
      <c r="N582" s="333" t="e">
        <f t="shared" si="95"/>
        <v>#DIV/0!</v>
      </c>
      <c r="O582" s="333" t="e">
        <f t="shared" si="96"/>
        <v>#DIV/0!</v>
      </c>
      <c r="P582" s="334" t="e">
        <f t="shared" si="97"/>
        <v>#DIV/0!</v>
      </c>
      <c r="Q582" s="334" t="e">
        <f t="shared" si="98"/>
        <v>#DIV/0!</v>
      </c>
      <c r="R582" s="332"/>
      <c r="S582" s="332"/>
      <c r="T582" s="332"/>
      <c r="U582" s="332"/>
      <c r="V582" s="332"/>
      <c r="W582" s="332"/>
      <c r="X582" s="332"/>
      <c r="Y582" s="332"/>
    </row>
    <row r="583" spans="2:25" x14ac:dyDescent="0.3">
      <c r="B583" s="333">
        <v>80</v>
      </c>
      <c r="C583" s="333"/>
      <c r="D583" s="333"/>
      <c r="E583" s="333"/>
      <c r="F583" s="333"/>
      <c r="G583" s="333"/>
      <c r="H583" s="333"/>
      <c r="I583" s="333"/>
      <c r="J583" s="333"/>
      <c r="K583" s="333"/>
      <c r="L583" s="332"/>
      <c r="M583" s="333">
        <f t="shared" si="94"/>
        <v>40</v>
      </c>
      <c r="N583" s="333" t="e">
        <f t="shared" si="95"/>
        <v>#DIV/0!</v>
      </c>
      <c r="O583" s="333" t="e">
        <f t="shared" si="96"/>
        <v>#DIV/0!</v>
      </c>
      <c r="P583" s="334" t="e">
        <f t="shared" si="97"/>
        <v>#DIV/0!</v>
      </c>
      <c r="Q583" s="334" t="e">
        <f t="shared" si="98"/>
        <v>#DIV/0!</v>
      </c>
      <c r="R583" s="332"/>
      <c r="S583" s="332"/>
      <c r="T583" s="332"/>
      <c r="U583" s="332"/>
      <c r="V583" s="332"/>
      <c r="W583" s="332"/>
      <c r="X583" s="332"/>
      <c r="Y583" s="332"/>
    </row>
    <row r="584" spans="2:25" x14ac:dyDescent="0.3">
      <c r="B584" s="333">
        <v>80</v>
      </c>
      <c r="C584" s="333"/>
      <c r="D584" s="333"/>
      <c r="E584" s="333"/>
      <c r="F584" s="333"/>
      <c r="G584" s="333"/>
      <c r="H584" s="333"/>
      <c r="I584" s="333"/>
      <c r="J584" s="333"/>
      <c r="K584" s="333"/>
      <c r="L584" s="332"/>
      <c r="M584" s="333">
        <f t="shared" si="94"/>
        <v>40</v>
      </c>
      <c r="N584" s="333" t="e">
        <f t="shared" si="95"/>
        <v>#DIV/0!</v>
      </c>
      <c r="O584" s="333" t="e">
        <f t="shared" si="96"/>
        <v>#DIV/0!</v>
      </c>
      <c r="P584" s="334" t="e">
        <f t="shared" si="97"/>
        <v>#DIV/0!</v>
      </c>
      <c r="Q584" s="334" t="e">
        <f t="shared" si="98"/>
        <v>#DIV/0!</v>
      </c>
      <c r="R584" s="332"/>
      <c r="S584" s="332"/>
      <c r="T584" s="332"/>
      <c r="U584" s="332"/>
      <c r="V584" s="332"/>
      <c r="W584" s="332"/>
      <c r="X584" s="332"/>
      <c r="Y584" s="332"/>
    </row>
    <row r="585" spans="2:25" x14ac:dyDescent="0.3">
      <c r="B585" s="333">
        <v>80</v>
      </c>
      <c r="C585" s="333"/>
      <c r="D585" s="333"/>
      <c r="E585" s="333"/>
      <c r="F585" s="333"/>
      <c r="G585" s="333"/>
      <c r="H585" s="333"/>
      <c r="I585" s="333"/>
      <c r="J585" s="333"/>
      <c r="K585" s="333"/>
      <c r="L585" s="332"/>
      <c r="M585" s="333">
        <f t="shared" si="94"/>
        <v>40</v>
      </c>
      <c r="N585" s="333" t="e">
        <f t="shared" si="95"/>
        <v>#DIV/0!</v>
      </c>
      <c r="O585" s="333" t="e">
        <f t="shared" si="96"/>
        <v>#DIV/0!</v>
      </c>
      <c r="P585" s="334" t="e">
        <f t="shared" si="97"/>
        <v>#DIV/0!</v>
      </c>
      <c r="Q585" s="334" t="e">
        <f t="shared" si="98"/>
        <v>#DIV/0!</v>
      </c>
      <c r="R585" s="332"/>
      <c r="S585" s="332"/>
      <c r="T585" s="332"/>
      <c r="U585" s="332"/>
      <c r="V585" s="332"/>
      <c r="W585" s="332"/>
      <c r="X585" s="332"/>
      <c r="Y585" s="332"/>
    </row>
    <row r="586" spans="2:25" x14ac:dyDescent="0.3">
      <c r="B586" s="333">
        <v>80</v>
      </c>
      <c r="C586" s="333"/>
      <c r="D586" s="333"/>
      <c r="E586" s="333"/>
      <c r="F586" s="333"/>
      <c r="G586" s="333"/>
      <c r="H586" s="333"/>
      <c r="I586" s="333"/>
      <c r="J586" s="333"/>
      <c r="K586" s="333"/>
      <c r="L586" s="332"/>
      <c r="M586" s="333">
        <f t="shared" si="94"/>
        <v>40</v>
      </c>
      <c r="N586" s="333" t="e">
        <f t="shared" si="95"/>
        <v>#DIV/0!</v>
      </c>
      <c r="O586" s="333" t="e">
        <f t="shared" si="96"/>
        <v>#DIV/0!</v>
      </c>
      <c r="P586" s="334" t="e">
        <f t="shared" si="97"/>
        <v>#DIV/0!</v>
      </c>
      <c r="Q586" s="334" t="e">
        <f t="shared" si="98"/>
        <v>#DIV/0!</v>
      </c>
      <c r="R586" s="332"/>
      <c r="S586" s="332"/>
      <c r="T586" s="332"/>
      <c r="U586" s="332"/>
      <c r="V586" s="332"/>
      <c r="W586" s="332"/>
      <c r="X586" s="332"/>
      <c r="Y586" s="332"/>
    </row>
    <row r="587" spans="2:25" x14ac:dyDescent="0.3">
      <c r="B587" s="333">
        <v>80</v>
      </c>
      <c r="C587" s="333"/>
      <c r="D587" s="333"/>
      <c r="E587" s="333"/>
      <c r="F587" s="333"/>
      <c r="G587" s="333"/>
      <c r="H587" s="333"/>
      <c r="I587" s="333"/>
      <c r="J587" s="333"/>
      <c r="K587" s="333"/>
      <c r="L587" s="332"/>
      <c r="M587" s="333">
        <f t="shared" si="94"/>
        <v>40</v>
      </c>
      <c r="N587" s="333" t="e">
        <f t="shared" si="95"/>
        <v>#DIV/0!</v>
      </c>
      <c r="O587" s="333" t="e">
        <f t="shared" si="96"/>
        <v>#DIV/0!</v>
      </c>
      <c r="P587" s="334" t="e">
        <f t="shared" si="97"/>
        <v>#DIV/0!</v>
      </c>
      <c r="Q587" s="334" t="e">
        <f t="shared" si="98"/>
        <v>#DIV/0!</v>
      </c>
      <c r="R587" s="332"/>
      <c r="S587" s="332"/>
      <c r="T587" s="332"/>
      <c r="U587" s="332"/>
      <c r="V587" s="332"/>
      <c r="W587" s="332"/>
      <c r="X587" s="332"/>
      <c r="Y587" s="332"/>
    </row>
    <row r="588" spans="2:25" x14ac:dyDescent="0.3">
      <c r="B588" s="333">
        <v>80</v>
      </c>
      <c r="C588" s="333"/>
      <c r="D588" s="333"/>
      <c r="E588" s="333"/>
      <c r="F588" s="333"/>
      <c r="G588" s="333"/>
      <c r="H588" s="333"/>
      <c r="I588" s="333"/>
      <c r="J588" s="333"/>
      <c r="K588" s="333"/>
      <c r="L588" s="332"/>
      <c r="M588" s="333">
        <f t="shared" si="94"/>
        <v>40</v>
      </c>
      <c r="N588" s="333" t="e">
        <f t="shared" si="95"/>
        <v>#DIV/0!</v>
      </c>
      <c r="O588" s="333" t="e">
        <f t="shared" si="96"/>
        <v>#DIV/0!</v>
      </c>
      <c r="P588" s="334" t="e">
        <f t="shared" si="97"/>
        <v>#DIV/0!</v>
      </c>
      <c r="Q588" s="334" t="e">
        <f t="shared" si="98"/>
        <v>#DIV/0!</v>
      </c>
      <c r="R588" s="332"/>
      <c r="S588" s="332"/>
      <c r="T588" s="332"/>
      <c r="U588" s="332"/>
      <c r="V588" s="332"/>
      <c r="W588" s="332"/>
      <c r="X588" s="332"/>
      <c r="Y588" s="332"/>
    </row>
    <row r="589" spans="2:25" x14ac:dyDescent="0.3">
      <c r="B589" s="333">
        <v>80</v>
      </c>
      <c r="C589" s="333"/>
      <c r="D589" s="333"/>
      <c r="E589" s="333"/>
      <c r="F589" s="333"/>
      <c r="G589" s="333"/>
      <c r="H589" s="333"/>
      <c r="I589" s="333"/>
      <c r="J589" s="333"/>
      <c r="K589" s="333"/>
      <c r="L589" s="332"/>
      <c r="M589" s="333">
        <f t="shared" si="94"/>
        <v>40</v>
      </c>
      <c r="N589" s="333" t="e">
        <f t="shared" si="95"/>
        <v>#DIV/0!</v>
      </c>
      <c r="O589" s="333" t="e">
        <f t="shared" si="96"/>
        <v>#DIV/0!</v>
      </c>
      <c r="P589" s="334" t="e">
        <f t="shared" si="97"/>
        <v>#DIV/0!</v>
      </c>
      <c r="Q589" s="334" t="e">
        <f t="shared" si="98"/>
        <v>#DIV/0!</v>
      </c>
      <c r="R589" s="332"/>
      <c r="S589" s="332"/>
      <c r="T589" s="332"/>
      <c r="U589" s="332"/>
      <c r="V589" s="332"/>
      <c r="W589" s="332"/>
      <c r="X589" s="332"/>
      <c r="Y589" s="332"/>
    </row>
    <row r="590" spans="2:25" x14ac:dyDescent="0.3">
      <c r="B590" s="333">
        <v>80</v>
      </c>
      <c r="C590" s="333"/>
      <c r="D590" s="333"/>
      <c r="E590" s="333"/>
      <c r="F590" s="333"/>
      <c r="G590" s="333"/>
      <c r="H590" s="333"/>
      <c r="I590" s="333"/>
      <c r="J590" s="333"/>
      <c r="K590" s="333"/>
      <c r="L590" s="332"/>
      <c r="M590" s="333">
        <f t="shared" si="94"/>
        <v>40</v>
      </c>
      <c r="N590" s="333" t="e">
        <f t="shared" si="95"/>
        <v>#DIV/0!</v>
      </c>
      <c r="O590" s="333" t="e">
        <f t="shared" si="96"/>
        <v>#DIV/0!</v>
      </c>
      <c r="P590" s="334" t="e">
        <f t="shared" si="97"/>
        <v>#DIV/0!</v>
      </c>
      <c r="Q590" s="334" t="e">
        <f t="shared" si="98"/>
        <v>#DIV/0!</v>
      </c>
      <c r="R590" s="332"/>
      <c r="S590" s="332"/>
      <c r="T590" s="332"/>
      <c r="U590" s="332"/>
      <c r="V590" s="332"/>
      <c r="W590" s="332"/>
      <c r="X590" s="332"/>
      <c r="Y590" s="332"/>
    </row>
    <row r="591" spans="2:25" x14ac:dyDescent="0.3">
      <c r="B591" s="333">
        <v>80</v>
      </c>
      <c r="C591" s="333"/>
      <c r="D591" s="333"/>
      <c r="E591" s="333"/>
      <c r="F591" s="333"/>
      <c r="G591" s="333"/>
      <c r="H591" s="333"/>
      <c r="I591" s="333"/>
      <c r="J591" s="333"/>
      <c r="K591" s="333"/>
      <c r="L591" s="332"/>
      <c r="M591" s="333">
        <f t="shared" si="94"/>
        <v>40</v>
      </c>
      <c r="N591" s="333" t="e">
        <f t="shared" si="95"/>
        <v>#DIV/0!</v>
      </c>
      <c r="O591" s="333" t="e">
        <f t="shared" si="96"/>
        <v>#DIV/0!</v>
      </c>
      <c r="P591" s="334" t="e">
        <f t="shared" si="97"/>
        <v>#DIV/0!</v>
      </c>
      <c r="Q591" s="334" t="e">
        <f t="shared" si="98"/>
        <v>#DIV/0!</v>
      </c>
      <c r="R591" s="332"/>
      <c r="S591" s="332"/>
      <c r="T591" s="332"/>
      <c r="U591" s="332"/>
      <c r="V591" s="332"/>
      <c r="W591" s="332"/>
      <c r="X591" s="332"/>
      <c r="Y591" s="332"/>
    </row>
    <row r="592" spans="2:25" x14ac:dyDescent="0.3">
      <c r="B592" s="333">
        <v>80</v>
      </c>
      <c r="C592" s="333"/>
      <c r="D592" s="333"/>
      <c r="E592" s="333"/>
      <c r="F592" s="333"/>
      <c r="G592" s="333"/>
      <c r="H592" s="333"/>
      <c r="I592" s="333"/>
      <c r="J592" s="333"/>
      <c r="K592" s="333"/>
      <c r="L592" s="332"/>
      <c r="M592" s="333">
        <f t="shared" si="94"/>
        <v>40</v>
      </c>
      <c r="N592" s="333" t="e">
        <f t="shared" si="95"/>
        <v>#DIV/0!</v>
      </c>
      <c r="O592" s="333" t="e">
        <f t="shared" si="96"/>
        <v>#DIV/0!</v>
      </c>
      <c r="P592" s="334" t="e">
        <f t="shared" si="97"/>
        <v>#DIV/0!</v>
      </c>
      <c r="Q592" s="334" t="e">
        <f t="shared" si="98"/>
        <v>#DIV/0!</v>
      </c>
      <c r="R592" s="332"/>
      <c r="S592" s="332"/>
      <c r="T592" s="332"/>
      <c r="U592" s="332"/>
      <c r="V592" s="332"/>
      <c r="W592" s="332"/>
      <c r="X592" s="332"/>
      <c r="Y592" s="332"/>
    </row>
    <row r="593" spans="2:25" x14ac:dyDescent="0.3">
      <c r="B593" s="333">
        <v>80</v>
      </c>
      <c r="C593" s="333"/>
      <c r="D593" s="333"/>
      <c r="E593" s="333"/>
      <c r="F593" s="333"/>
      <c r="G593" s="333"/>
      <c r="H593" s="333"/>
      <c r="I593" s="333"/>
      <c r="J593" s="333"/>
      <c r="K593" s="333"/>
      <c r="L593" s="332"/>
      <c r="M593" s="333">
        <f t="shared" si="94"/>
        <v>40</v>
      </c>
      <c r="N593" s="333" t="e">
        <f t="shared" si="95"/>
        <v>#DIV/0!</v>
      </c>
      <c r="O593" s="333" t="e">
        <f t="shared" si="96"/>
        <v>#DIV/0!</v>
      </c>
      <c r="P593" s="334" t="e">
        <f t="shared" si="97"/>
        <v>#DIV/0!</v>
      </c>
      <c r="Q593" s="334" t="e">
        <f t="shared" si="98"/>
        <v>#DIV/0!</v>
      </c>
      <c r="R593" s="332"/>
      <c r="S593" s="332"/>
      <c r="T593" s="332"/>
      <c r="U593" s="332"/>
      <c r="V593" s="332"/>
      <c r="W593" s="332"/>
      <c r="X593" s="332"/>
      <c r="Y593" s="332"/>
    </row>
    <row r="594" spans="2:25" x14ac:dyDescent="0.3">
      <c r="B594" s="333">
        <v>80</v>
      </c>
      <c r="C594" s="333"/>
      <c r="D594" s="333"/>
      <c r="E594" s="333"/>
      <c r="F594" s="333"/>
      <c r="G594" s="333"/>
      <c r="H594" s="333"/>
      <c r="I594" s="333"/>
      <c r="J594" s="333"/>
      <c r="K594" s="333"/>
      <c r="L594" s="332"/>
      <c r="M594" s="333">
        <f t="shared" si="94"/>
        <v>40</v>
      </c>
      <c r="N594" s="333" t="e">
        <f t="shared" si="95"/>
        <v>#DIV/0!</v>
      </c>
      <c r="O594" s="333" t="e">
        <f t="shared" si="96"/>
        <v>#DIV/0!</v>
      </c>
      <c r="P594" s="334" t="e">
        <f t="shared" si="97"/>
        <v>#DIV/0!</v>
      </c>
      <c r="Q594" s="334" t="e">
        <f t="shared" si="98"/>
        <v>#DIV/0!</v>
      </c>
      <c r="R594" s="332"/>
      <c r="S594" s="332"/>
      <c r="T594" s="332"/>
      <c r="U594" s="332"/>
      <c r="V594" s="332"/>
      <c r="W594" s="332"/>
      <c r="X594" s="332"/>
      <c r="Y594" s="332"/>
    </row>
    <row r="595" spans="2:25" x14ac:dyDescent="0.3">
      <c r="B595" s="333">
        <v>80</v>
      </c>
      <c r="C595" s="333"/>
      <c r="D595" s="333"/>
      <c r="E595" s="333"/>
      <c r="F595" s="333"/>
      <c r="G595" s="333"/>
      <c r="H595" s="333"/>
      <c r="I595" s="333"/>
      <c r="J595" s="333"/>
      <c r="K595" s="333"/>
      <c r="L595" s="332"/>
      <c r="M595" s="333">
        <f t="shared" si="94"/>
        <v>40</v>
      </c>
      <c r="N595" s="333" t="e">
        <f t="shared" si="95"/>
        <v>#DIV/0!</v>
      </c>
      <c r="O595" s="333" t="e">
        <f t="shared" si="96"/>
        <v>#DIV/0!</v>
      </c>
      <c r="P595" s="334" t="e">
        <f t="shared" si="97"/>
        <v>#DIV/0!</v>
      </c>
      <c r="Q595" s="334" t="e">
        <f t="shared" si="98"/>
        <v>#DIV/0!</v>
      </c>
      <c r="R595" s="332"/>
      <c r="S595" s="332"/>
      <c r="T595" s="332"/>
      <c r="U595" s="332"/>
      <c r="V595" s="332"/>
      <c r="W595" s="332"/>
      <c r="X595" s="332"/>
      <c r="Y595" s="332"/>
    </row>
    <row r="596" spans="2:25" x14ac:dyDescent="0.3">
      <c r="B596" s="333">
        <v>80</v>
      </c>
      <c r="C596" s="333"/>
      <c r="D596" s="333"/>
      <c r="E596" s="333"/>
      <c r="F596" s="333"/>
      <c r="G596" s="333"/>
      <c r="H596" s="333"/>
      <c r="I596" s="333"/>
      <c r="J596" s="333"/>
      <c r="K596" s="333"/>
      <c r="L596" s="332"/>
      <c r="M596" s="333">
        <f t="shared" si="94"/>
        <v>40</v>
      </c>
      <c r="N596" s="333" t="e">
        <f t="shared" si="95"/>
        <v>#DIV/0!</v>
      </c>
      <c r="O596" s="333" t="e">
        <f t="shared" si="96"/>
        <v>#DIV/0!</v>
      </c>
      <c r="P596" s="334" t="e">
        <f t="shared" si="97"/>
        <v>#DIV/0!</v>
      </c>
      <c r="Q596" s="334" t="e">
        <f t="shared" si="98"/>
        <v>#DIV/0!</v>
      </c>
      <c r="R596" s="332"/>
      <c r="S596" s="332"/>
      <c r="T596" s="332"/>
      <c r="U596" s="332"/>
      <c r="V596" s="332"/>
      <c r="W596" s="332"/>
      <c r="X596" s="332"/>
      <c r="Y596" s="332"/>
    </row>
    <row r="597" spans="2:25" x14ac:dyDescent="0.3">
      <c r="B597" s="333">
        <v>80</v>
      </c>
      <c r="C597" s="333"/>
      <c r="D597" s="333"/>
      <c r="E597" s="333"/>
      <c r="F597" s="333"/>
      <c r="G597" s="333"/>
      <c r="H597" s="333"/>
      <c r="I597" s="333"/>
      <c r="J597" s="333"/>
      <c r="K597" s="333"/>
      <c r="L597" s="332"/>
      <c r="M597" s="333">
        <f t="shared" si="94"/>
        <v>40</v>
      </c>
      <c r="N597" s="333" t="e">
        <f t="shared" si="95"/>
        <v>#DIV/0!</v>
      </c>
      <c r="O597" s="333" t="e">
        <f t="shared" si="96"/>
        <v>#DIV/0!</v>
      </c>
      <c r="P597" s="334" t="e">
        <f t="shared" si="97"/>
        <v>#DIV/0!</v>
      </c>
      <c r="Q597" s="334" t="e">
        <f t="shared" si="98"/>
        <v>#DIV/0!</v>
      </c>
      <c r="R597" s="332"/>
      <c r="S597" s="332"/>
      <c r="T597" s="332"/>
      <c r="U597" s="332"/>
      <c r="V597" s="332"/>
      <c r="W597" s="332"/>
      <c r="X597" s="332"/>
      <c r="Y597" s="332"/>
    </row>
    <row r="598" spans="2:25" x14ac:dyDescent="0.3">
      <c r="B598" s="333">
        <v>80</v>
      </c>
      <c r="C598" s="333"/>
      <c r="D598" s="333"/>
      <c r="E598" s="333"/>
      <c r="F598" s="333"/>
      <c r="G598" s="333"/>
      <c r="H598" s="333"/>
      <c r="I598" s="333"/>
      <c r="J598" s="333"/>
      <c r="K598" s="333"/>
      <c r="L598" s="332"/>
      <c r="M598" s="333">
        <f t="shared" si="94"/>
        <v>40</v>
      </c>
      <c r="N598" s="333" t="e">
        <f t="shared" si="95"/>
        <v>#DIV/0!</v>
      </c>
      <c r="O598" s="333" t="e">
        <f t="shared" si="96"/>
        <v>#DIV/0!</v>
      </c>
      <c r="P598" s="334" t="e">
        <f t="shared" si="97"/>
        <v>#DIV/0!</v>
      </c>
      <c r="Q598" s="334" t="e">
        <f t="shared" si="98"/>
        <v>#DIV/0!</v>
      </c>
      <c r="R598" s="332"/>
      <c r="S598" s="332"/>
      <c r="T598" s="332"/>
      <c r="U598" s="332"/>
      <c r="V598" s="332"/>
      <c r="W598" s="332"/>
      <c r="X598" s="332"/>
      <c r="Y598" s="332"/>
    </row>
    <row r="599" spans="2:25" x14ac:dyDescent="0.3">
      <c r="B599" s="333">
        <v>80</v>
      </c>
      <c r="C599" s="333"/>
      <c r="D599" s="333"/>
      <c r="E599" s="333"/>
      <c r="F599" s="333"/>
      <c r="G599" s="333"/>
      <c r="H599" s="333"/>
      <c r="I599" s="333"/>
      <c r="J599" s="333"/>
      <c r="K599" s="333"/>
      <c r="L599" s="332"/>
      <c r="M599" s="333">
        <f t="shared" si="94"/>
        <v>40</v>
      </c>
      <c r="N599" s="333" t="e">
        <f t="shared" si="95"/>
        <v>#DIV/0!</v>
      </c>
      <c r="O599" s="333" t="e">
        <f t="shared" si="96"/>
        <v>#DIV/0!</v>
      </c>
      <c r="P599" s="334" t="e">
        <f t="shared" si="97"/>
        <v>#DIV/0!</v>
      </c>
      <c r="Q599" s="334" t="e">
        <f t="shared" si="98"/>
        <v>#DIV/0!</v>
      </c>
      <c r="R599" s="332"/>
      <c r="S599" s="332"/>
      <c r="T599" s="332"/>
      <c r="U599" s="332"/>
      <c r="V599" s="332"/>
      <c r="W599" s="332"/>
      <c r="X599" s="332"/>
      <c r="Y599" s="332"/>
    </row>
    <row r="600" spans="2:25" x14ac:dyDescent="0.3">
      <c r="B600" s="333">
        <v>80</v>
      </c>
      <c r="C600" s="333"/>
      <c r="D600" s="333"/>
      <c r="E600" s="333"/>
      <c r="F600" s="333"/>
      <c r="G600" s="333"/>
      <c r="H600" s="333"/>
      <c r="I600" s="333"/>
      <c r="J600" s="333"/>
      <c r="K600" s="333"/>
      <c r="L600" s="332"/>
      <c r="M600" s="333">
        <f t="shared" si="94"/>
        <v>40</v>
      </c>
      <c r="N600" s="333" t="e">
        <f t="shared" si="95"/>
        <v>#DIV/0!</v>
      </c>
      <c r="O600" s="333" t="e">
        <f t="shared" si="96"/>
        <v>#DIV/0!</v>
      </c>
      <c r="P600" s="334" t="e">
        <f t="shared" si="97"/>
        <v>#DIV/0!</v>
      </c>
      <c r="Q600" s="334" t="e">
        <f t="shared" si="98"/>
        <v>#DIV/0!</v>
      </c>
      <c r="R600" s="332"/>
      <c r="S600" s="332"/>
      <c r="T600" s="332"/>
      <c r="U600" s="332"/>
      <c r="V600" s="332"/>
      <c r="W600" s="332"/>
      <c r="X600" s="332"/>
      <c r="Y600" s="332"/>
    </row>
    <row r="601" spans="2:25" x14ac:dyDescent="0.3">
      <c r="B601" s="333">
        <v>80</v>
      </c>
      <c r="C601" s="333"/>
      <c r="D601" s="333"/>
      <c r="E601" s="333"/>
      <c r="F601" s="333"/>
      <c r="G601" s="333"/>
      <c r="H601" s="333"/>
      <c r="I601" s="333"/>
      <c r="J601" s="333"/>
      <c r="K601" s="333"/>
      <c r="L601" s="332"/>
      <c r="M601" s="333">
        <f t="shared" si="94"/>
        <v>40</v>
      </c>
      <c r="N601" s="333" t="e">
        <f t="shared" si="95"/>
        <v>#DIV/0!</v>
      </c>
      <c r="O601" s="333" t="e">
        <f t="shared" si="96"/>
        <v>#DIV/0!</v>
      </c>
      <c r="P601" s="334" t="e">
        <f t="shared" si="97"/>
        <v>#DIV/0!</v>
      </c>
      <c r="Q601" s="334" t="e">
        <f t="shared" si="98"/>
        <v>#DIV/0!</v>
      </c>
      <c r="R601" s="332"/>
      <c r="S601" s="332"/>
      <c r="T601" s="332"/>
      <c r="U601" s="332"/>
      <c r="V601" s="332"/>
      <c r="W601" s="332"/>
      <c r="X601" s="332"/>
      <c r="Y601" s="332"/>
    </row>
    <row r="605" spans="2:25" x14ac:dyDescent="0.3">
      <c r="B605" s="451" t="s">
        <v>761</v>
      </c>
      <c r="C605" s="452"/>
      <c r="D605" s="452"/>
      <c r="E605" s="452"/>
      <c r="F605" s="452"/>
      <c r="G605" s="452"/>
      <c r="H605" s="452"/>
      <c r="I605" s="452"/>
      <c r="J605" s="452"/>
      <c r="K605" s="452"/>
      <c r="L605" s="361"/>
      <c r="M605" s="451" t="s">
        <v>762</v>
      </c>
      <c r="N605" s="452"/>
      <c r="O605" s="452"/>
      <c r="P605" s="407" t="s">
        <v>763</v>
      </c>
      <c r="Q605" s="409"/>
    </row>
    <row r="606" spans="2:25" x14ac:dyDescent="0.3">
      <c r="B606" s="230" t="s">
        <v>222</v>
      </c>
      <c r="C606" s="230" t="s">
        <v>779</v>
      </c>
      <c r="D606" s="230" t="s">
        <v>223</v>
      </c>
      <c r="E606" s="230" t="s">
        <v>224</v>
      </c>
      <c r="F606" s="230" t="s">
        <v>225</v>
      </c>
      <c r="G606" s="230" t="s">
        <v>226</v>
      </c>
      <c r="H606" s="230" t="s">
        <v>227</v>
      </c>
      <c r="I606" s="230" t="s">
        <v>789</v>
      </c>
      <c r="J606" s="230" t="s">
        <v>790</v>
      </c>
      <c r="K606" s="230" t="s">
        <v>230</v>
      </c>
      <c r="L606" s="361"/>
      <c r="M606" s="230" t="s">
        <v>764</v>
      </c>
      <c r="N606" s="230" t="s">
        <v>437</v>
      </c>
      <c r="O606" s="230" t="s">
        <v>438</v>
      </c>
      <c r="P606" s="226" t="s">
        <v>437</v>
      </c>
      <c r="Q606" s="226" t="s">
        <v>438</v>
      </c>
    </row>
    <row r="607" spans="2:25" x14ac:dyDescent="0.3">
      <c r="B607" s="333">
        <v>0</v>
      </c>
      <c r="C607" s="333"/>
      <c r="D607" s="333"/>
      <c r="E607" s="333"/>
      <c r="F607" s="333"/>
      <c r="G607" s="333"/>
      <c r="H607" s="333"/>
      <c r="I607" s="333"/>
      <c r="J607" s="333"/>
      <c r="K607" s="333"/>
      <c r="L607" s="361"/>
      <c r="M607" s="333">
        <f t="shared" ref="M607:M670" si="99">B607/2</f>
        <v>0</v>
      </c>
      <c r="N607" s="333" t="e">
        <f>(SUM(C607:E607)-SUM($C$192:$E$192))*$F$71</f>
        <v>#DIV/0!</v>
      </c>
      <c r="O607" s="333" t="e">
        <f>(SUM(F607:H607)-SUM($F$192:$H$192))*$G$71</f>
        <v>#DIV/0!</v>
      </c>
      <c r="P607" s="334" t="e">
        <f>N607-M607</f>
        <v>#DIV/0!</v>
      </c>
      <c r="Q607" s="334" t="e">
        <f>O607-M607</f>
        <v>#DIV/0!</v>
      </c>
    </row>
    <row r="608" spans="2:25" x14ac:dyDescent="0.3">
      <c r="B608" s="333">
        <v>0</v>
      </c>
      <c r="C608" s="333"/>
      <c r="D608" s="333"/>
      <c r="E608" s="333"/>
      <c r="F608" s="333"/>
      <c r="G608" s="333"/>
      <c r="H608" s="333"/>
      <c r="I608" s="333"/>
      <c r="J608" s="333"/>
      <c r="K608" s="333"/>
      <c r="L608" s="361"/>
      <c r="M608" s="333">
        <f t="shared" si="99"/>
        <v>0</v>
      </c>
      <c r="N608" s="333" t="e">
        <f>(SUM(C608:E608)-SUM($C$192:$E$192))*$F$71</f>
        <v>#DIV/0!</v>
      </c>
      <c r="O608" s="333" t="e">
        <f>(SUM(F608:H608)-SUM($F$192:$H$192))*$G$71</f>
        <v>#DIV/0!</v>
      </c>
      <c r="P608" s="334" t="e">
        <f>N608-M608</f>
        <v>#DIV/0!</v>
      </c>
      <c r="Q608" s="334" t="e">
        <f>O608-M608</f>
        <v>#DIV/0!</v>
      </c>
    </row>
    <row r="609" spans="2:17" x14ac:dyDescent="0.3">
      <c r="B609" s="333">
        <v>0</v>
      </c>
      <c r="C609" s="333"/>
      <c r="D609" s="333"/>
      <c r="E609" s="333"/>
      <c r="F609" s="333"/>
      <c r="G609" s="333"/>
      <c r="H609" s="333"/>
      <c r="I609" s="333"/>
      <c r="J609" s="333"/>
      <c r="K609" s="333"/>
      <c r="L609" s="361"/>
      <c r="M609" s="333">
        <f t="shared" si="99"/>
        <v>0</v>
      </c>
      <c r="N609" s="333" t="e">
        <f t="shared" ref="N609:N672" si="100">(SUM(C609:E609)-SUM($C$192:$E$192))*$F$71</f>
        <v>#DIV/0!</v>
      </c>
      <c r="O609" s="333" t="e">
        <f t="shared" ref="O609:O672" si="101">(SUM(F609:H609)-SUM($F$192:$H$192))*$G$71</f>
        <v>#DIV/0!</v>
      </c>
      <c r="P609" s="334" t="e">
        <f t="shared" ref="P609:P672" si="102">N609-M609</f>
        <v>#DIV/0!</v>
      </c>
      <c r="Q609" s="334" t="e">
        <f t="shared" ref="Q609:Q672" si="103">O609-M609</f>
        <v>#DIV/0!</v>
      </c>
    </row>
    <row r="610" spans="2:17" x14ac:dyDescent="0.3">
      <c r="B610" s="333">
        <v>0</v>
      </c>
      <c r="C610" s="333"/>
      <c r="D610" s="333"/>
      <c r="E610" s="333"/>
      <c r="F610" s="333"/>
      <c r="G610" s="333"/>
      <c r="H610" s="333"/>
      <c r="I610" s="333"/>
      <c r="J610" s="333"/>
      <c r="K610" s="333"/>
      <c r="L610" s="361"/>
      <c r="M610" s="333">
        <f t="shared" si="99"/>
        <v>0</v>
      </c>
      <c r="N610" s="333" t="e">
        <f t="shared" si="100"/>
        <v>#DIV/0!</v>
      </c>
      <c r="O610" s="333" t="e">
        <f t="shared" si="101"/>
        <v>#DIV/0!</v>
      </c>
      <c r="P610" s="334" t="e">
        <f t="shared" si="102"/>
        <v>#DIV/0!</v>
      </c>
      <c r="Q610" s="334" t="e">
        <f t="shared" si="103"/>
        <v>#DIV/0!</v>
      </c>
    </row>
    <row r="611" spans="2:17" x14ac:dyDescent="0.3">
      <c r="B611" s="333">
        <v>0</v>
      </c>
      <c r="C611" s="333"/>
      <c r="D611" s="333"/>
      <c r="E611" s="333"/>
      <c r="F611" s="333"/>
      <c r="G611" s="333"/>
      <c r="H611" s="333"/>
      <c r="I611" s="333"/>
      <c r="J611" s="333"/>
      <c r="K611" s="333"/>
      <c r="L611" s="361"/>
      <c r="M611" s="333">
        <f t="shared" si="99"/>
        <v>0</v>
      </c>
      <c r="N611" s="333" t="e">
        <f t="shared" si="100"/>
        <v>#DIV/0!</v>
      </c>
      <c r="O611" s="333" t="e">
        <f t="shared" si="101"/>
        <v>#DIV/0!</v>
      </c>
      <c r="P611" s="334" t="e">
        <f t="shared" si="102"/>
        <v>#DIV/0!</v>
      </c>
      <c r="Q611" s="334" t="e">
        <f t="shared" si="103"/>
        <v>#DIV/0!</v>
      </c>
    </row>
    <row r="612" spans="2:17" x14ac:dyDescent="0.3">
      <c r="B612" s="333">
        <v>0</v>
      </c>
      <c r="C612" s="333"/>
      <c r="D612" s="333"/>
      <c r="E612" s="333"/>
      <c r="F612" s="333"/>
      <c r="G612" s="333"/>
      <c r="H612" s="333"/>
      <c r="I612" s="333"/>
      <c r="J612" s="333"/>
      <c r="K612" s="333"/>
      <c r="L612" s="361"/>
      <c r="M612" s="333">
        <f t="shared" si="99"/>
        <v>0</v>
      </c>
      <c r="N612" s="333" t="e">
        <f t="shared" si="100"/>
        <v>#DIV/0!</v>
      </c>
      <c r="O612" s="333" t="e">
        <f t="shared" si="101"/>
        <v>#DIV/0!</v>
      </c>
      <c r="P612" s="334" t="e">
        <f t="shared" si="102"/>
        <v>#DIV/0!</v>
      </c>
      <c r="Q612" s="334" t="e">
        <f t="shared" si="103"/>
        <v>#DIV/0!</v>
      </c>
    </row>
    <row r="613" spans="2:17" x14ac:dyDescent="0.3">
      <c r="B613" s="333">
        <v>0</v>
      </c>
      <c r="C613" s="333"/>
      <c r="D613" s="333"/>
      <c r="E613" s="333"/>
      <c r="F613" s="333"/>
      <c r="G613" s="333"/>
      <c r="H613" s="333"/>
      <c r="I613" s="333"/>
      <c r="J613" s="333"/>
      <c r="K613" s="333"/>
      <c r="L613" s="361"/>
      <c r="M613" s="333">
        <f t="shared" si="99"/>
        <v>0</v>
      </c>
      <c r="N613" s="333" t="e">
        <f t="shared" si="100"/>
        <v>#DIV/0!</v>
      </c>
      <c r="O613" s="333" t="e">
        <f t="shared" si="101"/>
        <v>#DIV/0!</v>
      </c>
      <c r="P613" s="334" t="e">
        <f t="shared" si="102"/>
        <v>#DIV/0!</v>
      </c>
      <c r="Q613" s="334" t="e">
        <f t="shared" si="103"/>
        <v>#DIV/0!</v>
      </c>
    </row>
    <row r="614" spans="2:17" x14ac:dyDescent="0.3">
      <c r="B614" s="333">
        <v>0</v>
      </c>
      <c r="C614" s="333"/>
      <c r="D614" s="333"/>
      <c r="E614" s="333"/>
      <c r="F614" s="333"/>
      <c r="G614" s="333"/>
      <c r="H614" s="333"/>
      <c r="I614" s="333"/>
      <c r="J614" s="333"/>
      <c r="K614" s="333"/>
      <c r="L614" s="361"/>
      <c r="M614" s="333">
        <f t="shared" si="99"/>
        <v>0</v>
      </c>
      <c r="N614" s="333" t="e">
        <f t="shared" si="100"/>
        <v>#DIV/0!</v>
      </c>
      <c r="O614" s="333" t="e">
        <f t="shared" si="101"/>
        <v>#DIV/0!</v>
      </c>
      <c r="P614" s="334" t="e">
        <f t="shared" si="102"/>
        <v>#DIV/0!</v>
      </c>
      <c r="Q614" s="334" t="e">
        <f t="shared" si="103"/>
        <v>#DIV/0!</v>
      </c>
    </row>
    <row r="615" spans="2:17" x14ac:dyDescent="0.3">
      <c r="B615" s="333">
        <v>0</v>
      </c>
      <c r="C615" s="333"/>
      <c r="D615" s="333"/>
      <c r="E615" s="333"/>
      <c r="F615" s="333"/>
      <c r="G615" s="333"/>
      <c r="H615" s="333"/>
      <c r="I615" s="333"/>
      <c r="J615" s="333"/>
      <c r="K615" s="333"/>
      <c r="L615" s="361"/>
      <c r="M615" s="333">
        <f t="shared" si="99"/>
        <v>0</v>
      </c>
      <c r="N615" s="333" t="e">
        <f t="shared" si="100"/>
        <v>#DIV/0!</v>
      </c>
      <c r="O615" s="333" t="e">
        <f t="shared" si="101"/>
        <v>#DIV/0!</v>
      </c>
      <c r="P615" s="334" t="e">
        <f t="shared" si="102"/>
        <v>#DIV/0!</v>
      </c>
      <c r="Q615" s="334" t="e">
        <f t="shared" si="103"/>
        <v>#DIV/0!</v>
      </c>
    </row>
    <row r="616" spans="2:17" x14ac:dyDescent="0.3">
      <c r="B616" s="333">
        <v>0</v>
      </c>
      <c r="C616" s="333"/>
      <c r="D616" s="333"/>
      <c r="E616" s="333"/>
      <c r="F616" s="333"/>
      <c r="G616" s="333"/>
      <c r="H616" s="333"/>
      <c r="I616" s="333"/>
      <c r="J616" s="333"/>
      <c r="K616" s="333"/>
      <c r="L616" s="361"/>
      <c r="M616" s="333">
        <f t="shared" si="99"/>
        <v>0</v>
      </c>
      <c r="N616" s="333" t="e">
        <f t="shared" si="100"/>
        <v>#DIV/0!</v>
      </c>
      <c r="O616" s="333" t="e">
        <f t="shared" si="101"/>
        <v>#DIV/0!</v>
      </c>
      <c r="P616" s="334" t="e">
        <f t="shared" si="102"/>
        <v>#DIV/0!</v>
      </c>
      <c r="Q616" s="334" t="e">
        <f t="shared" si="103"/>
        <v>#DIV/0!</v>
      </c>
    </row>
    <row r="617" spans="2:17" x14ac:dyDescent="0.3">
      <c r="B617" s="333">
        <v>0</v>
      </c>
      <c r="C617" s="333"/>
      <c r="D617" s="333"/>
      <c r="E617" s="333"/>
      <c r="F617" s="333"/>
      <c r="G617" s="333"/>
      <c r="H617" s="333"/>
      <c r="I617" s="333"/>
      <c r="J617" s="333"/>
      <c r="K617" s="333"/>
      <c r="L617" s="361"/>
      <c r="M617" s="333">
        <f t="shared" si="99"/>
        <v>0</v>
      </c>
      <c r="N617" s="333" t="e">
        <f t="shared" si="100"/>
        <v>#DIV/0!</v>
      </c>
      <c r="O617" s="333" t="e">
        <f t="shared" si="101"/>
        <v>#DIV/0!</v>
      </c>
      <c r="P617" s="334" t="e">
        <f t="shared" si="102"/>
        <v>#DIV/0!</v>
      </c>
      <c r="Q617" s="334" t="e">
        <f t="shared" si="103"/>
        <v>#DIV/0!</v>
      </c>
    </row>
    <row r="618" spans="2:17" x14ac:dyDescent="0.3">
      <c r="B618" s="333">
        <v>0</v>
      </c>
      <c r="C618" s="333"/>
      <c r="D618" s="333"/>
      <c r="E618" s="333"/>
      <c r="F618" s="333"/>
      <c r="G618" s="333"/>
      <c r="H618" s="333"/>
      <c r="I618" s="333"/>
      <c r="J618" s="333"/>
      <c r="K618" s="333"/>
      <c r="L618" s="361"/>
      <c r="M618" s="333">
        <f t="shared" si="99"/>
        <v>0</v>
      </c>
      <c r="N618" s="333" t="e">
        <f t="shared" si="100"/>
        <v>#DIV/0!</v>
      </c>
      <c r="O618" s="333" t="e">
        <f t="shared" si="101"/>
        <v>#DIV/0!</v>
      </c>
      <c r="P618" s="334" t="e">
        <f t="shared" si="102"/>
        <v>#DIV/0!</v>
      </c>
      <c r="Q618" s="334" t="e">
        <f t="shared" si="103"/>
        <v>#DIV/0!</v>
      </c>
    </row>
    <row r="619" spans="2:17" x14ac:dyDescent="0.3">
      <c r="B619" s="333">
        <v>0</v>
      </c>
      <c r="C619" s="333"/>
      <c r="D619" s="333"/>
      <c r="E619" s="333"/>
      <c r="F619" s="333"/>
      <c r="G619" s="333"/>
      <c r="H619" s="333"/>
      <c r="I619" s="333"/>
      <c r="J619" s="333"/>
      <c r="K619" s="333"/>
      <c r="L619" s="361"/>
      <c r="M619" s="333">
        <f t="shared" si="99"/>
        <v>0</v>
      </c>
      <c r="N619" s="333" t="e">
        <f t="shared" si="100"/>
        <v>#DIV/0!</v>
      </c>
      <c r="O619" s="333" t="e">
        <f t="shared" si="101"/>
        <v>#DIV/0!</v>
      </c>
      <c r="P619" s="334" t="e">
        <f t="shared" si="102"/>
        <v>#DIV/0!</v>
      </c>
      <c r="Q619" s="334" t="e">
        <f t="shared" si="103"/>
        <v>#DIV/0!</v>
      </c>
    </row>
    <row r="620" spans="2:17" x14ac:dyDescent="0.3">
      <c r="B620" s="333">
        <v>0</v>
      </c>
      <c r="C620" s="333"/>
      <c r="D620" s="333"/>
      <c r="E620" s="333"/>
      <c r="F620" s="333"/>
      <c r="G620" s="333"/>
      <c r="H620" s="333"/>
      <c r="I620" s="333"/>
      <c r="J620" s="333"/>
      <c r="K620" s="333"/>
      <c r="L620" s="361"/>
      <c r="M620" s="333">
        <f t="shared" si="99"/>
        <v>0</v>
      </c>
      <c r="N620" s="333" t="e">
        <f t="shared" si="100"/>
        <v>#DIV/0!</v>
      </c>
      <c r="O620" s="333" t="e">
        <f t="shared" si="101"/>
        <v>#DIV/0!</v>
      </c>
      <c r="P620" s="334" t="e">
        <f t="shared" si="102"/>
        <v>#DIV/0!</v>
      </c>
      <c r="Q620" s="334" t="e">
        <f t="shared" si="103"/>
        <v>#DIV/0!</v>
      </c>
    </row>
    <row r="621" spans="2:17" x14ac:dyDescent="0.3">
      <c r="B621" s="333">
        <v>0</v>
      </c>
      <c r="C621" s="333"/>
      <c r="D621" s="333"/>
      <c r="E621" s="333"/>
      <c r="F621" s="333"/>
      <c r="G621" s="333"/>
      <c r="H621" s="333"/>
      <c r="I621" s="333"/>
      <c r="J621" s="333"/>
      <c r="K621" s="333"/>
      <c r="L621" s="361"/>
      <c r="M621" s="333">
        <f t="shared" si="99"/>
        <v>0</v>
      </c>
      <c r="N621" s="333" t="e">
        <f t="shared" si="100"/>
        <v>#DIV/0!</v>
      </c>
      <c r="O621" s="333" t="e">
        <f t="shared" si="101"/>
        <v>#DIV/0!</v>
      </c>
      <c r="P621" s="334" t="e">
        <f t="shared" si="102"/>
        <v>#DIV/0!</v>
      </c>
      <c r="Q621" s="334" t="e">
        <f t="shared" si="103"/>
        <v>#DIV/0!</v>
      </c>
    </row>
    <row r="622" spans="2:17" x14ac:dyDescent="0.3">
      <c r="B622" s="333">
        <v>0</v>
      </c>
      <c r="C622" s="333"/>
      <c r="D622" s="333"/>
      <c r="E622" s="333"/>
      <c r="F622" s="333"/>
      <c r="G622" s="333"/>
      <c r="H622" s="333"/>
      <c r="I622" s="333"/>
      <c r="J622" s="333"/>
      <c r="K622" s="333"/>
      <c r="L622" s="361"/>
      <c r="M622" s="333">
        <f t="shared" si="99"/>
        <v>0</v>
      </c>
      <c r="N622" s="333" t="e">
        <f t="shared" si="100"/>
        <v>#DIV/0!</v>
      </c>
      <c r="O622" s="333" t="e">
        <f t="shared" si="101"/>
        <v>#DIV/0!</v>
      </c>
      <c r="P622" s="334" t="e">
        <f t="shared" si="102"/>
        <v>#DIV/0!</v>
      </c>
      <c r="Q622" s="334" t="e">
        <f t="shared" si="103"/>
        <v>#DIV/0!</v>
      </c>
    </row>
    <row r="623" spans="2:17" x14ac:dyDescent="0.3">
      <c r="B623" s="333">
        <v>0</v>
      </c>
      <c r="C623" s="333"/>
      <c r="D623" s="333"/>
      <c r="E623" s="333"/>
      <c r="F623" s="333"/>
      <c r="G623" s="333"/>
      <c r="H623" s="333"/>
      <c r="I623" s="333"/>
      <c r="J623" s="333"/>
      <c r="K623" s="333"/>
      <c r="L623" s="361"/>
      <c r="M623" s="333">
        <f t="shared" si="99"/>
        <v>0</v>
      </c>
      <c r="N623" s="333" t="e">
        <f t="shared" si="100"/>
        <v>#DIV/0!</v>
      </c>
      <c r="O623" s="333" t="e">
        <f t="shared" si="101"/>
        <v>#DIV/0!</v>
      </c>
      <c r="P623" s="334" t="e">
        <f t="shared" si="102"/>
        <v>#DIV/0!</v>
      </c>
      <c r="Q623" s="334" t="e">
        <f t="shared" si="103"/>
        <v>#DIV/0!</v>
      </c>
    </row>
    <row r="624" spans="2:17" x14ac:dyDescent="0.3">
      <c r="B624" s="333">
        <v>0</v>
      </c>
      <c r="C624" s="333"/>
      <c r="D624" s="333"/>
      <c r="E624" s="333"/>
      <c r="F624" s="333"/>
      <c r="G624" s="333"/>
      <c r="H624" s="333"/>
      <c r="I624" s="333"/>
      <c r="J624" s="333"/>
      <c r="K624" s="333"/>
      <c r="L624" s="361"/>
      <c r="M624" s="333">
        <f t="shared" si="99"/>
        <v>0</v>
      </c>
      <c r="N624" s="333" t="e">
        <f t="shared" si="100"/>
        <v>#DIV/0!</v>
      </c>
      <c r="O624" s="333" t="e">
        <f t="shared" si="101"/>
        <v>#DIV/0!</v>
      </c>
      <c r="P624" s="334" t="e">
        <f t="shared" si="102"/>
        <v>#DIV/0!</v>
      </c>
      <c r="Q624" s="334" t="e">
        <f t="shared" si="103"/>
        <v>#DIV/0!</v>
      </c>
    </row>
    <row r="625" spans="2:17" x14ac:dyDescent="0.3">
      <c r="B625" s="333">
        <v>0</v>
      </c>
      <c r="C625" s="333"/>
      <c r="D625" s="333"/>
      <c r="E625" s="333"/>
      <c r="F625" s="333"/>
      <c r="G625" s="333"/>
      <c r="H625" s="333"/>
      <c r="I625" s="333"/>
      <c r="J625" s="333"/>
      <c r="K625" s="333"/>
      <c r="L625" s="361"/>
      <c r="M625" s="333">
        <f t="shared" si="99"/>
        <v>0</v>
      </c>
      <c r="N625" s="333" t="e">
        <f t="shared" si="100"/>
        <v>#DIV/0!</v>
      </c>
      <c r="O625" s="333" t="e">
        <f t="shared" si="101"/>
        <v>#DIV/0!</v>
      </c>
      <c r="P625" s="334" t="e">
        <f t="shared" si="102"/>
        <v>#DIV/0!</v>
      </c>
      <c r="Q625" s="334" t="e">
        <f t="shared" si="103"/>
        <v>#DIV/0!</v>
      </c>
    </row>
    <row r="626" spans="2:17" x14ac:dyDescent="0.3">
      <c r="B626" s="333">
        <v>0</v>
      </c>
      <c r="C626" s="333"/>
      <c r="D626" s="333"/>
      <c r="E626" s="333"/>
      <c r="F626" s="333"/>
      <c r="G626" s="333"/>
      <c r="H626" s="333"/>
      <c r="I626" s="333"/>
      <c r="J626" s="333"/>
      <c r="K626" s="333"/>
      <c r="L626" s="361"/>
      <c r="M626" s="333">
        <f t="shared" si="99"/>
        <v>0</v>
      </c>
      <c r="N626" s="333" t="e">
        <f t="shared" si="100"/>
        <v>#DIV/0!</v>
      </c>
      <c r="O626" s="333" t="e">
        <f t="shared" si="101"/>
        <v>#DIV/0!</v>
      </c>
      <c r="P626" s="334" t="e">
        <f t="shared" si="102"/>
        <v>#DIV/0!</v>
      </c>
      <c r="Q626" s="334" t="e">
        <f t="shared" si="103"/>
        <v>#DIV/0!</v>
      </c>
    </row>
    <row r="627" spans="2:17" x14ac:dyDescent="0.3">
      <c r="B627" s="333">
        <v>10</v>
      </c>
      <c r="C627" s="333"/>
      <c r="D627" s="333"/>
      <c r="E627" s="333"/>
      <c r="F627" s="333"/>
      <c r="G627" s="333"/>
      <c r="H627" s="333"/>
      <c r="I627" s="333"/>
      <c r="J627" s="333"/>
      <c r="K627" s="333"/>
      <c r="L627" s="361"/>
      <c r="M627" s="333">
        <f t="shared" si="99"/>
        <v>5</v>
      </c>
      <c r="N627" s="333" t="e">
        <f t="shared" si="100"/>
        <v>#DIV/0!</v>
      </c>
      <c r="O627" s="333" t="e">
        <f t="shared" si="101"/>
        <v>#DIV/0!</v>
      </c>
      <c r="P627" s="334" t="e">
        <f t="shared" si="102"/>
        <v>#DIV/0!</v>
      </c>
      <c r="Q627" s="334" t="e">
        <f t="shared" si="103"/>
        <v>#DIV/0!</v>
      </c>
    </row>
    <row r="628" spans="2:17" x14ac:dyDescent="0.3">
      <c r="B628" s="333">
        <v>10</v>
      </c>
      <c r="C628" s="333"/>
      <c r="D628" s="333"/>
      <c r="E628" s="333"/>
      <c r="F628" s="333"/>
      <c r="G628" s="333"/>
      <c r="H628" s="333"/>
      <c r="I628" s="333"/>
      <c r="J628" s="333"/>
      <c r="K628" s="333"/>
      <c r="L628" s="361"/>
      <c r="M628" s="333">
        <f t="shared" si="99"/>
        <v>5</v>
      </c>
      <c r="N628" s="333" t="e">
        <f t="shared" si="100"/>
        <v>#DIV/0!</v>
      </c>
      <c r="O628" s="333" t="e">
        <f t="shared" si="101"/>
        <v>#DIV/0!</v>
      </c>
      <c r="P628" s="334" t="e">
        <f t="shared" si="102"/>
        <v>#DIV/0!</v>
      </c>
      <c r="Q628" s="334" t="e">
        <f t="shared" si="103"/>
        <v>#DIV/0!</v>
      </c>
    </row>
    <row r="629" spans="2:17" x14ac:dyDescent="0.3">
      <c r="B629" s="333">
        <v>10</v>
      </c>
      <c r="C629" s="333"/>
      <c r="D629" s="333"/>
      <c r="E629" s="333"/>
      <c r="F629" s="333"/>
      <c r="G629" s="333"/>
      <c r="H629" s="333"/>
      <c r="I629" s="333"/>
      <c r="J629" s="333"/>
      <c r="K629" s="333"/>
      <c r="L629" s="361"/>
      <c r="M629" s="333">
        <f t="shared" si="99"/>
        <v>5</v>
      </c>
      <c r="N629" s="333" t="e">
        <f t="shared" si="100"/>
        <v>#DIV/0!</v>
      </c>
      <c r="O629" s="333" t="e">
        <f t="shared" si="101"/>
        <v>#DIV/0!</v>
      </c>
      <c r="P629" s="334" t="e">
        <f t="shared" si="102"/>
        <v>#DIV/0!</v>
      </c>
      <c r="Q629" s="334" t="e">
        <f t="shared" si="103"/>
        <v>#DIV/0!</v>
      </c>
    </row>
    <row r="630" spans="2:17" x14ac:dyDescent="0.3">
      <c r="B630" s="333">
        <v>10</v>
      </c>
      <c r="C630" s="333"/>
      <c r="D630" s="333"/>
      <c r="E630" s="333"/>
      <c r="F630" s="333"/>
      <c r="G630" s="333"/>
      <c r="H630" s="333"/>
      <c r="I630" s="333"/>
      <c r="J630" s="333"/>
      <c r="K630" s="333"/>
      <c r="L630" s="361"/>
      <c r="M630" s="333">
        <f t="shared" si="99"/>
        <v>5</v>
      </c>
      <c r="N630" s="333" t="e">
        <f t="shared" si="100"/>
        <v>#DIV/0!</v>
      </c>
      <c r="O630" s="333" t="e">
        <f t="shared" si="101"/>
        <v>#DIV/0!</v>
      </c>
      <c r="P630" s="334" t="e">
        <f t="shared" si="102"/>
        <v>#DIV/0!</v>
      </c>
      <c r="Q630" s="334" t="e">
        <f t="shared" si="103"/>
        <v>#DIV/0!</v>
      </c>
    </row>
    <row r="631" spans="2:17" x14ac:dyDescent="0.3">
      <c r="B631" s="333">
        <v>10</v>
      </c>
      <c r="C631" s="333"/>
      <c r="D631" s="333"/>
      <c r="E631" s="333"/>
      <c r="F631" s="333"/>
      <c r="G631" s="333"/>
      <c r="H631" s="333"/>
      <c r="I631" s="333"/>
      <c r="J631" s="333"/>
      <c r="K631" s="333"/>
      <c r="L631" s="361"/>
      <c r="M631" s="333">
        <f t="shared" si="99"/>
        <v>5</v>
      </c>
      <c r="N631" s="333" t="e">
        <f t="shared" si="100"/>
        <v>#DIV/0!</v>
      </c>
      <c r="O631" s="333" t="e">
        <f t="shared" si="101"/>
        <v>#DIV/0!</v>
      </c>
      <c r="P631" s="334" t="e">
        <f t="shared" si="102"/>
        <v>#DIV/0!</v>
      </c>
      <c r="Q631" s="334" t="e">
        <f t="shared" si="103"/>
        <v>#DIV/0!</v>
      </c>
    </row>
    <row r="632" spans="2:17" x14ac:dyDescent="0.3">
      <c r="B632" s="333">
        <v>10</v>
      </c>
      <c r="C632" s="333"/>
      <c r="D632" s="333"/>
      <c r="E632" s="333"/>
      <c r="F632" s="333"/>
      <c r="G632" s="333"/>
      <c r="H632" s="333"/>
      <c r="I632" s="333"/>
      <c r="J632" s="333"/>
      <c r="K632" s="333"/>
      <c r="L632" s="361"/>
      <c r="M632" s="333">
        <f t="shared" si="99"/>
        <v>5</v>
      </c>
      <c r="N632" s="333" t="e">
        <f t="shared" si="100"/>
        <v>#DIV/0!</v>
      </c>
      <c r="O632" s="333" t="e">
        <f t="shared" si="101"/>
        <v>#DIV/0!</v>
      </c>
      <c r="P632" s="334" t="e">
        <f t="shared" si="102"/>
        <v>#DIV/0!</v>
      </c>
      <c r="Q632" s="334" t="e">
        <f t="shared" si="103"/>
        <v>#DIV/0!</v>
      </c>
    </row>
    <row r="633" spans="2:17" x14ac:dyDescent="0.3">
      <c r="B633" s="333">
        <v>10</v>
      </c>
      <c r="C633" s="333"/>
      <c r="D633" s="333"/>
      <c r="E633" s="333"/>
      <c r="F633" s="333"/>
      <c r="G633" s="333"/>
      <c r="H633" s="333"/>
      <c r="I633" s="333"/>
      <c r="J633" s="333"/>
      <c r="K633" s="333"/>
      <c r="L633" s="361"/>
      <c r="M633" s="333">
        <f t="shared" si="99"/>
        <v>5</v>
      </c>
      <c r="N633" s="333" t="e">
        <f t="shared" si="100"/>
        <v>#DIV/0!</v>
      </c>
      <c r="O633" s="333" t="e">
        <f t="shared" si="101"/>
        <v>#DIV/0!</v>
      </c>
      <c r="P633" s="334" t="e">
        <f t="shared" si="102"/>
        <v>#DIV/0!</v>
      </c>
      <c r="Q633" s="334" t="e">
        <f t="shared" si="103"/>
        <v>#DIV/0!</v>
      </c>
    </row>
    <row r="634" spans="2:17" x14ac:dyDescent="0.3">
      <c r="B634" s="333">
        <v>10</v>
      </c>
      <c r="C634" s="333"/>
      <c r="D634" s="333"/>
      <c r="E634" s="333"/>
      <c r="F634" s="333"/>
      <c r="G634" s="333"/>
      <c r="H634" s="333"/>
      <c r="I634" s="333"/>
      <c r="J634" s="333"/>
      <c r="K634" s="333"/>
      <c r="L634" s="361"/>
      <c r="M634" s="333">
        <f t="shared" si="99"/>
        <v>5</v>
      </c>
      <c r="N634" s="333" t="e">
        <f t="shared" si="100"/>
        <v>#DIV/0!</v>
      </c>
      <c r="O634" s="333" t="e">
        <f t="shared" si="101"/>
        <v>#DIV/0!</v>
      </c>
      <c r="P634" s="334" t="e">
        <f t="shared" si="102"/>
        <v>#DIV/0!</v>
      </c>
      <c r="Q634" s="334" t="e">
        <f t="shared" si="103"/>
        <v>#DIV/0!</v>
      </c>
    </row>
    <row r="635" spans="2:17" x14ac:dyDescent="0.3">
      <c r="B635" s="333">
        <v>10</v>
      </c>
      <c r="C635" s="333"/>
      <c r="D635" s="333"/>
      <c r="E635" s="333"/>
      <c r="F635" s="333"/>
      <c r="G635" s="333"/>
      <c r="H635" s="333"/>
      <c r="I635" s="333"/>
      <c r="J635" s="333"/>
      <c r="K635" s="333"/>
      <c r="L635" s="361"/>
      <c r="M635" s="333">
        <f t="shared" si="99"/>
        <v>5</v>
      </c>
      <c r="N635" s="333" t="e">
        <f t="shared" si="100"/>
        <v>#DIV/0!</v>
      </c>
      <c r="O635" s="333" t="e">
        <f t="shared" si="101"/>
        <v>#DIV/0!</v>
      </c>
      <c r="P635" s="334" t="e">
        <f t="shared" si="102"/>
        <v>#DIV/0!</v>
      </c>
      <c r="Q635" s="334" t="e">
        <f t="shared" si="103"/>
        <v>#DIV/0!</v>
      </c>
    </row>
    <row r="636" spans="2:17" x14ac:dyDescent="0.3">
      <c r="B636" s="333">
        <v>10</v>
      </c>
      <c r="C636" s="333"/>
      <c r="D636" s="333"/>
      <c r="E636" s="333"/>
      <c r="F636" s="333"/>
      <c r="G636" s="333"/>
      <c r="H636" s="333"/>
      <c r="I636" s="333"/>
      <c r="J636" s="333"/>
      <c r="K636" s="333"/>
      <c r="L636" s="361"/>
      <c r="M636" s="333">
        <f t="shared" si="99"/>
        <v>5</v>
      </c>
      <c r="N636" s="333" t="e">
        <f t="shared" si="100"/>
        <v>#DIV/0!</v>
      </c>
      <c r="O636" s="333" t="e">
        <f t="shared" si="101"/>
        <v>#DIV/0!</v>
      </c>
      <c r="P636" s="334" t="e">
        <f t="shared" si="102"/>
        <v>#DIV/0!</v>
      </c>
      <c r="Q636" s="334" t="e">
        <f t="shared" si="103"/>
        <v>#DIV/0!</v>
      </c>
    </row>
    <row r="637" spans="2:17" x14ac:dyDescent="0.3">
      <c r="B637" s="333">
        <v>10</v>
      </c>
      <c r="C637" s="333"/>
      <c r="D637" s="333"/>
      <c r="E637" s="333"/>
      <c r="F637" s="333"/>
      <c r="G637" s="333"/>
      <c r="H637" s="333"/>
      <c r="I637" s="333"/>
      <c r="J637" s="333"/>
      <c r="K637" s="333"/>
      <c r="L637" s="361"/>
      <c r="M637" s="333">
        <f t="shared" si="99"/>
        <v>5</v>
      </c>
      <c r="N637" s="333" t="e">
        <f t="shared" si="100"/>
        <v>#DIV/0!</v>
      </c>
      <c r="O637" s="333" t="e">
        <f t="shared" si="101"/>
        <v>#DIV/0!</v>
      </c>
      <c r="P637" s="334" t="e">
        <f t="shared" si="102"/>
        <v>#DIV/0!</v>
      </c>
      <c r="Q637" s="334" t="e">
        <f t="shared" si="103"/>
        <v>#DIV/0!</v>
      </c>
    </row>
    <row r="638" spans="2:17" x14ac:dyDescent="0.3">
      <c r="B638" s="333">
        <v>10</v>
      </c>
      <c r="C638" s="333"/>
      <c r="D638" s="333"/>
      <c r="E638" s="333"/>
      <c r="F638" s="333"/>
      <c r="G638" s="333"/>
      <c r="H638" s="333"/>
      <c r="I638" s="333"/>
      <c r="J638" s="333"/>
      <c r="K638" s="333"/>
      <c r="L638" s="361"/>
      <c r="M638" s="333">
        <f t="shared" si="99"/>
        <v>5</v>
      </c>
      <c r="N638" s="333" t="e">
        <f t="shared" si="100"/>
        <v>#DIV/0!</v>
      </c>
      <c r="O638" s="333" t="e">
        <f t="shared" si="101"/>
        <v>#DIV/0!</v>
      </c>
      <c r="P638" s="334" t="e">
        <f t="shared" si="102"/>
        <v>#DIV/0!</v>
      </c>
      <c r="Q638" s="334" t="e">
        <f t="shared" si="103"/>
        <v>#DIV/0!</v>
      </c>
    </row>
    <row r="639" spans="2:17" x14ac:dyDescent="0.3">
      <c r="B639" s="333">
        <v>10</v>
      </c>
      <c r="C639" s="333"/>
      <c r="D639" s="333"/>
      <c r="E639" s="333"/>
      <c r="F639" s="333"/>
      <c r="G639" s="333"/>
      <c r="H639" s="333"/>
      <c r="I639" s="333"/>
      <c r="J639" s="333"/>
      <c r="K639" s="333"/>
      <c r="L639" s="361"/>
      <c r="M639" s="333">
        <f t="shared" si="99"/>
        <v>5</v>
      </c>
      <c r="N639" s="333" t="e">
        <f t="shared" si="100"/>
        <v>#DIV/0!</v>
      </c>
      <c r="O639" s="333" t="e">
        <f t="shared" si="101"/>
        <v>#DIV/0!</v>
      </c>
      <c r="P639" s="334" t="e">
        <f t="shared" si="102"/>
        <v>#DIV/0!</v>
      </c>
      <c r="Q639" s="334" t="e">
        <f t="shared" si="103"/>
        <v>#DIV/0!</v>
      </c>
    </row>
    <row r="640" spans="2:17" x14ac:dyDescent="0.3">
      <c r="B640" s="333">
        <v>10</v>
      </c>
      <c r="C640" s="333"/>
      <c r="D640" s="333"/>
      <c r="E640" s="333"/>
      <c r="F640" s="333"/>
      <c r="G640" s="333"/>
      <c r="H640" s="333"/>
      <c r="I640" s="333"/>
      <c r="J640" s="333"/>
      <c r="K640" s="333"/>
      <c r="L640" s="361"/>
      <c r="M640" s="333">
        <f t="shared" si="99"/>
        <v>5</v>
      </c>
      <c r="N640" s="333" t="e">
        <f t="shared" si="100"/>
        <v>#DIV/0!</v>
      </c>
      <c r="O640" s="333" t="e">
        <f t="shared" si="101"/>
        <v>#DIV/0!</v>
      </c>
      <c r="P640" s="334" t="e">
        <f t="shared" si="102"/>
        <v>#DIV/0!</v>
      </c>
      <c r="Q640" s="334" t="e">
        <f t="shared" si="103"/>
        <v>#DIV/0!</v>
      </c>
    </row>
    <row r="641" spans="2:17" x14ac:dyDescent="0.3">
      <c r="B641" s="333">
        <v>10</v>
      </c>
      <c r="C641" s="333"/>
      <c r="D641" s="333"/>
      <c r="E641" s="333"/>
      <c r="F641" s="333"/>
      <c r="G641" s="333"/>
      <c r="H641" s="333"/>
      <c r="I641" s="333"/>
      <c r="J641" s="333"/>
      <c r="K641" s="333"/>
      <c r="L641" s="361"/>
      <c r="M641" s="333">
        <f t="shared" si="99"/>
        <v>5</v>
      </c>
      <c r="N641" s="333" t="e">
        <f t="shared" si="100"/>
        <v>#DIV/0!</v>
      </c>
      <c r="O641" s="333" t="e">
        <f t="shared" si="101"/>
        <v>#DIV/0!</v>
      </c>
      <c r="P641" s="334" t="e">
        <f t="shared" si="102"/>
        <v>#DIV/0!</v>
      </c>
      <c r="Q641" s="334" t="e">
        <f t="shared" si="103"/>
        <v>#DIV/0!</v>
      </c>
    </row>
    <row r="642" spans="2:17" x14ac:dyDescent="0.3">
      <c r="B642" s="333">
        <v>10</v>
      </c>
      <c r="C642" s="333"/>
      <c r="D642" s="333"/>
      <c r="E642" s="333"/>
      <c r="F642" s="333"/>
      <c r="G642" s="333"/>
      <c r="H642" s="333"/>
      <c r="I642" s="333"/>
      <c r="J642" s="333"/>
      <c r="K642" s="333"/>
      <c r="L642" s="361"/>
      <c r="M642" s="333">
        <f t="shared" si="99"/>
        <v>5</v>
      </c>
      <c r="N642" s="333" t="e">
        <f t="shared" si="100"/>
        <v>#DIV/0!</v>
      </c>
      <c r="O642" s="333" t="e">
        <f t="shared" si="101"/>
        <v>#DIV/0!</v>
      </c>
      <c r="P642" s="334" t="e">
        <f t="shared" si="102"/>
        <v>#DIV/0!</v>
      </c>
      <c r="Q642" s="334" t="e">
        <f t="shared" si="103"/>
        <v>#DIV/0!</v>
      </c>
    </row>
    <row r="643" spans="2:17" x14ac:dyDescent="0.3">
      <c r="B643" s="333">
        <v>10</v>
      </c>
      <c r="C643" s="333"/>
      <c r="D643" s="333"/>
      <c r="E643" s="333"/>
      <c r="F643" s="333"/>
      <c r="G643" s="333"/>
      <c r="H643" s="333"/>
      <c r="I643" s="333"/>
      <c r="J643" s="333"/>
      <c r="K643" s="333"/>
      <c r="L643" s="361"/>
      <c r="M643" s="333">
        <f t="shared" si="99"/>
        <v>5</v>
      </c>
      <c r="N643" s="333" t="e">
        <f t="shared" si="100"/>
        <v>#DIV/0!</v>
      </c>
      <c r="O643" s="333" t="e">
        <f t="shared" si="101"/>
        <v>#DIV/0!</v>
      </c>
      <c r="P643" s="334" t="e">
        <f t="shared" si="102"/>
        <v>#DIV/0!</v>
      </c>
      <c r="Q643" s="334" t="e">
        <f t="shared" si="103"/>
        <v>#DIV/0!</v>
      </c>
    </row>
    <row r="644" spans="2:17" x14ac:dyDescent="0.3">
      <c r="B644" s="333">
        <v>10</v>
      </c>
      <c r="C644" s="333"/>
      <c r="D644" s="333"/>
      <c r="E644" s="333"/>
      <c r="F644" s="333"/>
      <c r="G644" s="333"/>
      <c r="H644" s="333"/>
      <c r="I644" s="333"/>
      <c r="J644" s="333"/>
      <c r="K644" s="333"/>
      <c r="L644" s="361"/>
      <c r="M644" s="333">
        <f t="shared" si="99"/>
        <v>5</v>
      </c>
      <c r="N644" s="333" t="e">
        <f t="shared" si="100"/>
        <v>#DIV/0!</v>
      </c>
      <c r="O644" s="333" t="e">
        <f t="shared" si="101"/>
        <v>#DIV/0!</v>
      </c>
      <c r="P644" s="334" t="e">
        <f t="shared" si="102"/>
        <v>#DIV/0!</v>
      </c>
      <c r="Q644" s="334" t="e">
        <f t="shared" si="103"/>
        <v>#DIV/0!</v>
      </c>
    </row>
    <row r="645" spans="2:17" x14ac:dyDescent="0.3">
      <c r="B645" s="333">
        <v>10</v>
      </c>
      <c r="C645" s="333"/>
      <c r="D645" s="333"/>
      <c r="E645" s="333"/>
      <c r="F645" s="333"/>
      <c r="G645" s="333"/>
      <c r="H645" s="333"/>
      <c r="I645" s="333"/>
      <c r="J645" s="333"/>
      <c r="K645" s="333"/>
      <c r="L645" s="361"/>
      <c r="M645" s="333">
        <f t="shared" si="99"/>
        <v>5</v>
      </c>
      <c r="N645" s="333" t="e">
        <f t="shared" si="100"/>
        <v>#DIV/0!</v>
      </c>
      <c r="O645" s="333" t="e">
        <f t="shared" si="101"/>
        <v>#DIV/0!</v>
      </c>
      <c r="P645" s="334" t="e">
        <f t="shared" si="102"/>
        <v>#DIV/0!</v>
      </c>
      <c r="Q645" s="334" t="e">
        <f t="shared" si="103"/>
        <v>#DIV/0!</v>
      </c>
    </row>
    <row r="646" spans="2:17" x14ac:dyDescent="0.3">
      <c r="B646" s="333">
        <v>10</v>
      </c>
      <c r="C646" s="333"/>
      <c r="D646" s="333"/>
      <c r="E646" s="333"/>
      <c r="F646" s="333"/>
      <c r="G646" s="333"/>
      <c r="H646" s="333"/>
      <c r="I646" s="333"/>
      <c r="J646" s="333"/>
      <c r="K646" s="333"/>
      <c r="L646" s="361"/>
      <c r="M646" s="333">
        <f t="shared" si="99"/>
        <v>5</v>
      </c>
      <c r="N646" s="333" t="e">
        <f t="shared" si="100"/>
        <v>#DIV/0!</v>
      </c>
      <c r="O646" s="333" t="e">
        <f t="shared" si="101"/>
        <v>#DIV/0!</v>
      </c>
      <c r="P646" s="334" t="e">
        <f t="shared" si="102"/>
        <v>#DIV/0!</v>
      </c>
      <c r="Q646" s="334" t="e">
        <f t="shared" si="103"/>
        <v>#DIV/0!</v>
      </c>
    </row>
    <row r="647" spans="2:17" x14ac:dyDescent="0.3">
      <c r="B647" s="333">
        <v>20</v>
      </c>
      <c r="C647" s="333"/>
      <c r="D647" s="333"/>
      <c r="E647" s="333"/>
      <c r="F647" s="333"/>
      <c r="G647" s="333"/>
      <c r="H647" s="333"/>
      <c r="I647" s="333"/>
      <c r="J647" s="333"/>
      <c r="K647" s="333"/>
      <c r="L647" s="361"/>
      <c r="M647" s="333">
        <f t="shared" si="99"/>
        <v>10</v>
      </c>
      <c r="N647" s="333" t="e">
        <f t="shared" si="100"/>
        <v>#DIV/0!</v>
      </c>
      <c r="O647" s="333" t="e">
        <f t="shared" si="101"/>
        <v>#DIV/0!</v>
      </c>
      <c r="P647" s="334" t="e">
        <f t="shared" si="102"/>
        <v>#DIV/0!</v>
      </c>
      <c r="Q647" s="334" t="e">
        <f t="shared" si="103"/>
        <v>#DIV/0!</v>
      </c>
    </row>
    <row r="648" spans="2:17" x14ac:dyDescent="0.3">
      <c r="B648" s="333">
        <v>20</v>
      </c>
      <c r="C648" s="333"/>
      <c r="D648" s="333"/>
      <c r="E648" s="333"/>
      <c r="F648" s="333"/>
      <c r="G648" s="333"/>
      <c r="H648" s="333"/>
      <c r="I648" s="333"/>
      <c r="J648" s="333"/>
      <c r="K648" s="333"/>
      <c r="L648" s="361"/>
      <c r="M648" s="333">
        <f t="shared" si="99"/>
        <v>10</v>
      </c>
      <c r="N648" s="333" t="e">
        <f t="shared" si="100"/>
        <v>#DIV/0!</v>
      </c>
      <c r="O648" s="333" t="e">
        <f t="shared" si="101"/>
        <v>#DIV/0!</v>
      </c>
      <c r="P648" s="334" t="e">
        <f t="shared" si="102"/>
        <v>#DIV/0!</v>
      </c>
      <c r="Q648" s="334" t="e">
        <f t="shared" si="103"/>
        <v>#DIV/0!</v>
      </c>
    </row>
    <row r="649" spans="2:17" x14ac:dyDescent="0.3">
      <c r="B649" s="333">
        <v>20</v>
      </c>
      <c r="C649" s="333"/>
      <c r="D649" s="333"/>
      <c r="E649" s="333"/>
      <c r="F649" s="333"/>
      <c r="G649" s="333"/>
      <c r="H649" s="333"/>
      <c r="I649" s="333"/>
      <c r="J649" s="333"/>
      <c r="K649" s="333"/>
      <c r="L649" s="361"/>
      <c r="M649" s="333">
        <f t="shared" si="99"/>
        <v>10</v>
      </c>
      <c r="N649" s="333" t="e">
        <f t="shared" si="100"/>
        <v>#DIV/0!</v>
      </c>
      <c r="O649" s="333" t="e">
        <f t="shared" si="101"/>
        <v>#DIV/0!</v>
      </c>
      <c r="P649" s="334" t="e">
        <f t="shared" si="102"/>
        <v>#DIV/0!</v>
      </c>
      <c r="Q649" s="334" t="e">
        <f t="shared" si="103"/>
        <v>#DIV/0!</v>
      </c>
    </row>
    <row r="650" spans="2:17" x14ac:dyDescent="0.3">
      <c r="B650" s="333">
        <v>20</v>
      </c>
      <c r="C650" s="333"/>
      <c r="D650" s="333"/>
      <c r="E650" s="333"/>
      <c r="F650" s="333"/>
      <c r="G650" s="333"/>
      <c r="H650" s="333"/>
      <c r="I650" s="333"/>
      <c r="J650" s="333"/>
      <c r="K650" s="333"/>
      <c r="L650" s="361"/>
      <c r="M650" s="333">
        <f t="shared" si="99"/>
        <v>10</v>
      </c>
      <c r="N650" s="333" t="e">
        <f t="shared" si="100"/>
        <v>#DIV/0!</v>
      </c>
      <c r="O650" s="333" t="e">
        <f t="shared" si="101"/>
        <v>#DIV/0!</v>
      </c>
      <c r="P650" s="334" t="e">
        <f t="shared" si="102"/>
        <v>#DIV/0!</v>
      </c>
      <c r="Q650" s="334" t="e">
        <f t="shared" si="103"/>
        <v>#DIV/0!</v>
      </c>
    </row>
    <row r="651" spans="2:17" x14ac:dyDescent="0.3">
      <c r="B651" s="333">
        <v>20</v>
      </c>
      <c r="C651" s="333"/>
      <c r="D651" s="333"/>
      <c r="E651" s="333"/>
      <c r="F651" s="333"/>
      <c r="G651" s="333"/>
      <c r="H651" s="333"/>
      <c r="I651" s="333"/>
      <c r="J651" s="333"/>
      <c r="K651" s="333"/>
      <c r="L651" s="361"/>
      <c r="M651" s="333">
        <f t="shared" si="99"/>
        <v>10</v>
      </c>
      <c r="N651" s="333" t="e">
        <f t="shared" si="100"/>
        <v>#DIV/0!</v>
      </c>
      <c r="O651" s="333" t="e">
        <f t="shared" si="101"/>
        <v>#DIV/0!</v>
      </c>
      <c r="P651" s="334" t="e">
        <f t="shared" si="102"/>
        <v>#DIV/0!</v>
      </c>
      <c r="Q651" s="334" t="e">
        <f t="shared" si="103"/>
        <v>#DIV/0!</v>
      </c>
    </row>
    <row r="652" spans="2:17" x14ac:dyDescent="0.3">
      <c r="B652" s="333">
        <v>20</v>
      </c>
      <c r="C652" s="333"/>
      <c r="D652" s="333"/>
      <c r="E652" s="333"/>
      <c r="F652" s="333"/>
      <c r="G652" s="333"/>
      <c r="H652" s="333"/>
      <c r="I652" s="333"/>
      <c r="J652" s="333"/>
      <c r="K652" s="333"/>
      <c r="L652" s="361"/>
      <c r="M652" s="333">
        <f t="shared" si="99"/>
        <v>10</v>
      </c>
      <c r="N652" s="333" t="e">
        <f t="shared" si="100"/>
        <v>#DIV/0!</v>
      </c>
      <c r="O652" s="333" t="e">
        <f t="shared" si="101"/>
        <v>#DIV/0!</v>
      </c>
      <c r="P652" s="334" t="e">
        <f t="shared" si="102"/>
        <v>#DIV/0!</v>
      </c>
      <c r="Q652" s="334" t="e">
        <f t="shared" si="103"/>
        <v>#DIV/0!</v>
      </c>
    </row>
    <row r="653" spans="2:17" x14ac:dyDescent="0.3">
      <c r="B653" s="333">
        <v>20</v>
      </c>
      <c r="C653" s="333"/>
      <c r="D653" s="333"/>
      <c r="E653" s="333"/>
      <c r="F653" s="333"/>
      <c r="G653" s="333"/>
      <c r="H653" s="333"/>
      <c r="I653" s="333"/>
      <c r="J653" s="333"/>
      <c r="K653" s="333"/>
      <c r="L653" s="361"/>
      <c r="M653" s="333">
        <f t="shared" si="99"/>
        <v>10</v>
      </c>
      <c r="N653" s="333" t="e">
        <f t="shared" si="100"/>
        <v>#DIV/0!</v>
      </c>
      <c r="O653" s="333" t="e">
        <f t="shared" si="101"/>
        <v>#DIV/0!</v>
      </c>
      <c r="P653" s="334" t="e">
        <f t="shared" si="102"/>
        <v>#DIV/0!</v>
      </c>
      <c r="Q653" s="334" t="e">
        <f t="shared" si="103"/>
        <v>#DIV/0!</v>
      </c>
    </row>
    <row r="654" spans="2:17" x14ac:dyDescent="0.3">
      <c r="B654" s="333">
        <v>20</v>
      </c>
      <c r="C654" s="333"/>
      <c r="D654" s="333"/>
      <c r="E654" s="333"/>
      <c r="F654" s="333"/>
      <c r="G654" s="333"/>
      <c r="H654" s="333"/>
      <c r="I654" s="333"/>
      <c r="J654" s="333"/>
      <c r="K654" s="333"/>
      <c r="L654" s="361"/>
      <c r="M654" s="333">
        <f t="shared" si="99"/>
        <v>10</v>
      </c>
      <c r="N654" s="333" t="e">
        <f t="shared" si="100"/>
        <v>#DIV/0!</v>
      </c>
      <c r="O654" s="333" t="e">
        <f t="shared" si="101"/>
        <v>#DIV/0!</v>
      </c>
      <c r="P654" s="334" t="e">
        <f t="shared" si="102"/>
        <v>#DIV/0!</v>
      </c>
      <c r="Q654" s="334" t="e">
        <f t="shared" si="103"/>
        <v>#DIV/0!</v>
      </c>
    </row>
    <row r="655" spans="2:17" x14ac:dyDescent="0.3">
      <c r="B655" s="333">
        <v>20</v>
      </c>
      <c r="C655" s="333"/>
      <c r="D655" s="333"/>
      <c r="E655" s="333"/>
      <c r="F655" s="333"/>
      <c r="G655" s="333"/>
      <c r="H655" s="333"/>
      <c r="I655" s="333"/>
      <c r="J655" s="333"/>
      <c r="K655" s="333"/>
      <c r="L655" s="361"/>
      <c r="M655" s="333">
        <f t="shared" si="99"/>
        <v>10</v>
      </c>
      <c r="N655" s="333" t="e">
        <f t="shared" si="100"/>
        <v>#DIV/0!</v>
      </c>
      <c r="O655" s="333" t="e">
        <f t="shared" si="101"/>
        <v>#DIV/0!</v>
      </c>
      <c r="P655" s="334" t="e">
        <f t="shared" si="102"/>
        <v>#DIV/0!</v>
      </c>
      <c r="Q655" s="334" t="e">
        <f t="shared" si="103"/>
        <v>#DIV/0!</v>
      </c>
    </row>
    <row r="656" spans="2:17" x14ac:dyDescent="0.3">
      <c r="B656" s="333">
        <v>20</v>
      </c>
      <c r="C656" s="333"/>
      <c r="D656" s="333"/>
      <c r="E656" s="333"/>
      <c r="F656" s="333"/>
      <c r="G656" s="333"/>
      <c r="H656" s="333"/>
      <c r="I656" s="333"/>
      <c r="J656" s="333"/>
      <c r="K656" s="333"/>
      <c r="L656" s="361"/>
      <c r="M656" s="333">
        <f t="shared" si="99"/>
        <v>10</v>
      </c>
      <c r="N656" s="333" t="e">
        <f t="shared" si="100"/>
        <v>#DIV/0!</v>
      </c>
      <c r="O656" s="333" t="e">
        <f t="shared" si="101"/>
        <v>#DIV/0!</v>
      </c>
      <c r="P656" s="334" t="e">
        <f t="shared" si="102"/>
        <v>#DIV/0!</v>
      </c>
      <c r="Q656" s="334" t="e">
        <f t="shared" si="103"/>
        <v>#DIV/0!</v>
      </c>
    </row>
    <row r="657" spans="2:17" x14ac:dyDescent="0.3">
      <c r="B657" s="333">
        <v>20</v>
      </c>
      <c r="C657" s="333"/>
      <c r="D657" s="333"/>
      <c r="E657" s="333"/>
      <c r="F657" s="333"/>
      <c r="G657" s="333"/>
      <c r="H657" s="333"/>
      <c r="I657" s="333"/>
      <c r="J657" s="333"/>
      <c r="K657" s="333"/>
      <c r="L657" s="361"/>
      <c r="M657" s="333">
        <f t="shared" si="99"/>
        <v>10</v>
      </c>
      <c r="N657" s="333" t="e">
        <f t="shared" si="100"/>
        <v>#DIV/0!</v>
      </c>
      <c r="O657" s="333" t="e">
        <f t="shared" si="101"/>
        <v>#DIV/0!</v>
      </c>
      <c r="P657" s="334" t="e">
        <f t="shared" si="102"/>
        <v>#DIV/0!</v>
      </c>
      <c r="Q657" s="334" t="e">
        <f t="shared" si="103"/>
        <v>#DIV/0!</v>
      </c>
    </row>
    <row r="658" spans="2:17" x14ac:dyDescent="0.3">
      <c r="B658" s="333">
        <v>20</v>
      </c>
      <c r="C658" s="333"/>
      <c r="D658" s="333"/>
      <c r="E658" s="333"/>
      <c r="F658" s="333"/>
      <c r="G658" s="333"/>
      <c r="H658" s="333"/>
      <c r="I658" s="333"/>
      <c r="J658" s="333"/>
      <c r="K658" s="333"/>
      <c r="L658" s="361"/>
      <c r="M658" s="333">
        <f t="shared" si="99"/>
        <v>10</v>
      </c>
      <c r="N658" s="333" t="e">
        <f t="shared" si="100"/>
        <v>#DIV/0!</v>
      </c>
      <c r="O658" s="333" t="e">
        <f t="shared" si="101"/>
        <v>#DIV/0!</v>
      </c>
      <c r="P658" s="334" t="e">
        <f t="shared" si="102"/>
        <v>#DIV/0!</v>
      </c>
      <c r="Q658" s="334" t="e">
        <f t="shared" si="103"/>
        <v>#DIV/0!</v>
      </c>
    </row>
    <row r="659" spans="2:17" x14ac:dyDescent="0.3">
      <c r="B659" s="333">
        <v>20</v>
      </c>
      <c r="C659" s="333"/>
      <c r="D659" s="333"/>
      <c r="E659" s="333"/>
      <c r="F659" s="333"/>
      <c r="G659" s="333"/>
      <c r="H659" s="333"/>
      <c r="I659" s="333"/>
      <c r="J659" s="333"/>
      <c r="K659" s="333"/>
      <c r="L659" s="361"/>
      <c r="M659" s="333">
        <f t="shared" si="99"/>
        <v>10</v>
      </c>
      <c r="N659" s="333" t="e">
        <f t="shared" si="100"/>
        <v>#DIV/0!</v>
      </c>
      <c r="O659" s="333" t="e">
        <f t="shared" si="101"/>
        <v>#DIV/0!</v>
      </c>
      <c r="P659" s="334" t="e">
        <f t="shared" si="102"/>
        <v>#DIV/0!</v>
      </c>
      <c r="Q659" s="334" t="e">
        <f t="shared" si="103"/>
        <v>#DIV/0!</v>
      </c>
    </row>
    <row r="660" spans="2:17" x14ac:dyDescent="0.3">
      <c r="B660" s="333">
        <v>20</v>
      </c>
      <c r="C660" s="333"/>
      <c r="D660" s="333"/>
      <c r="E660" s="333"/>
      <c r="F660" s="333"/>
      <c r="G660" s="333"/>
      <c r="H660" s="333"/>
      <c r="I660" s="333"/>
      <c r="J660" s="333"/>
      <c r="K660" s="333"/>
      <c r="L660" s="361"/>
      <c r="M660" s="333">
        <f t="shared" si="99"/>
        <v>10</v>
      </c>
      <c r="N660" s="333" t="e">
        <f t="shared" si="100"/>
        <v>#DIV/0!</v>
      </c>
      <c r="O660" s="333" t="e">
        <f t="shared" si="101"/>
        <v>#DIV/0!</v>
      </c>
      <c r="P660" s="334" t="e">
        <f t="shared" si="102"/>
        <v>#DIV/0!</v>
      </c>
      <c r="Q660" s="334" t="e">
        <f t="shared" si="103"/>
        <v>#DIV/0!</v>
      </c>
    </row>
    <row r="661" spans="2:17" x14ac:dyDescent="0.3">
      <c r="B661" s="333">
        <v>20</v>
      </c>
      <c r="C661" s="333"/>
      <c r="D661" s="333"/>
      <c r="E661" s="333"/>
      <c r="F661" s="333"/>
      <c r="G661" s="333"/>
      <c r="H661" s="333"/>
      <c r="I661" s="333"/>
      <c r="J661" s="333"/>
      <c r="K661" s="333"/>
      <c r="L661" s="361"/>
      <c r="M661" s="333">
        <f t="shared" si="99"/>
        <v>10</v>
      </c>
      <c r="N661" s="333" t="e">
        <f t="shared" si="100"/>
        <v>#DIV/0!</v>
      </c>
      <c r="O661" s="333" t="e">
        <f t="shared" si="101"/>
        <v>#DIV/0!</v>
      </c>
      <c r="P661" s="334" t="e">
        <f t="shared" si="102"/>
        <v>#DIV/0!</v>
      </c>
      <c r="Q661" s="334" t="e">
        <f t="shared" si="103"/>
        <v>#DIV/0!</v>
      </c>
    </row>
    <row r="662" spans="2:17" x14ac:dyDescent="0.3">
      <c r="B662" s="333">
        <v>20</v>
      </c>
      <c r="C662" s="333"/>
      <c r="D662" s="333"/>
      <c r="E662" s="333"/>
      <c r="F662" s="333"/>
      <c r="G662" s="333"/>
      <c r="H662" s="333"/>
      <c r="I662" s="333"/>
      <c r="J662" s="333"/>
      <c r="K662" s="333"/>
      <c r="L662" s="361"/>
      <c r="M662" s="333">
        <f t="shared" si="99"/>
        <v>10</v>
      </c>
      <c r="N662" s="333" t="e">
        <f t="shared" si="100"/>
        <v>#DIV/0!</v>
      </c>
      <c r="O662" s="333" t="e">
        <f t="shared" si="101"/>
        <v>#DIV/0!</v>
      </c>
      <c r="P662" s="334" t="e">
        <f t="shared" si="102"/>
        <v>#DIV/0!</v>
      </c>
      <c r="Q662" s="334" t="e">
        <f t="shared" si="103"/>
        <v>#DIV/0!</v>
      </c>
    </row>
    <row r="663" spans="2:17" x14ac:dyDescent="0.3">
      <c r="B663" s="333">
        <v>20</v>
      </c>
      <c r="C663" s="333"/>
      <c r="D663" s="333"/>
      <c r="E663" s="333"/>
      <c r="F663" s="333"/>
      <c r="G663" s="333"/>
      <c r="H663" s="333"/>
      <c r="I663" s="333"/>
      <c r="J663" s="333"/>
      <c r="K663" s="333"/>
      <c r="L663" s="361"/>
      <c r="M663" s="333">
        <f t="shared" si="99"/>
        <v>10</v>
      </c>
      <c r="N663" s="333" t="e">
        <f t="shared" si="100"/>
        <v>#DIV/0!</v>
      </c>
      <c r="O663" s="333" t="e">
        <f t="shared" si="101"/>
        <v>#DIV/0!</v>
      </c>
      <c r="P663" s="334" t="e">
        <f t="shared" si="102"/>
        <v>#DIV/0!</v>
      </c>
      <c r="Q663" s="334" t="e">
        <f t="shared" si="103"/>
        <v>#DIV/0!</v>
      </c>
    </row>
    <row r="664" spans="2:17" x14ac:dyDescent="0.3">
      <c r="B664" s="333">
        <v>20</v>
      </c>
      <c r="C664" s="333"/>
      <c r="D664" s="333"/>
      <c r="E664" s="333"/>
      <c r="F664" s="333"/>
      <c r="G664" s="333"/>
      <c r="H664" s="333"/>
      <c r="I664" s="333"/>
      <c r="J664" s="333"/>
      <c r="K664" s="333"/>
      <c r="L664" s="361"/>
      <c r="M664" s="333">
        <f t="shared" si="99"/>
        <v>10</v>
      </c>
      <c r="N664" s="333" t="e">
        <f t="shared" si="100"/>
        <v>#DIV/0!</v>
      </c>
      <c r="O664" s="333" t="e">
        <f t="shared" si="101"/>
        <v>#DIV/0!</v>
      </c>
      <c r="P664" s="334" t="e">
        <f t="shared" si="102"/>
        <v>#DIV/0!</v>
      </c>
      <c r="Q664" s="334" t="e">
        <f t="shared" si="103"/>
        <v>#DIV/0!</v>
      </c>
    </row>
    <row r="665" spans="2:17" x14ac:dyDescent="0.3">
      <c r="B665" s="333">
        <v>20</v>
      </c>
      <c r="C665" s="333"/>
      <c r="D665" s="333"/>
      <c r="E665" s="333"/>
      <c r="F665" s="333"/>
      <c r="G665" s="333"/>
      <c r="H665" s="333"/>
      <c r="I665" s="333"/>
      <c r="J665" s="333"/>
      <c r="K665" s="333"/>
      <c r="L665" s="361"/>
      <c r="M665" s="333">
        <f t="shared" si="99"/>
        <v>10</v>
      </c>
      <c r="N665" s="333" t="e">
        <f t="shared" si="100"/>
        <v>#DIV/0!</v>
      </c>
      <c r="O665" s="333" t="e">
        <f t="shared" si="101"/>
        <v>#DIV/0!</v>
      </c>
      <c r="P665" s="334" t="e">
        <f t="shared" si="102"/>
        <v>#DIV/0!</v>
      </c>
      <c r="Q665" s="334" t="e">
        <f t="shared" si="103"/>
        <v>#DIV/0!</v>
      </c>
    </row>
    <row r="666" spans="2:17" x14ac:dyDescent="0.3">
      <c r="B666" s="333">
        <v>20</v>
      </c>
      <c r="C666" s="333"/>
      <c r="D666" s="333"/>
      <c r="E666" s="333"/>
      <c r="F666" s="333"/>
      <c r="G666" s="333"/>
      <c r="H666" s="333"/>
      <c r="I666" s="333"/>
      <c r="J666" s="333"/>
      <c r="K666" s="333"/>
      <c r="L666" s="361"/>
      <c r="M666" s="333">
        <f t="shared" si="99"/>
        <v>10</v>
      </c>
      <c r="N666" s="333" t="e">
        <f t="shared" si="100"/>
        <v>#DIV/0!</v>
      </c>
      <c r="O666" s="333" t="e">
        <f t="shared" si="101"/>
        <v>#DIV/0!</v>
      </c>
      <c r="P666" s="334" t="e">
        <f t="shared" si="102"/>
        <v>#DIV/0!</v>
      </c>
      <c r="Q666" s="334" t="e">
        <f t="shared" si="103"/>
        <v>#DIV/0!</v>
      </c>
    </row>
    <row r="667" spans="2:17" x14ac:dyDescent="0.3">
      <c r="B667" s="333">
        <v>40</v>
      </c>
      <c r="C667" s="333"/>
      <c r="D667" s="333"/>
      <c r="E667" s="333"/>
      <c r="F667" s="333"/>
      <c r="G667" s="333"/>
      <c r="H667" s="333"/>
      <c r="I667" s="333"/>
      <c r="J667" s="333"/>
      <c r="K667" s="333"/>
      <c r="L667" s="361"/>
      <c r="M667" s="333">
        <f t="shared" si="99"/>
        <v>20</v>
      </c>
      <c r="N667" s="333" t="e">
        <f t="shared" si="100"/>
        <v>#DIV/0!</v>
      </c>
      <c r="O667" s="333" t="e">
        <f t="shared" si="101"/>
        <v>#DIV/0!</v>
      </c>
      <c r="P667" s="334" t="e">
        <f t="shared" si="102"/>
        <v>#DIV/0!</v>
      </c>
      <c r="Q667" s="334" t="e">
        <f t="shared" si="103"/>
        <v>#DIV/0!</v>
      </c>
    </row>
    <row r="668" spans="2:17" x14ac:dyDescent="0.3">
      <c r="B668" s="333">
        <v>40</v>
      </c>
      <c r="C668" s="333"/>
      <c r="D668" s="333"/>
      <c r="E668" s="333"/>
      <c r="F668" s="333"/>
      <c r="G668" s="333"/>
      <c r="H668" s="333"/>
      <c r="I668" s="333"/>
      <c r="J668" s="333"/>
      <c r="K668" s="333"/>
      <c r="L668" s="361"/>
      <c r="M668" s="333">
        <f t="shared" si="99"/>
        <v>20</v>
      </c>
      <c r="N668" s="333" t="e">
        <f t="shared" si="100"/>
        <v>#DIV/0!</v>
      </c>
      <c r="O668" s="333" t="e">
        <f t="shared" si="101"/>
        <v>#DIV/0!</v>
      </c>
      <c r="P668" s="334" t="e">
        <f t="shared" si="102"/>
        <v>#DIV/0!</v>
      </c>
      <c r="Q668" s="334" t="e">
        <f t="shared" si="103"/>
        <v>#DIV/0!</v>
      </c>
    </row>
    <row r="669" spans="2:17" x14ac:dyDescent="0.3">
      <c r="B669" s="333">
        <v>40</v>
      </c>
      <c r="C669" s="333"/>
      <c r="D669" s="333"/>
      <c r="E669" s="333"/>
      <c r="F669" s="333"/>
      <c r="G669" s="333"/>
      <c r="H669" s="333"/>
      <c r="I669" s="333"/>
      <c r="J669" s="333"/>
      <c r="K669" s="333"/>
      <c r="L669" s="361"/>
      <c r="M669" s="333">
        <f t="shared" si="99"/>
        <v>20</v>
      </c>
      <c r="N669" s="333" t="e">
        <f t="shared" si="100"/>
        <v>#DIV/0!</v>
      </c>
      <c r="O669" s="333" t="e">
        <f t="shared" si="101"/>
        <v>#DIV/0!</v>
      </c>
      <c r="P669" s="334" t="e">
        <f t="shared" si="102"/>
        <v>#DIV/0!</v>
      </c>
      <c r="Q669" s="334" t="e">
        <f t="shared" si="103"/>
        <v>#DIV/0!</v>
      </c>
    </row>
    <row r="670" spans="2:17" x14ac:dyDescent="0.3">
      <c r="B670" s="333">
        <v>40</v>
      </c>
      <c r="C670" s="333"/>
      <c r="D670" s="333"/>
      <c r="E670" s="333"/>
      <c r="F670" s="333"/>
      <c r="G670" s="333"/>
      <c r="H670" s="333"/>
      <c r="I670" s="333"/>
      <c r="J670" s="333"/>
      <c r="K670" s="333"/>
      <c r="L670" s="361"/>
      <c r="M670" s="333">
        <f t="shared" si="99"/>
        <v>20</v>
      </c>
      <c r="N670" s="333" t="e">
        <f t="shared" si="100"/>
        <v>#DIV/0!</v>
      </c>
      <c r="O670" s="333" t="e">
        <f t="shared" si="101"/>
        <v>#DIV/0!</v>
      </c>
      <c r="P670" s="334" t="e">
        <f t="shared" si="102"/>
        <v>#DIV/0!</v>
      </c>
      <c r="Q670" s="334" t="e">
        <f t="shared" si="103"/>
        <v>#DIV/0!</v>
      </c>
    </row>
    <row r="671" spans="2:17" x14ac:dyDescent="0.3">
      <c r="B671" s="333">
        <v>40</v>
      </c>
      <c r="C671" s="333"/>
      <c r="D671" s="333"/>
      <c r="E671" s="333"/>
      <c r="F671" s="333"/>
      <c r="G671" s="333"/>
      <c r="H671" s="333"/>
      <c r="I671" s="333"/>
      <c r="J671" s="333"/>
      <c r="K671" s="333"/>
      <c r="L671" s="361"/>
      <c r="M671" s="333">
        <f t="shared" ref="M671:M726" si="104">B671/2</f>
        <v>20</v>
      </c>
      <c r="N671" s="333" t="e">
        <f t="shared" si="100"/>
        <v>#DIV/0!</v>
      </c>
      <c r="O671" s="333" t="e">
        <f t="shared" si="101"/>
        <v>#DIV/0!</v>
      </c>
      <c r="P671" s="334" t="e">
        <f t="shared" si="102"/>
        <v>#DIV/0!</v>
      </c>
      <c r="Q671" s="334" t="e">
        <f t="shared" si="103"/>
        <v>#DIV/0!</v>
      </c>
    </row>
    <row r="672" spans="2:17" x14ac:dyDescent="0.3">
      <c r="B672" s="333">
        <v>40</v>
      </c>
      <c r="C672" s="333"/>
      <c r="D672" s="333"/>
      <c r="E672" s="333"/>
      <c r="F672" s="333"/>
      <c r="G672" s="333"/>
      <c r="H672" s="333"/>
      <c r="I672" s="333"/>
      <c r="J672" s="333"/>
      <c r="K672" s="333"/>
      <c r="L672" s="361"/>
      <c r="M672" s="333">
        <f t="shared" si="104"/>
        <v>20</v>
      </c>
      <c r="N672" s="333" t="e">
        <f t="shared" si="100"/>
        <v>#DIV/0!</v>
      </c>
      <c r="O672" s="333" t="e">
        <f t="shared" si="101"/>
        <v>#DIV/0!</v>
      </c>
      <c r="P672" s="334" t="e">
        <f t="shared" si="102"/>
        <v>#DIV/0!</v>
      </c>
      <c r="Q672" s="334" t="e">
        <f t="shared" si="103"/>
        <v>#DIV/0!</v>
      </c>
    </row>
    <row r="673" spans="2:17" x14ac:dyDescent="0.3">
      <c r="B673" s="333">
        <v>40</v>
      </c>
      <c r="C673" s="333"/>
      <c r="D673" s="333"/>
      <c r="E673" s="333"/>
      <c r="F673" s="333"/>
      <c r="G673" s="333"/>
      <c r="H673" s="333"/>
      <c r="I673" s="333"/>
      <c r="J673" s="333"/>
      <c r="K673" s="333"/>
      <c r="L673" s="361"/>
      <c r="M673" s="333">
        <f t="shared" si="104"/>
        <v>20</v>
      </c>
      <c r="N673" s="333" t="e">
        <f t="shared" ref="N673:N726" si="105">(SUM(C673:E673)-SUM($C$192:$E$192))*$F$71</f>
        <v>#DIV/0!</v>
      </c>
      <c r="O673" s="333" t="e">
        <f t="shared" ref="O673:O726" si="106">(SUM(F673:H673)-SUM($F$192:$H$192))*$G$71</f>
        <v>#DIV/0!</v>
      </c>
      <c r="P673" s="334" t="e">
        <f t="shared" ref="P673:P726" si="107">N673-M673</f>
        <v>#DIV/0!</v>
      </c>
      <c r="Q673" s="334" t="e">
        <f t="shared" ref="Q673:Q726" si="108">O673-M673</f>
        <v>#DIV/0!</v>
      </c>
    </row>
    <row r="674" spans="2:17" x14ac:dyDescent="0.3">
      <c r="B674" s="333">
        <v>40</v>
      </c>
      <c r="C674" s="333"/>
      <c r="D674" s="333"/>
      <c r="E674" s="333"/>
      <c r="F674" s="333"/>
      <c r="G674" s="333"/>
      <c r="H674" s="333"/>
      <c r="I674" s="333"/>
      <c r="J674" s="333"/>
      <c r="K674" s="333"/>
      <c r="L674" s="361"/>
      <c r="M674" s="333">
        <f t="shared" si="104"/>
        <v>20</v>
      </c>
      <c r="N674" s="333" t="e">
        <f t="shared" si="105"/>
        <v>#DIV/0!</v>
      </c>
      <c r="O674" s="333" t="e">
        <f t="shared" si="106"/>
        <v>#DIV/0!</v>
      </c>
      <c r="P674" s="334" t="e">
        <f t="shared" si="107"/>
        <v>#DIV/0!</v>
      </c>
      <c r="Q674" s="334" t="e">
        <f t="shared" si="108"/>
        <v>#DIV/0!</v>
      </c>
    </row>
    <row r="675" spans="2:17" x14ac:dyDescent="0.3">
      <c r="B675" s="333">
        <v>40</v>
      </c>
      <c r="C675" s="333"/>
      <c r="D675" s="333"/>
      <c r="E675" s="333"/>
      <c r="F675" s="333"/>
      <c r="G675" s="333"/>
      <c r="H675" s="333"/>
      <c r="I675" s="333"/>
      <c r="J675" s="333"/>
      <c r="K675" s="333"/>
      <c r="L675" s="361"/>
      <c r="M675" s="333">
        <f t="shared" si="104"/>
        <v>20</v>
      </c>
      <c r="N675" s="333" t="e">
        <f t="shared" si="105"/>
        <v>#DIV/0!</v>
      </c>
      <c r="O675" s="333" t="e">
        <f t="shared" si="106"/>
        <v>#DIV/0!</v>
      </c>
      <c r="P675" s="334" t="e">
        <f t="shared" si="107"/>
        <v>#DIV/0!</v>
      </c>
      <c r="Q675" s="334" t="e">
        <f t="shared" si="108"/>
        <v>#DIV/0!</v>
      </c>
    </row>
    <row r="676" spans="2:17" x14ac:dyDescent="0.3">
      <c r="B676" s="333">
        <v>40</v>
      </c>
      <c r="C676" s="333"/>
      <c r="D676" s="333"/>
      <c r="E676" s="333"/>
      <c r="F676" s="333"/>
      <c r="G676" s="333"/>
      <c r="H676" s="333"/>
      <c r="I676" s="333"/>
      <c r="J676" s="333"/>
      <c r="K676" s="333"/>
      <c r="L676" s="361"/>
      <c r="M676" s="333">
        <f t="shared" si="104"/>
        <v>20</v>
      </c>
      <c r="N676" s="333" t="e">
        <f t="shared" si="105"/>
        <v>#DIV/0!</v>
      </c>
      <c r="O676" s="333" t="e">
        <f t="shared" si="106"/>
        <v>#DIV/0!</v>
      </c>
      <c r="P676" s="334" t="e">
        <f t="shared" si="107"/>
        <v>#DIV/0!</v>
      </c>
      <c r="Q676" s="334" t="e">
        <f t="shared" si="108"/>
        <v>#DIV/0!</v>
      </c>
    </row>
    <row r="677" spans="2:17" x14ac:dyDescent="0.3">
      <c r="B677" s="333">
        <v>40</v>
      </c>
      <c r="C677" s="333"/>
      <c r="D677" s="333"/>
      <c r="E677" s="333"/>
      <c r="F677" s="333"/>
      <c r="G677" s="333"/>
      <c r="H677" s="333"/>
      <c r="I677" s="333"/>
      <c r="J677" s="333"/>
      <c r="K677" s="333"/>
      <c r="L677" s="361"/>
      <c r="M677" s="333">
        <f t="shared" si="104"/>
        <v>20</v>
      </c>
      <c r="N677" s="333" t="e">
        <f t="shared" si="105"/>
        <v>#DIV/0!</v>
      </c>
      <c r="O677" s="333" t="e">
        <f t="shared" si="106"/>
        <v>#DIV/0!</v>
      </c>
      <c r="P677" s="334" t="e">
        <f t="shared" si="107"/>
        <v>#DIV/0!</v>
      </c>
      <c r="Q677" s="334" t="e">
        <f t="shared" si="108"/>
        <v>#DIV/0!</v>
      </c>
    </row>
    <row r="678" spans="2:17" x14ac:dyDescent="0.3">
      <c r="B678" s="333">
        <v>40</v>
      </c>
      <c r="C678" s="333"/>
      <c r="D678" s="333"/>
      <c r="E678" s="333"/>
      <c r="F678" s="333"/>
      <c r="G678" s="333"/>
      <c r="H678" s="333"/>
      <c r="I678" s="333"/>
      <c r="J678" s="333"/>
      <c r="K678" s="333"/>
      <c r="L678" s="361"/>
      <c r="M678" s="333">
        <f t="shared" si="104"/>
        <v>20</v>
      </c>
      <c r="N678" s="333" t="e">
        <f t="shared" si="105"/>
        <v>#DIV/0!</v>
      </c>
      <c r="O678" s="333" t="e">
        <f t="shared" si="106"/>
        <v>#DIV/0!</v>
      </c>
      <c r="P678" s="334" t="e">
        <f t="shared" si="107"/>
        <v>#DIV/0!</v>
      </c>
      <c r="Q678" s="334" t="e">
        <f t="shared" si="108"/>
        <v>#DIV/0!</v>
      </c>
    </row>
    <row r="679" spans="2:17" x14ac:dyDescent="0.3">
      <c r="B679" s="333">
        <v>40</v>
      </c>
      <c r="C679" s="333"/>
      <c r="D679" s="333"/>
      <c r="E679" s="333"/>
      <c r="F679" s="333"/>
      <c r="G679" s="333"/>
      <c r="H679" s="333"/>
      <c r="I679" s="333"/>
      <c r="J679" s="333"/>
      <c r="K679" s="333"/>
      <c r="L679" s="361"/>
      <c r="M679" s="333">
        <f t="shared" si="104"/>
        <v>20</v>
      </c>
      <c r="N679" s="333" t="e">
        <f t="shared" si="105"/>
        <v>#DIV/0!</v>
      </c>
      <c r="O679" s="333" t="e">
        <f t="shared" si="106"/>
        <v>#DIV/0!</v>
      </c>
      <c r="P679" s="334" t="e">
        <f t="shared" si="107"/>
        <v>#DIV/0!</v>
      </c>
      <c r="Q679" s="334" t="e">
        <f t="shared" si="108"/>
        <v>#DIV/0!</v>
      </c>
    </row>
    <row r="680" spans="2:17" x14ac:dyDescent="0.3">
      <c r="B680" s="333">
        <v>40</v>
      </c>
      <c r="C680" s="333"/>
      <c r="D680" s="333"/>
      <c r="E680" s="333"/>
      <c r="F680" s="333"/>
      <c r="G680" s="333"/>
      <c r="H680" s="333"/>
      <c r="I680" s="333"/>
      <c r="J680" s="333"/>
      <c r="K680" s="333"/>
      <c r="L680" s="361"/>
      <c r="M680" s="333">
        <f t="shared" si="104"/>
        <v>20</v>
      </c>
      <c r="N680" s="333" t="e">
        <f t="shared" si="105"/>
        <v>#DIV/0!</v>
      </c>
      <c r="O680" s="333" t="e">
        <f t="shared" si="106"/>
        <v>#DIV/0!</v>
      </c>
      <c r="P680" s="334" t="e">
        <f t="shared" si="107"/>
        <v>#DIV/0!</v>
      </c>
      <c r="Q680" s="334" t="e">
        <f t="shared" si="108"/>
        <v>#DIV/0!</v>
      </c>
    </row>
    <row r="681" spans="2:17" x14ac:dyDescent="0.3">
      <c r="B681" s="333">
        <v>40</v>
      </c>
      <c r="C681" s="333"/>
      <c r="D681" s="333"/>
      <c r="E681" s="333"/>
      <c r="F681" s="333"/>
      <c r="G681" s="333"/>
      <c r="H681" s="333"/>
      <c r="I681" s="333"/>
      <c r="J681" s="333"/>
      <c r="K681" s="333"/>
      <c r="L681" s="361"/>
      <c r="M681" s="333">
        <f t="shared" si="104"/>
        <v>20</v>
      </c>
      <c r="N681" s="333" t="e">
        <f t="shared" si="105"/>
        <v>#DIV/0!</v>
      </c>
      <c r="O681" s="333" t="e">
        <f t="shared" si="106"/>
        <v>#DIV/0!</v>
      </c>
      <c r="P681" s="334" t="e">
        <f t="shared" si="107"/>
        <v>#DIV/0!</v>
      </c>
      <c r="Q681" s="334" t="e">
        <f t="shared" si="108"/>
        <v>#DIV/0!</v>
      </c>
    </row>
    <row r="682" spans="2:17" x14ac:dyDescent="0.3">
      <c r="B682" s="333">
        <v>40</v>
      </c>
      <c r="C682" s="333"/>
      <c r="D682" s="333"/>
      <c r="E682" s="333"/>
      <c r="F682" s="333"/>
      <c r="G682" s="333"/>
      <c r="H682" s="333"/>
      <c r="I682" s="333"/>
      <c r="J682" s="333"/>
      <c r="K682" s="333"/>
      <c r="L682" s="361"/>
      <c r="M682" s="333">
        <f t="shared" si="104"/>
        <v>20</v>
      </c>
      <c r="N682" s="333" t="e">
        <f t="shared" si="105"/>
        <v>#DIV/0!</v>
      </c>
      <c r="O682" s="333" t="e">
        <f t="shared" si="106"/>
        <v>#DIV/0!</v>
      </c>
      <c r="P682" s="334" t="e">
        <f t="shared" si="107"/>
        <v>#DIV/0!</v>
      </c>
      <c r="Q682" s="334" t="e">
        <f t="shared" si="108"/>
        <v>#DIV/0!</v>
      </c>
    </row>
    <row r="683" spans="2:17" x14ac:dyDescent="0.3">
      <c r="B683" s="333">
        <v>40</v>
      </c>
      <c r="C683" s="333"/>
      <c r="D683" s="333"/>
      <c r="E683" s="333"/>
      <c r="F683" s="333"/>
      <c r="G683" s="333"/>
      <c r="H683" s="333"/>
      <c r="I683" s="333"/>
      <c r="J683" s="333"/>
      <c r="K683" s="333"/>
      <c r="L683" s="361"/>
      <c r="M683" s="333">
        <f t="shared" si="104"/>
        <v>20</v>
      </c>
      <c r="N683" s="333" t="e">
        <f t="shared" si="105"/>
        <v>#DIV/0!</v>
      </c>
      <c r="O683" s="333" t="e">
        <f t="shared" si="106"/>
        <v>#DIV/0!</v>
      </c>
      <c r="P683" s="334" t="e">
        <f t="shared" si="107"/>
        <v>#DIV/0!</v>
      </c>
      <c r="Q683" s="334" t="e">
        <f t="shared" si="108"/>
        <v>#DIV/0!</v>
      </c>
    </row>
    <row r="684" spans="2:17" x14ac:dyDescent="0.3">
      <c r="B684" s="333">
        <v>40</v>
      </c>
      <c r="C684" s="333"/>
      <c r="D684" s="333"/>
      <c r="E684" s="333"/>
      <c r="F684" s="333"/>
      <c r="G684" s="333"/>
      <c r="H684" s="333"/>
      <c r="I684" s="333"/>
      <c r="J684" s="333"/>
      <c r="K684" s="333"/>
      <c r="L684" s="361"/>
      <c r="M684" s="333">
        <f t="shared" si="104"/>
        <v>20</v>
      </c>
      <c r="N684" s="333" t="e">
        <f t="shared" si="105"/>
        <v>#DIV/0!</v>
      </c>
      <c r="O684" s="333" t="e">
        <f t="shared" si="106"/>
        <v>#DIV/0!</v>
      </c>
      <c r="P684" s="334" t="e">
        <f t="shared" si="107"/>
        <v>#DIV/0!</v>
      </c>
      <c r="Q684" s="334" t="e">
        <f t="shared" si="108"/>
        <v>#DIV/0!</v>
      </c>
    </row>
    <row r="685" spans="2:17" x14ac:dyDescent="0.3">
      <c r="B685" s="333">
        <v>40</v>
      </c>
      <c r="C685" s="333"/>
      <c r="D685" s="333"/>
      <c r="E685" s="333"/>
      <c r="F685" s="333"/>
      <c r="G685" s="333"/>
      <c r="H685" s="333"/>
      <c r="I685" s="333"/>
      <c r="J685" s="333"/>
      <c r="K685" s="333"/>
      <c r="L685" s="361"/>
      <c r="M685" s="333">
        <f t="shared" si="104"/>
        <v>20</v>
      </c>
      <c r="N685" s="333" t="e">
        <f t="shared" si="105"/>
        <v>#DIV/0!</v>
      </c>
      <c r="O685" s="333" t="e">
        <f t="shared" si="106"/>
        <v>#DIV/0!</v>
      </c>
      <c r="P685" s="334" t="e">
        <f t="shared" si="107"/>
        <v>#DIV/0!</v>
      </c>
      <c r="Q685" s="334" t="e">
        <f t="shared" si="108"/>
        <v>#DIV/0!</v>
      </c>
    </row>
    <row r="686" spans="2:17" x14ac:dyDescent="0.3">
      <c r="B686" s="333">
        <v>40</v>
      </c>
      <c r="C686" s="333"/>
      <c r="D686" s="333"/>
      <c r="E686" s="333"/>
      <c r="F686" s="333"/>
      <c r="G686" s="333"/>
      <c r="H686" s="333"/>
      <c r="I686" s="333"/>
      <c r="J686" s="333"/>
      <c r="K686" s="333"/>
      <c r="L686" s="361"/>
      <c r="M686" s="333">
        <f t="shared" si="104"/>
        <v>20</v>
      </c>
      <c r="N686" s="333" t="e">
        <f t="shared" si="105"/>
        <v>#DIV/0!</v>
      </c>
      <c r="O686" s="333" t="e">
        <f t="shared" si="106"/>
        <v>#DIV/0!</v>
      </c>
      <c r="P686" s="334" t="e">
        <f t="shared" si="107"/>
        <v>#DIV/0!</v>
      </c>
      <c r="Q686" s="334" t="e">
        <f t="shared" si="108"/>
        <v>#DIV/0!</v>
      </c>
    </row>
    <row r="687" spans="2:17" x14ac:dyDescent="0.3">
      <c r="B687" s="333">
        <v>60</v>
      </c>
      <c r="C687" s="333"/>
      <c r="D687" s="333"/>
      <c r="E687" s="333"/>
      <c r="F687" s="333"/>
      <c r="G687" s="333"/>
      <c r="H687" s="333"/>
      <c r="I687" s="333"/>
      <c r="J687" s="333"/>
      <c r="K687" s="333"/>
      <c r="L687" s="361"/>
      <c r="M687" s="333">
        <f t="shared" si="104"/>
        <v>30</v>
      </c>
      <c r="N687" s="333" t="e">
        <f t="shared" si="105"/>
        <v>#DIV/0!</v>
      </c>
      <c r="O687" s="333" t="e">
        <f t="shared" si="106"/>
        <v>#DIV/0!</v>
      </c>
      <c r="P687" s="334" t="e">
        <f t="shared" si="107"/>
        <v>#DIV/0!</v>
      </c>
      <c r="Q687" s="334" t="e">
        <f t="shared" si="108"/>
        <v>#DIV/0!</v>
      </c>
    </row>
    <row r="688" spans="2:17" x14ac:dyDescent="0.3">
      <c r="B688" s="333">
        <v>60</v>
      </c>
      <c r="C688" s="333"/>
      <c r="D688" s="333"/>
      <c r="E688" s="333"/>
      <c r="F688" s="333"/>
      <c r="G688" s="333"/>
      <c r="H688" s="333"/>
      <c r="I688" s="333"/>
      <c r="J688" s="333"/>
      <c r="K688" s="333"/>
      <c r="L688" s="361"/>
      <c r="M688" s="333">
        <f t="shared" si="104"/>
        <v>30</v>
      </c>
      <c r="N688" s="333" t="e">
        <f t="shared" si="105"/>
        <v>#DIV/0!</v>
      </c>
      <c r="O688" s="333" t="e">
        <f t="shared" si="106"/>
        <v>#DIV/0!</v>
      </c>
      <c r="P688" s="334" t="e">
        <f t="shared" si="107"/>
        <v>#DIV/0!</v>
      </c>
      <c r="Q688" s="334" t="e">
        <f t="shared" si="108"/>
        <v>#DIV/0!</v>
      </c>
    </row>
    <row r="689" spans="2:17" x14ac:dyDescent="0.3">
      <c r="B689" s="333">
        <v>60</v>
      </c>
      <c r="C689" s="333"/>
      <c r="D689" s="333"/>
      <c r="E689" s="333"/>
      <c r="F689" s="333"/>
      <c r="G689" s="333"/>
      <c r="H689" s="333"/>
      <c r="I689" s="333"/>
      <c r="J689" s="333"/>
      <c r="K689" s="333"/>
      <c r="L689" s="361"/>
      <c r="M689" s="333">
        <f t="shared" si="104"/>
        <v>30</v>
      </c>
      <c r="N689" s="333" t="e">
        <f t="shared" si="105"/>
        <v>#DIV/0!</v>
      </c>
      <c r="O689" s="333" t="e">
        <f t="shared" si="106"/>
        <v>#DIV/0!</v>
      </c>
      <c r="P689" s="334" t="e">
        <f t="shared" si="107"/>
        <v>#DIV/0!</v>
      </c>
      <c r="Q689" s="334" t="e">
        <f t="shared" si="108"/>
        <v>#DIV/0!</v>
      </c>
    </row>
    <row r="690" spans="2:17" x14ac:dyDescent="0.3">
      <c r="B690" s="333">
        <v>60</v>
      </c>
      <c r="C690" s="333"/>
      <c r="D690" s="333"/>
      <c r="E690" s="333"/>
      <c r="F690" s="333"/>
      <c r="G690" s="333"/>
      <c r="H690" s="333"/>
      <c r="I690" s="333"/>
      <c r="J690" s="333"/>
      <c r="K690" s="333"/>
      <c r="L690" s="361"/>
      <c r="M690" s="333">
        <f t="shared" si="104"/>
        <v>30</v>
      </c>
      <c r="N690" s="333" t="e">
        <f t="shared" si="105"/>
        <v>#DIV/0!</v>
      </c>
      <c r="O690" s="333" t="e">
        <f t="shared" si="106"/>
        <v>#DIV/0!</v>
      </c>
      <c r="P690" s="334" t="e">
        <f t="shared" si="107"/>
        <v>#DIV/0!</v>
      </c>
      <c r="Q690" s="334" t="e">
        <f t="shared" si="108"/>
        <v>#DIV/0!</v>
      </c>
    </row>
    <row r="691" spans="2:17" x14ac:dyDescent="0.3">
      <c r="B691" s="333">
        <v>60</v>
      </c>
      <c r="C691" s="333"/>
      <c r="D691" s="333"/>
      <c r="E691" s="333"/>
      <c r="F691" s="333"/>
      <c r="G691" s="333"/>
      <c r="H691" s="333"/>
      <c r="I691" s="333"/>
      <c r="J691" s="333"/>
      <c r="K691" s="333"/>
      <c r="L691" s="361"/>
      <c r="M691" s="333">
        <f t="shared" si="104"/>
        <v>30</v>
      </c>
      <c r="N691" s="333" t="e">
        <f t="shared" si="105"/>
        <v>#DIV/0!</v>
      </c>
      <c r="O691" s="333" t="e">
        <f t="shared" si="106"/>
        <v>#DIV/0!</v>
      </c>
      <c r="P691" s="334" t="e">
        <f t="shared" si="107"/>
        <v>#DIV/0!</v>
      </c>
      <c r="Q691" s="334" t="e">
        <f t="shared" si="108"/>
        <v>#DIV/0!</v>
      </c>
    </row>
    <row r="692" spans="2:17" x14ac:dyDescent="0.3">
      <c r="B692" s="333">
        <v>60</v>
      </c>
      <c r="C692" s="333"/>
      <c r="D692" s="333"/>
      <c r="E692" s="333"/>
      <c r="F692" s="333"/>
      <c r="G692" s="333"/>
      <c r="H692" s="333"/>
      <c r="I692" s="333"/>
      <c r="J692" s="333"/>
      <c r="K692" s="333"/>
      <c r="L692" s="361"/>
      <c r="M692" s="333">
        <f t="shared" si="104"/>
        <v>30</v>
      </c>
      <c r="N692" s="333" t="e">
        <f t="shared" si="105"/>
        <v>#DIV/0!</v>
      </c>
      <c r="O692" s="333" t="e">
        <f t="shared" si="106"/>
        <v>#DIV/0!</v>
      </c>
      <c r="P692" s="334" t="e">
        <f t="shared" si="107"/>
        <v>#DIV/0!</v>
      </c>
      <c r="Q692" s="334" t="e">
        <f t="shared" si="108"/>
        <v>#DIV/0!</v>
      </c>
    </row>
    <row r="693" spans="2:17" x14ac:dyDescent="0.3">
      <c r="B693" s="333">
        <v>60</v>
      </c>
      <c r="C693" s="333"/>
      <c r="D693" s="333"/>
      <c r="E693" s="333"/>
      <c r="F693" s="333"/>
      <c r="G693" s="333"/>
      <c r="H693" s="333"/>
      <c r="I693" s="333"/>
      <c r="J693" s="333"/>
      <c r="K693" s="333"/>
      <c r="L693" s="361"/>
      <c r="M693" s="333">
        <f t="shared" si="104"/>
        <v>30</v>
      </c>
      <c r="N693" s="333" t="e">
        <f t="shared" si="105"/>
        <v>#DIV/0!</v>
      </c>
      <c r="O693" s="333" t="e">
        <f t="shared" si="106"/>
        <v>#DIV/0!</v>
      </c>
      <c r="P693" s="334" t="e">
        <f t="shared" si="107"/>
        <v>#DIV/0!</v>
      </c>
      <c r="Q693" s="334" t="e">
        <f t="shared" si="108"/>
        <v>#DIV/0!</v>
      </c>
    </row>
    <row r="694" spans="2:17" x14ac:dyDescent="0.3">
      <c r="B694" s="333">
        <v>60</v>
      </c>
      <c r="C694" s="333"/>
      <c r="D694" s="333"/>
      <c r="E694" s="333"/>
      <c r="F694" s="333"/>
      <c r="G694" s="333"/>
      <c r="H694" s="333"/>
      <c r="I694" s="333"/>
      <c r="J694" s="333"/>
      <c r="K694" s="333"/>
      <c r="L694" s="361"/>
      <c r="M694" s="333">
        <f t="shared" si="104"/>
        <v>30</v>
      </c>
      <c r="N694" s="333" t="e">
        <f t="shared" si="105"/>
        <v>#DIV/0!</v>
      </c>
      <c r="O694" s="333" t="e">
        <f t="shared" si="106"/>
        <v>#DIV/0!</v>
      </c>
      <c r="P694" s="334" t="e">
        <f t="shared" si="107"/>
        <v>#DIV/0!</v>
      </c>
      <c r="Q694" s="334" t="e">
        <f t="shared" si="108"/>
        <v>#DIV/0!</v>
      </c>
    </row>
    <row r="695" spans="2:17" x14ac:dyDescent="0.3">
      <c r="B695" s="333">
        <v>60</v>
      </c>
      <c r="C695" s="333"/>
      <c r="D695" s="333"/>
      <c r="E695" s="333"/>
      <c r="F695" s="333"/>
      <c r="G695" s="333"/>
      <c r="H695" s="333"/>
      <c r="I695" s="333"/>
      <c r="J695" s="333"/>
      <c r="K695" s="333"/>
      <c r="L695" s="361"/>
      <c r="M695" s="333">
        <f t="shared" si="104"/>
        <v>30</v>
      </c>
      <c r="N695" s="333" t="e">
        <f t="shared" si="105"/>
        <v>#DIV/0!</v>
      </c>
      <c r="O695" s="333" t="e">
        <f t="shared" si="106"/>
        <v>#DIV/0!</v>
      </c>
      <c r="P695" s="334" t="e">
        <f t="shared" si="107"/>
        <v>#DIV/0!</v>
      </c>
      <c r="Q695" s="334" t="e">
        <f t="shared" si="108"/>
        <v>#DIV/0!</v>
      </c>
    </row>
    <row r="696" spans="2:17" x14ac:dyDescent="0.3">
      <c r="B696" s="333">
        <v>60</v>
      </c>
      <c r="C696" s="333"/>
      <c r="D696" s="333"/>
      <c r="E696" s="333"/>
      <c r="F696" s="333"/>
      <c r="G696" s="333"/>
      <c r="H696" s="333"/>
      <c r="I696" s="333"/>
      <c r="J696" s="333"/>
      <c r="K696" s="333"/>
      <c r="L696" s="361"/>
      <c r="M696" s="333">
        <f t="shared" si="104"/>
        <v>30</v>
      </c>
      <c r="N696" s="333" t="e">
        <f t="shared" si="105"/>
        <v>#DIV/0!</v>
      </c>
      <c r="O696" s="333" t="e">
        <f t="shared" si="106"/>
        <v>#DIV/0!</v>
      </c>
      <c r="P696" s="334" t="e">
        <f t="shared" si="107"/>
        <v>#DIV/0!</v>
      </c>
      <c r="Q696" s="334" t="e">
        <f t="shared" si="108"/>
        <v>#DIV/0!</v>
      </c>
    </row>
    <row r="697" spans="2:17" x14ac:dyDescent="0.3">
      <c r="B697" s="333">
        <v>60</v>
      </c>
      <c r="C697" s="333"/>
      <c r="D697" s="333"/>
      <c r="E697" s="333"/>
      <c r="F697" s="333"/>
      <c r="G697" s="333"/>
      <c r="H697" s="333"/>
      <c r="I697" s="333"/>
      <c r="J697" s="333"/>
      <c r="K697" s="333"/>
      <c r="L697" s="361"/>
      <c r="M697" s="333">
        <f t="shared" si="104"/>
        <v>30</v>
      </c>
      <c r="N697" s="333" t="e">
        <f t="shared" si="105"/>
        <v>#DIV/0!</v>
      </c>
      <c r="O697" s="333" t="e">
        <f t="shared" si="106"/>
        <v>#DIV/0!</v>
      </c>
      <c r="P697" s="334" t="e">
        <f t="shared" si="107"/>
        <v>#DIV/0!</v>
      </c>
      <c r="Q697" s="334" t="e">
        <f t="shared" si="108"/>
        <v>#DIV/0!</v>
      </c>
    </row>
    <row r="698" spans="2:17" x14ac:dyDescent="0.3">
      <c r="B698" s="333">
        <v>60</v>
      </c>
      <c r="C698" s="333"/>
      <c r="D698" s="333"/>
      <c r="E698" s="333"/>
      <c r="F698" s="333"/>
      <c r="G698" s="333"/>
      <c r="H698" s="333"/>
      <c r="I698" s="333"/>
      <c r="J698" s="333"/>
      <c r="K698" s="333"/>
      <c r="L698" s="361"/>
      <c r="M698" s="333">
        <f t="shared" si="104"/>
        <v>30</v>
      </c>
      <c r="N698" s="333" t="e">
        <f t="shared" si="105"/>
        <v>#DIV/0!</v>
      </c>
      <c r="O698" s="333" t="e">
        <f t="shared" si="106"/>
        <v>#DIV/0!</v>
      </c>
      <c r="P698" s="334" t="e">
        <f t="shared" si="107"/>
        <v>#DIV/0!</v>
      </c>
      <c r="Q698" s="334" t="e">
        <f t="shared" si="108"/>
        <v>#DIV/0!</v>
      </c>
    </row>
    <row r="699" spans="2:17" x14ac:dyDescent="0.3">
      <c r="B699" s="333">
        <v>60</v>
      </c>
      <c r="C699" s="333"/>
      <c r="D699" s="333"/>
      <c r="E699" s="333"/>
      <c r="F699" s="333"/>
      <c r="G699" s="333"/>
      <c r="H699" s="333"/>
      <c r="I699" s="333"/>
      <c r="J699" s="333"/>
      <c r="K699" s="333"/>
      <c r="L699" s="361"/>
      <c r="M699" s="333">
        <f t="shared" si="104"/>
        <v>30</v>
      </c>
      <c r="N699" s="333" t="e">
        <f t="shared" si="105"/>
        <v>#DIV/0!</v>
      </c>
      <c r="O699" s="333" t="e">
        <f t="shared" si="106"/>
        <v>#DIV/0!</v>
      </c>
      <c r="P699" s="334" t="e">
        <f t="shared" si="107"/>
        <v>#DIV/0!</v>
      </c>
      <c r="Q699" s="334" t="e">
        <f t="shared" si="108"/>
        <v>#DIV/0!</v>
      </c>
    </row>
    <row r="700" spans="2:17" x14ac:dyDescent="0.3">
      <c r="B700" s="333">
        <v>60</v>
      </c>
      <c r="C700" s="333"/>
      <c r="D700" s="333"/>
      <c r="E700" s="333"/>
      <c r="F700" s="333"/>
      <c r="G700" s="333"/>
      <c r="H700" s="333"/>
      <c r="I700" s="333"/>
      <c r="J700" s="333"/>
      <c r="K700" s="333"/>
      <c r="L700" s="361"/>
      <c r="M700" s="333">
        <f t="shared" si="104"/>
        <v>30</v>
      </c>
      <c r="N700" s="333" t="e">
        <f t="shared" si="105"/>
        <v>#DIV/0!</v>
      </c>
      <c r="O700" s="333" t="e">
        <f t="shared" si="106"/>
        <v>#DIV/0!</v>
      </c>
      <c r="P700" s="334" t="e">
        <f t="shared" si="107"/>
        <v>#DIV/0!</v>
      </c>
      <c r="Q700" s="334" t="e">
        <f t="shared" si="108"/>
        <v>#DIV/0!</v>
      </c>
    </row>
    <row r="701" spans="2:17" x14ac:dyDescent="0.3">
      <c r="B701" s="333">
        <v>60</v>
      </c>
      <c r="C701" s="333"/>
      <c r="D701" s="333"/>
      <c r="E701" s="333"/>
      <c r="F701" s="333"/>
      <c r="G701" s="333"/>
      <c r="H701" s="333"/>
      <c r="I701" s="333"/>
      <c r="J701" s="333"/>
      <c r="K701" s="333"/>
      <c r="L701" s="361"/>
      <c r="M701" s="333">
        <f t="shared" si="104"/>
        <v>30</v>
      </c>
      <c r="N701" s="333" t="e">
        <f t="shared" si="105"/>
        <v>#DIV/0!</v>
      </c>
      <c r="O701" s="333" t="e">
        <f t="shared" si="106"/>
        <v>#DIV/0!</v>
      </c>
      <c r="P701" s="334" t="e">
        <f t="shared" si="107"/>
        <v>#DIV/0!</v>
      </c>
      <c r="Q701" s="334" t="e">
        <f t="shared" si="108"/>
        <v>#DIV/0!</v>
      </c>
    </row>
    <row r="702" spans="2:17" x14ac:dyDescent="0.3">
      <c r="B702" s="333">
        <v>60</v>
      </c>
      <c r="C702" s="333"/>
      <c r="D702" s="333"/>
      <c r="E702" s="333"/>
      <c r="F702" s="333"/>
      <c r="G702" s="333"/>
      <c r="H702" s="333"/>
      <c r="I702" s="333"/>
      <c r="J702" s="333"/>
      <c r="K702" s="333"/>
      <c r="L702" s="361"/>
      <c r="M702" s="333">
        <f t="shared" si="104"/>
        <v>30</v>
      </c>
      <c r="N702" s="333" t="e">
        <f t="shared" si="105"/>
        <v>#DIV/0!</v>
      </c>
      <c r="O702" s="333" t="e">
        <f t="shared" si="106"/>
        <v>#DIV/0!</v>
      </c>
      <c r="P702" s="334" t="e">
        <f t="shared" si="107"/>
        <v>#DIV/0!</v>
      </c>
      <c r="Q702" s="334" t="e">
        <f t="shared" si="108"/>
        <v>#DIV/0!</v>
      </c>
    </row>
    <row r="703" spans="2:17" x14ac:dyDescent="0.3">
      <c r="B703" s="333">
        <v>60</v>
      </c>
      <c r="C703" s="333"/>
      <c r="D703" s="333"/>
      <c r="E703" s="333"/>
      <c r="F703" s="333"/>
      <c r="G703" s="333"/>
      <c r="H703" s="333"/>
      <c r="I703" s="333"/>
      <c r="J703" s="333"/>
      <c r="K703" s="333"/>
      <c r="L703" s="361"/>
      <c r="M703" s="333">
        <f t="shared" si="104"/>
        <v>30</v>
      </c>
      <c r="N703" s="333" t="e">
        <f t="shared" si="105"/>
        <v>#DIV/0!</v>
      </c>
      <c r="O703" s="333" t="e">
        <f t="shared" si="106"/>
        <v>#DIV/0!</v>
      </c>
      <c r="P703" s="334" t="e">
        <f t="shared" si="107"/>
        <v>#DIV/0!</v>
      </c>
      <c r="Q703" s="334" t="e">
        <f t="shared" si="108"/>
        <v>#DIV/0!</v>
      </c>
    </row>
    <row r="704" spans="2:17" x14ac:dyDescent="0.3">
      <c r="B704" s="333">
        <v>60</v>
      </c>
      <c r="C704" s="333"/>
      <c r="D704" s="333"/>
      <c r="E704" s="333"/>
      <c r="F704" s="333"/>
      <c r="G704" s="333"/>
      <c r="H704" s="333"/>
      <c r="I704" s="333"/>
      <c r="J704" s="333"/>
      <c r="K704" s="333"/>
      <c r="L704" s="361"/>
      <c r="M704" s="333">
        <f t="shared" si="104"/>
        <v>30</v>
      </c>
      <c r="N704" s="333" t="e">
        <f t="shared" si="105"/>
        <v>#DIV/0!</v>
      </c>
      <c r="O704" s="333" t="e">
        <f t="shared" si="106"/>
        <v>#DIV/0!</v>
      </c>
      <c r="P704" s="334" t="e">
        <f t="shared" si="107"/>
        <v>#DIV/0!</v>
      </c>
      <c r="Q704" s="334" t="e">
        <f t="shared" si="108"/>
        <v>#DIV/0!</v>
      </c>
    </row>
    <row r="705" spans="2:17" x14ac:dyDescent="0.3">
      <c r="B705" s="333">
        <v>60</v>
      </c>
      <c r="C705" s="333"/>
      <c r="D705" s="333"/>
      <c r="E705" s="333"/>
      <c r="F705" s="333"/>
      <c r="G705" s="333"/>
      <c r="H705" s="333"/>
      <c r="I705" s="333"/>
      <c r="J705" s="333"/>
      <c r="K705" s="333"/>
      <c r="L705" s="361"/>
      <c r="M705" s="333">
        <f t="shared" si="104"/>
        <v>30</v>
      </c>
      <c r="N705" s="333" t="e">
        <f t="shared" si="105"/>
        <v>#DIV/0!</v>
      </c>
      <c r="O705" s="333" t="e">
        <f t="shared" si="106"/>
        <v>#DIV/0!</v>
      </c>
      <c r="P705" s="334" t="e">
        <f t="shared" si="107"/>
        <v>#DIV/0!</v>
      </c>
      <c r="Q705" s="334" t="e">
        <f t="shared" si="108"/>
        <v>#DIV/0!</v>
      </c>
    </row>
    <row r="706" spans="2:17" x14ac:dyDescent="0.3">
      <c r="B706" s="333">
        <v>60</v>
      </c>
      <c r="C706" s="333"/>
      <c r="D706" s="333"/>
      <c r="E706" s="333"/>
      <c r="F706" s="333"/>
      <c r="G706" s="333"/>
      <c r="H706" s="333"/>
      <c r="I706" s="333"/>
      <c r="J706" s="333"/>
      <c r="K706" s="333"/>
      <c r="L706" s="361"/>
      <c r="M706" s="333">
        <f t="shared" si="104"/>
        <v>30</v>
      </c>
      <c r="N706" s="333" t="e">
        <f t="shared" si="105"/>
        <v>#DIV/0!</v>
      </c>
      <c r="O706" s="333" t="e">
        <f t="shared" si="106"/>
        <v>#DIV/0!</v>
      </c>
      <c r="P706" s="334" t="e">
        <f t="shared" si="107"/>
        <v>#DIV/0!</v>
      </c>
      <c r="Q706" s="334" t="e">
        <f t="shared" si="108"/>
        <v>#DIV/0!</v>
      </c>
    </row>
    <row r="707" spans="2:17" x14ac:dyDescent="0.3">
      <c r="B707" s="333">
        <v>80</v>
      </c>
      <c r="C707" s="333"/>
      <c r="D707" s="333"/>
      <c r="E707" s="333"/>
      <c r="F707" s="333"/>
      <c r="G707" s="333"/>
      <c r="H707" s="333"/>
      <c r="I707" s="333"/>
      <c r="J707" s="333"/>
      <c r="K707" s="333"/>
      <c r="L707" s="361"/>
      <c r="M707" s="333">
        <f t="shared" si="104"/>
        <v>40</v>
      </c>
      <c r="N707" s="333" t="e">
        <f t="shared" si="105"/>
        <v>#DIV/0!</v>
      </c>
      <c r="O707" s="333" t="e">
        <f t="shared" si="106"/>
        <v>#DIV/0!</v>
      </c>
      <c r="P707" s="334" t="e">
        <f t="shared" si="107"/>
        <v>#DIV/0!</v>
      </c>
      <c r="Q707" s="334" t="e">
        <f t="shared" si="108"/>
        <v>#DIV/0!</v>
      </c>
    </row>
    <row r="708" spans="2:17" x14ac:dyDescent="0.3">
      <c r="B708" s="333">
        <v>80</v>
      </c>
      <c r="C708" s="333"/>
      <c r="D708" s="333"/>
      <c r="E708" s="333"/>
      <c r="F708" s="333"/>
      <c r="G708" s="333"/>
      <c r="H708" s="333"/>
      <c r="I708" s="333"/>
      <c r="J708" s="333"/>
      <c r="K708" s="333"/>
      <c r="L708" s="361"/>
      <c r="M708" s="333">
        <f t="shared" si="104"/>
        <v>40</v>
      </c>
      <c r="N708" s="333" t="e">
        <f t="shared" si="105"/>
        <v>#DIV/0!</v>
      </c>
      <c r="O708" s="333" t="e">
        <f t="shared" si="106"/>
        <v>#DIV/0!</v>
      </c>
      <c r="P708" s="334" t="e">
        <f t="shared" si="107"/>
        <v>#DIV/0!</v>
      </c>
      <c r="Q708" s="334" t="e">
        <f t="shared" si="108"/>
        <v>#DIV/0!</v>
      </c>
    </row>
    <row r="709" spans="2:17" x14ac:dyDescent="0.3">
      <c r="B709" s="333">
        <v>80</v>
      </c>
      <c r="C709" s="333"/>
      <c r="D709" s="333"/>
      <c r="E709" s="333"/>
      <c r="F709" s="333"/>
      <c r="G709" s="333"/>
      <c r="H709" s="333"/>
      <c r="I709" s="333"/>
      <c r="J709" s="333"/>
      <c r="K709" s="333"/>
      <c r="L709" s="361"/>
      <c r="M709" s="333">
        <f t="shared" si="104"/>
        <v>40</v>
      </c>
      <c r="N709" s="333" t="e">
        <f t="shared" si="105"/>
        <v>#DIV/0!</v>
      </c>
      <c r="O709" s="333" t="e">
        <f t="shared" si="106"/>
        <v>#DIV/0!</v>
      </c>
      <c r="P709" s="334" t="e">
        <f t="shared" si="107"/>
        <v>#DIV/0!</v>
      </c>
      <c r="Q709" s="334" t="e">
        <f t="shared" si="108"/>
        <v>#DIV/0!</v>
      </c>
    </row>
    <row r="710" spans="2:17" x14ac:dyDescent="0.3">
      <c r="B710" s="333">
        <v>80</v>
      </c>
      <c r="C710" s="333"/>
      <c r="D710" s="333"/>
      <c r="E710" s="333"/>
      <c r="F710" s="333"/>
      <c r="G710" s="333"/>
      <c r="H710" s="333"/>
      <c r="I710" s="333"/>
      <c r="J710" s="333"/>
      <c r="K710" s="333"/>
      <c r="L710" s="361"/>
      <c r="M710" s="333">
        <f t="shared" si="104"/>
        <v>40</v>
      </c>
      <c r="N710" s="333" t="e">
        <f t="shared" si="105"/>
        <v>#DIV/0!</v>
      </c>
      <c r="O710" s="333" t="e">
        <f t="shared" si="106"/>
        <v>#DIV/0!</v>
      </c>
      <c r="P710" s="334" t="e">
        <f t="shared" si="107"/>
        <v>#DIV/0!</v>
      </c>
      <c r="Q710" s="334" t="e">
        <f t="shared" si="108"/>
        <v>#DIV/0!</v>
      </c>
    </row>
    <row r="711" spans="2:17" x14ac:dyDescent="0.3">
      <c r="B711" s="333">
        <v>80</v>
      </c>
      <c r="C711" s="333"/>
      <c r="D711" s="333"/>
      <c r="E711" s="333"/>
      <c r="F711" s="333"/>
      <c r="G711" s="333"/>
      <c r="H711" s="333"/>
      <c r="I711" s="333"/>
      <c r="J711" s="333"/>
      <c r="K711" s="333"/>
      <c r="L711" s="361"/>
      <c r="M711" s="333">
        <f t="shared" si="104"/>
        <v>40</v>
      </c>
      <c r="N711" s="333" t="e">
        <f t="shared" si="105"/>
        <v>#DIV/0!</v>
      </c>
      <c r="O711" s="333" t="e">
        <f t="shared" si="106"/>
        <v>#DIV/0!</v>
      </c>
      <c r="P711" s="334" t="e">
        <f t="shared" si="107"/>
        <v>#DIV/0!</v>
      </c>
      <c r="Q711" s="334" t="e">
        <f t="shared" si="108"/>
        <v>#DIV/0!</v>
      </c>
    </row>
    <row r="712" spans="2:17" x14ac:dyDescent="0.3">
      <c r="B712" s="333">
        <v>80</v>
      </c>
      <c r="C712" s="333"/>
      <c r="D712" s="333"/>
      <c r="E712" s="333"/>
      <c r="F712" s="333"/>
      <c r="G712" s="333"/>
      <c r="H712" s="333"/>
      <c r="I712" s="333"/>
      <c r="J712" s="333"/>
      <c r="K712" s="333"/>
      <c r="L712" s="361"/>
      <c r="M712" s="333">
        <f t="shared" si="104"/>
        <v>40</v>
      </c>
      <c r="N712" s="333" t="e">
        <f t="shared" si="105"/>
        <v>#DIV/0!</v>
      </c>
      <c r="O712" s="333" t="e">
        <f t="shared" si="106"/>
        <v>#DIV/0!</v>
      </c>
      <c r="P712" s="334" t="e">
        <f t="shared" si="107"/>
        <v>#DIV/0!</v>
      </c>
      <c r="Q712" s="334" t="e">
        <f t="shared" si="108"/>
        <v>#DIV/0!</v>
      </c>
    </row>
    <row r="713" spans="2:17" x14ac:dyDescent="0.3">
      <c r="B713" s="333">
        <v>80</v>
      </c>
      <c r="C713" s="333"/>
      <c r="D713" s="333"/>
      <c r="E713" s="333"/>
      <c r="F713" s="333"/>
      <c r="G713" s="333"/>
      <c r="H713" s="333"/>
      <c r="I713" s="333"/>
      <c r="J713" s="333"/>
      <c r="K713" s="333"/>
      <c r="L713" s="361"/>
      <c r="M713" s="333">
        <f t="shared" si="104"/>
        <v>40</v>
      </c>
      <c r="N713" s="333" t="e">
        <f t="shared" si="105"/>
        <v>#DIV/0!</v>
      </c>
      <c r="O713" s="333" t="e">
        <f t="shared" si="106"/>
        <v>#DIV/0!</v>
      </c>
      <c r="P713" s="334" t="e">
        <f t="shared" si="107"/>
        <v>#DIV/0!</v>
      </c>
      <c r="Q713" s="334" t="e">
        <f t="shared" si="108"/>
        <v>#DIV/0!</v>
      </c>
    </row>
    <row r="714" spans="2:17" x14ac:dyDescent="0.3">
      <c r="B714" s="333">
        <v>80</v>
      </c>
      <c r="C714" s="333"/>
      <c r="D714" s="333"/>
      <c r="E714" s="333"/>
      <c r="F714" s="333"/>
      <c r="G714" s="333"/>
      <c r="H714" s="333"/>
      <c r="I714" s="333"/>
      <c r="J714" s="333"/>
      <c r="K714" s="333"/>
      <c r="L714" s="361"/>
      <c r="M714" s="333">
        <f t="shared" si="104"/>
        <v>40</v>
      </c>
      <c r="N714" s="333" t="e">
        <f t="shared" si="105"/>
        <v>#DIV/0!</v>
      </c>
      <c r="O714" s="333" t="e">
        <f t="shared" si="106"/>
        <v>#DIV/0!</v>
      </c>
      <c r="P714" s="334" t="e">
        <f t="shared" si="107"/>
        <v>#DIV/0!</v>
      </c>
      <c r="Q714" s="334" t="e">
        <f t="shared" si="108"/>
        <v>#DIV/0!</v>
      </c>
    </row>
    <row r="715" spans="2:17" x14ac:dyDescent="0.3">
      <c r="B715" s="333">
        <v>80</v>
      </c>
      <c r="C715" s="333"/>
      <c r="D715" s="333"/>
      <c r="E715" s="333"/>
      <c r="F715" s="333"/>
      <c r="G715" s="333"/>
      <c r="H715" s="333"/>
      <c r="I715" s="333"/>
      <c r="J715" s="333"/>
      <c r="K715" s="333"/>
      <c r="L715" s="361"/>
      <c r="M715" s="333">
        <f t="shared" si="104"/>
        <v>40</v>
      </c>
      <c r="N715" s="333" t="e">
        <f t="shared" si="105"/>
        <v>#DIV/0!</v>
      </c>
      <c r="O715" s="333" t="e">
        <f t="shared" si="106"/>
        <v>#DIV/0!</v>
      </c>
      <c r="P715" s="334" t="e">
        <f t="shared" si="107"/>
        <v>#DIV/0!</v>
      </c>
      <c r="Q715" s="334" t="e">
        <f t="shared" si="108"/>
        <v>#DIV/0!</v>
      </c>
    </row>
    <row r="716" spans="2:17" x14ac:dyDescent="0.3">
      <c r="B716" s="333">
        <v>80</v>
      </c>
      <c r="C716" s="333"/>
      <c r="D716" s="333"/>
      <c r="E716" s="333"/>
      <c r="F716" s="333"/>
      <c r="G716" s="333"/>
      <c r="H716" s="333"/>
      <c r="I716" s="333"/>
      <c r="J716" s="333"/>
      <c r="K716" s="333"/>
      <c r="L716" s="361"/>
      <c r="M716" s="333">
        <f t="shared" si="104"/>
        <v>40</v>
      </c>
      <c r="N716" s="333" t="e">
        <f t="shared" si="105"/>
        <v>#DIV/0!</v>
      </c>
      <c r="O716" s="333" t="e">
        <f t="shared" si="106"/>
        <v>#DIV/0!</v>
      </c>
      <c r="P716" s="334" t="e">
        <f t="shared" si="107"/>
        <v>#DIV/0!</v>
      </c>
      <c r="Q716" s="334" t="e">
        <f t="shared" si="108"/>
        <v>#DIV/0!</v>
      </c>
    </row>
    <row r="717" spans="2:17" x14ac:dyDescent="0.3">
      <c r="B717" s="333">
        <v>80</v>
      </c>
      <c r="C717" s="333"/>
      <c r="D717" s="333"/>
      <c r="E717" s="333"/>
      <c r="F717" s="333"/>
      <c r="G717" s="333"/>
      <c r="H717" s="333"/>
      <c r="I717" s="333"/>
      <c r="J717" s="333"/>
      <c r="K717" s="333"/>
      <c r="L717" s="361"/>
      <c r="M717" s="333">
        <f t="shared" si="104"/>
        <v>40</v>
      </c>
      <c r="N717" s="333" t="e">
        <f t="shared" si="105"/>
        <v>#DIV/0!</v>
      </c>
      <c r="O717" s="333" t="e">
        <f t="shared" si="106"/>
        <v>#DIV/0!</v>
      </c>
      <c r="P717" s="334" t="e">
        <f t="shared" si="107"/>
        <v>#DIV/0!</v>
      </c>
      <c r="Q717" s="334" t="e">
        <f t="shared" si="108"/>
        <v>#DIV/0!</v>
      </c>
    </row>
    <row r="718" spans="2:17" x14ac:dyDescent="0.3">
      <c r="B718" s="333">
        <v>80</v>
      </c>
      <c r="C718" s="333"/>
      <c r="D718" s="333"/>
      <c r="E718" s="333"/>
      <c r="F718" s="333"/>
      <c r="G718" s="333"/>
      <c r="H718" s="333"/>
      <c r="I718" s="333"/>
      <c r="J718" s="333"/>
      <c r="K718" s="333"/>
      <c r="L718" s="361"/>
      <c r="M718" s="333">
        <f t="shared" si="104"/>
        <v>40</v>
      </c>
      <c r="N718" s="333" t="e">
        <f t="shared" si="105"/>
        <v>#DIV/0!</v>
      </c>
      <c r="O718" s="333" t="e">
        <f t="shared" si="106"/>
        <v>#DIV/0!</v>
      </c>
      <c r="P718" s="334" t="e">
        <f t="shared" si="107"/>
        <v>#DIV/0!</v>
      </c>
      <c r="Q718" s="334" t="e">
        <f t="shared" si="108"/>
        <v>#DIV/0!</v>
      </c>
    </row>
    <row r="719" spans="2:17" x14ac:dyDescent="0.3">
      <c r="B719" s="333">
        <v>80</v>
      </c>
      <c r="C719" s="333"/>
      <c r="D719" s="333"/>
      <c r="E719" s="333"/>
      <c r="F719" s="333"/>
      <c r="G719" s="333"/>
      <c r="H719" s="333"/>
      <c r="I719" s="333"/>
      <c r="J719" s="333"/>
      <c r="K719" s="333"/>
      <c r="L719" s="361"/>
      <c r="M719" s="333">
        <f t="shared" si="104"/>
        <v>40</v>
      </c>
      <c r="N719" s="333" t="e">
        <f t="shared" si="105"/>
        <v>#DIV/0!</v>
      </c>
      <c r="O719" s="333" t="e">
        <f t="shared" si="106"/>
        <v>#DIV/0!</v>
      </c>
      <c r="P719" s="334" t="e">
        <f t="shared" si="107"/>
        <v>#DIV/0!</v>
      </c>
      <c r="Q719" s="334" t="e">
        <f t="shared" si="108"/>
        <v>#DIV/0!</v>
      </c>
    </row>
    <row r="720" spans="2:17" x14ac:dyDescent="0.3">
      <c r="B720" s="333">
        <v>80</v>
      </c>
      <c r="C720" s="333"/>
      <c r="D720" s="333"/>
      <c r="E720" s="333"/>
      <c r="F720" s="333"/>
      <c r="G720" s="333"/>
      <c r="H720" s="333"/>
      <c r="I720" s="333"/>
      <c r="J720" s="333"/>
      <c r="K720" s="333"/>
      <c r="L720" s="361"/>
      <c r="M720" s="333">
        <f t="shared" si="104"/>
        <v>40</v>
      </c>
      <c r="N720" s="333" t="e">
        <f t="shared" si="105"/>
        <v>#DIV/0!</v>
      </c>
      <c r="O720" s="333" t="e">
        <f t="shared" si="106"/>
        <v>#DIV/0!</v>
      </c>
      <c r="P720" s="334" t="e">
        <f t="shared" si="107"/>
        <v>#DIV/0!</v>
      </c>
      <c r="Q720" s="334" t="e">
        <f t="shared" si="108"/>
        <v>#DIV/0!</v>
      </c>
    </row>
    <row r="721" spans="2:17" x14ac:dyDescent="0.3">
      <c r="B721" s="333">
        <v>80</v>
      </c>
      <c r="C721" s="333"/>
      <c r="D721" s="333"/>
      <c r="E721" s="333"/>
      <c r="F721" s="333"/>
      <c r="G721" s="333"/>
      <c r="H721" s="333"/>
      <c r="I721" s="333"/>
      <c r="J721" s="333"/>
      <c r="K721" s="333"/>
      <c r="L721" s="361"/>
      <c r="M721" s="333">
        <f t="shared" si="104"/>
        <v>40</v>
      </c>
      <c r="N721" s="333" t="e">
        <f t="shared" si="105"/>
        <v>#DIV/0!</v>
      </c>
      <c r="O721" s="333" t="e">
        <f t="shared" si="106"/>
        <v>#DIV/0!</v>
      </c>
      <c r="P721" s="334" t="e">
        <f t="shared" si="107"/>
        <v>#DIV/0!</v>
      </c>
      <c r="Q721" s="334" t="e">
        <f t="shared" si="108"/>
        <v>#DIV/0!</v>
      </c>
    </row>
    <row r="722" spans="2:17" x14ac:dyDescent="0.3">
      <c r="B722" s="333">
        <v>80</v>
      </c>
      <c r="C722" s="333"/>
      <c r="D722" s="333"/>
      <c r="E722" s="333"/>
      <c r="F722" s="333"/>
      <c r="G722" s="333"/>
      <c r="H722" s="333"/>
      <c r="I722" s="333"/>
      <c r="J722" s="333"/>
      <c r="K722" s="333"/>
      <c r="L722" s="361"/>
      <c r="M722" s="333">
        <f t="shared" si="104"/>
        <v>40</v>
      </c>
      <c r="N722" s="333" t="e">
        <f t="shared" si="105"/>
        <v>#DIV/0!</v>
      </c>
      <c r="O722" s="333" t="e">
        <f t="shared" si="106"/>
        <v>#DIV/0!</v>
      </c>
      <c r="P722" s="334" t="e">
        <f t="shared" si="107"/>
        <v>#DIV/0!</v>
      </c>
      <c r="Q722" s="334" t="e">
        <f t="shared" si="108"/>
        <v>#DIV/0!</v>
      </c>
    </row>
    <row r="723" spans="2:17" x14ac:dyDescent="0.3">
      <c r="B723" s="333">
        <v>80</v>
      </c>
      <c r="C723" s="333"/>
      <c r="D723" s="333"/>
      <c r="E723" s="333"/>
      <c r="F723" s="333"/>
      <c r="G723" s="333"/>
      <c r="H723" s="333"/>
      <c r="I723" s="333"/>
      <c r="J723" s="333"/>
      <c r="K723" s="333"/>
      <c r="L723" s="361"/>
      <c r="M723" s="333">
        <f t="shared" si="104"/>
        <v>40</v>
      </c>
      <c r="N723" s="333" t="e">
        <f t="shared" si="105"/>
        <v>#DIV/0!</v>
      </c>
      <c r="O723" s="333" t="e">
        <f t="shared" si="106"/>
        <v>#DIV/0!</v>
      </c>
      <c r="P723" s="334" t="e">
        <f t="shared" si="107"/>
        <v>#DIV/0!</v>
      </c>
      <c r="Q723" s="334" t="e">
        <f t="shared" si="108"/>
        <v>#DIV/0!</v>
      </c>
    </row>
    <row r="724" spans="2:17" x14ac:dyDescent="0.3">
      <c r="B724" s="333">
        <v>80</v>
      </c>
      <c r="C724" s="333"/>
      <c r="D724" s="333"/>
      <c r="E724" s="333"/>
      <c r="F724" s="333"/>
      <c r="G724" s="333"/>
      <c r="H724" s="333"/>
      <c r="I724" s="333"/>
      <c r="J724" s="333"/>
      <c r="K724" s="333"/>
      <c r="L724" s="361"/>
      <c r="M724" s="333">
        <f t="shared" si="104"/>
        <v>40</v>
      </c>
      <c r="N724" s="333" t="e">
        <f t="shared" si="105"/>
        <v>#DIV/0!</v>
      </c>
      <c r="O724" s="333" t="e">
        <f t="shared" si="106"/>
        <v>#DIV/0!</v>
      </c>
      <c r="P724" s="334" t="e">
        <f t="shared" si="107"/>
        <v>#DIV/0!</v>
      </c>
      <c r="Q724" s="334" t="e">
        <f t="shared" si="108"/>
        <v>#DIV/0!</v>
      </c>
    </row>
    <row r="725" spans="2:17" x14ac:dyDescent="0.3">
      <c r="B725" s="333">
        <v>80</v>
      </c>
      <c r="C725" s="333"/>
      <c r="D725" s="333"/>
      <c r="E725" s="333"/>
      <c r="F725" s="333"/>
      <c r="G725" s="333"/>
      <c r="H725" s="333"/>
      <c r="I725" s="333"/>
      <c r="J725" s="333"/>
      <c r="K725" s="333"/>
      <c r="L725" s="361"/>
      <c r="M725" s="333">
        <f t="shared" si="104"/>
        <v>40</v>
      </c>
      <c r="N725" s="333" t="e">
        <f t="shared" si="105"/>
        <v>#DIV/0!</v>
      </c>
      <c r="O725" s="333" t="e">
        <f t="shared" si="106"/>
        <v>#DIV/0!</v>
      </c>
      <c r="P725" s="334" t="e">
        <f t="shared" si="107"/>
        <v>#DIV/0!</v>
      </c>
      <c r="Q725" s="334" t="e">
        <f t="shared" si="108"/>
        <v>#DIV/0!</v>
      </c>
    </row>
    <row r="726" spans="2:17" x14ac:dyDescent="0.3">
      <c r="B726" s="333">
        <v>80</v>
      </c>
      <c r="C726" s="333"/>
      <c r="D726" s="333"/>
      <c r="E726" s="333"/>
      <c r="F726" s="333"/>
      <c r="G726" s="333"/>
      <c r="H726" s="333"/>
      <c r="I726" s="333"/>
      <c r="J726" s="333"/>
      <c r="K726" s="333"/>
      <c r="L726" s="361"/>
      <c r="M726" s="333">
        <f t="shared" si="104"/>
        <v>40</v>
      </c>
      <c r="N726" s="333" t="e">
        <f t="shared" si="105"/>
        <v>#DIV/0!</v>
      </c>
      <c r="O726" s="333" t="e">
        <f t="shared" si="106"/>
        <v>#DIV/0!</v>
      </c>
      <c r="P726" s="334" t="e">
        <f t="shared" si="107"/>
        <v>#DIV/0!</v>
      </c>
      <c r="Q726" s="334" t="e">
        <f t="shared" si="108"/>
        <v>#DIV/0!</v>
      </c>
    </row>
    <row r="730" spans="2:17" x14ac:dyDescent="0.3">
      <c r="B730" s="451" t="s">
        <v>761</v>
      </c>
      <c r="C730" s="452"/>
      <c r="D730" s="452"/>
      <c r="E730" s="452"/>
      <c r="F730" s="452"/>
      <c r="G730" s="452"/>
      <c r="H730" s="452"/>
      <c r="I730" s="452"/>
      <c r="J730" s="452"/>
      <c r="K730" s="452"/>
      <c r="L730" s="361"/>
      <c r="M730" s="451" t="s">
        <v>762</v>
      </c>
      <c r="N730" s="452"/>
      <c r="O730" s="452"/>
      <c r="P730" s="407" t="s">
        <v>763</v>
      </c>
      <c r="Q730" s="409"/>
    </row>
    <row r="731" spans="2:17" x14ac:dyDescent="0.3">
      <c r="B731" s="230" t="s">
        <v>222</v>
      </c>
      <c r="C731" s="230" t="s">
        <v>779</v>
      </c>
      <c r="D731" s="230" t="s">
        <v>223</v>
      </c>
      <c r="E731" s="230" t="s">
        <v>224</v>
      </c>
      <c r="F731" s="230" t="s">
        <v>225</v>
      </c>
      <c r="G731" s="230" t="s">
        <v>226</v>
      </c>
      <c r="H731" s="230" t="s">
        <v>227</v>
      </c>
      <c r="I731" s="230" t="s">
        <v>789</v>
      </c>
      <c r="J731" s="230" t="s">
        <v>790</v>
      </c>
      <c r="K731" s="230" t="s">
        <v>230</v>
      </c>
      <c r="L731" s="361"/>
      <c r="M731" s="230" t="s">
        <v>764</v>
      </c>
      <c r="N731" s="230" t="s">
        <v>437</v>
      </c>
      <c r="O731" s="230" t="s">
        <v>438</v>
      </c>
      <c r="P731" s="226" t="s">
        <v>437</v>
      </c>
      <c r="Q731" s="226" t="s">
        <v>438</v>
      </c>
    </row>
    <row r="732" spans="2:17" x14ac:dyDescent="0.3">
      <c r="B732" s="333">
        <v>0</v>
      </c>
      <c r="C732" s="333"/>
      <c r="D732" s="333"/>
      <c r="E732" s="333"/>
      <c r="F732" s="333"/>
      <c r="G732" s="333"/>
      <c r="H732" s="333"/>
      <c r="I732" s="333"/>
      <c r="J732" s="333"/>
      <c r="K732" s="333"/>
      <c r="L732" s="361"/>
      <c r="M732" s="333">
        <f t="shared" ref="M732:M795" si="109">B732/2</f>
        <v>0</v>
      </c>
      <c r="N732" s="333" t="e">
        <f>(SUM(C732:E732)-SUM($C$191:$E$191))*$F$71</f>
        <v>#DIV/0!</v>
      </c>
      <c r="O732" s="333" t="e">
        <f>(SUM(F732:H732)-SUM($F$191:$H$191))*$G$71</f>
        <v>#DIV/0!</v>
      </c>
      <c r="P732" s="334" t="e">
        <f>N732-M732</f>
        <v>#DIV/0!</v>
      </c>
      <c r="Q732" s="334" t="e">
        <f>O732-M732</f>
        <v>#DIV/0!</v>
      </c>
    </row>
    <row r="733" spans="2:17" x14ac:dyDescent="0.3">
      <c r="B733" s="333">
        <v>0</v>
      </c>
      <c r="C733" s="333"/>
      <c r="D733" s="333"/>
      <c r="E733" s="333"/>
      <c r="F733" s="333"/>
      <c r="G733" s="333"/>
      <c r="H733" s="333"/>
      <c r="I733" s="333"/>
      <c r="J733" s="333"/>
      <c r="K733" s="333"/>
      <c r="L733" s="361"/>
      <c r="M733" s="333">
        <f t="shared" si="109"/>
        <v>0</v>
      </c>
      <c r="N733" s="333" t="e">
        <f>(SUM(C733:E733)-SUM($C$191:$E$191))*$F$71</f>
        <v>#DIV/0!</v>
      </c>
      <c r="O733" s="333" t="e">
        <f>(SUM(F733:H733)-SUM($F$191:$H$191))*$G$71</f>
        <v>#DIV/0!</v>
      </c>
      <c r="P733" s="334" t="e">
        <f>N733-M733</f>
        <v>#DIV/0!</v>
      </c>
      <c r="Q733" s="334" t="e">
        <f>O733-M733</f>
        <v>#DIV/0!</v>
      </c>
    </row>
    <row r="734" spans="2:17" x14ac:dyDescent="0.3">
      <c r="B734" s="333">
        <v>0</v>
      </c>
      <c r="C734" s="333"/>
      <c r="D734" s="333"/>
      <c r="E734" s="333"/>
      <c r="F734" s="333"/>
      <c r="G734" s="333"/>
      <c r="H734" s="333"/>
      <c r="I734" s="333"/>
      <c r="J734" s="333"/>
      <c r="K734" s="333"/>
      <c r="L734" s="361"/>
      <c r="M734" s="333">
        <f t="shared" si="109"/>
        <v>0</v>
      </c>
      <c r="N734" s="333" t="e">
        <f t="shared" ref="N734:N797" si="110">(SUM(C734:E734)-SUM($C$191:$E$191))*$F$71</f>
        <v>#DIV/0!</v>
      </c>
      <c r="O734" s="333" t="e">
        <f t="shared" ref="O734:O797" si="111">(SUM(F734:H734)-SUM($F$191:$H$191))*$G$71</f>
        <v>#DIV/0!</v>
      </c>
      <c r="P734" s="334" t="e">
        <f t="shared" ref="P734:P797" si="112">N734-M734</f>
        <v>#DIV/0!</v>
      </c>
      <c r="Q734" s="334" t="e">
        <f t="shared" ref="Q734:Q797" si="113">O734-M734</f>
        <v>#DIV/0!</v>
      </c>
    </row>
    <row r="735" spans="2:17" x14ac:dyDescent="0.3">
      <c r="B735" s="333">
        <v>0</v>
      </c>
      <c r="C735" s="333"/>
      <c r="D735" s="333"/>
      <c r="E735" s="333"/>
      <c r="F735" s="333"/>
      <c r="G735" s="333"/>
      <c r="H735" s="333"/>
      <c r="I735" s="333"/>
      <c r="J735" s="333"/>
      <c r="K735" s="333"/>
      <c r="L735" s="361"/>
      <c r="M735" s="333">
        <f t="shared" si="109"/>
        <v>0</v>
      </c>
      <c r="N735" s="333" t="e">
        <f t="shared" si="110"/>
        <v>#DIV/0!</v>
      </c>
      <c r="O735" s="333" t="e">
        <f t="shared" si="111"/>
        <v>#DIV/0!</v>
      </c>
      <c r="P735" s="334" t="e">
        <f t="shared" si="112"/>
        <v>#DIV/0!</v>
      </c>
      <c r="Q735" s="334" t="e">
        <f t="shared" si="113"/>
        <v>#DIV/0!</v>
      </c>
    </row>
    <row r="736" spans="2:17" x14ac:dyDescent="0.3">
      <c r="B736" s="333">
        <v>0</v>
      </c>
      <c r="C736" s="333"/>
      <c r="D736" s="333"/>
      <c r="E736" s="333"/>
      <c r="F736" s="333"/>
      <c r="G736" s="333"/>
      <c r="H736" s="333"/>
      <c r="I736" s="333"/>
      <c r="J736" s="333"/>
      <c r="K736" s="333"/>
      <c r="L736" s="361"/>
      <c r="M736" s="333">
        <f t="shared" si="109"/>
        <v>0</v>
      </c>
      <c r="N736" s="333" t="e">
        <f t="shared" si="110"/>
        <v>#DIV/0!</v>
      </c>
      <c r="O736" s="333" t="e">
        <f t="shared" si="111"/>
        <v>#DIV/0!</v>
      </c>
      <c r="P736" s="334" t="e">
        <f t="shared" si="112"/>
        <v>#DIV/0!</v>
      </c>
      <c r="Q736" s="334" t="e">
        <f t="shared" si="113"/>
        <v>#DIV/0!</v>
      </c>
    </row>
    <row r="737" spans="2:17" x14ac:dyDescent="0.3">
      <c r="B737" s="333">
        <v>0</v>
      </c>
      <c r="C737" s="333"/>
      <c r="D737" s="333"/>
      <c r="E737" s="333"/>
      <c r="F737" s="333"/>
      <c r="G737" s="333"/>
      <c r="H737" s="333"/>
      <c r="I737" s="333"/>
      <c r="J737" s="333"/>
      <c r="K737" s="333"/>
      <c r="L737" s="361"/>
      <c r="M737" s="333">
        <f t="shared" si="109"/>
        <v>0</v>
      </c>
      <c r="N737" s="333" t="e">
        <f t="shared" si="110"/>
        <v>#DIV/0!</v>
      </c>
      <c r="O737" s="333" t="e">
        <f t="shared" si="111"/>
        <v>#DIV/0!</v>
      </c>
      <c r="P737" s="334" t="e">
        <f t="shared" si="112"/>
        <v>#DIV/0!</v>
      </c>
      <c r="Q737" s="334" t="e">
        <f t="shared" si="113"/>
        <v>#DIV/0!</v>
      </c>
    </row>
    <row r="738" spans="2:17" x14ac:dyDescent="0.3">
      <c r="B738" s="333">
        <v>0</v>
      </c>
      <c r="C738" s="333"/>
      <c r="D738" s="333"/>
      <c r="E738" s="333"/>
      <c r="F738" s="333"/>
      <c r="G738" s="333"/>
      <c r="H738" s="333"/>
      <c r="I738" s="333"/>
      <c r="J738" s="333"/>
      <c r="K738" s="333"/>
      <c r="L738" s="361"/>
      <c r="M738" s="333">
        <f t="shared" si="109"/>
        <v>0</v>
      </c>
      <c r="N738" s="333" t="e">
        <f t="shared" si="110"/>
        <v>#DIV/0!</v>
      </c>
      <c r="O738" s="333" t="e">
        <f t="shared" si="111"/>
        <v>#DIV/0!</v>
      </c>
      <c r="P738" s="334" t="e">
        <f t="shared" si="112"/>
        <v>#DIV/0!</v>
      </c>
      <c r="Q738" s="334" t="e">
        <f t="shared" si="113"/>
        <v>#DIV/0!</v>
      </c>
    </row>
    <row r="739" spans="2:17" x14ac:dyDescent="0.3">
      <c r="B739" s="333">
        <v>0</v>
      </c>
      <c r="C739" s="333"/>
      <c r="D739" s="333"/>
      <c r="E739" s="333"/>
      <c r="F739" s="333"/>
      <c r="G739" s="333"/>
      <c r="H739" s="333"/>
      <c r="I739" s="333"/>
      <c r="J739" s="333"/>
      <c r="K739" s="333"/>
      <c r="L739" s="361"/>
      <c r="M739" s="333">
        <f t="shared" si="109"/>
        <v>0</v>
      </c>
      <c r="N739" s="333" t="e">
        <f t="shared" si="110"/>
        <v>#DIV/0!</v>
      </c>
      <c r="O739" s="333" t="e">
        <f t="shared" si="111"/>
        <v>#DIV/0!</v>
      </c>
      <c r="P739" s="334" t="e">
        <f t="shared" si="112"/>
        <v>#DIV/0!</v>
      </c>
      <c r="Q739" s="334" t="e">
        <f t="shared" si="113"/>
        <v>#DIV/0!</v>
      </c>
    </row>
    <row r="740" spans="2:17" x14ac:dyDescent="0.3">
      <c r="B740" s="333">
        <v>0</v>
      </c>
      <c r="C740" s="333"/>
      <c r="D740" s="333"/>
      <c r="E740" s="333"/>
      <c r="F740" s="333"/>
      <c r="G740" s="333"/>
      <c r="H740" s="333"/>
      <c r="I740" s="333"/>
      <c r="J740" s="333"/>
      <c r="K740" s="333"/>
      <c r="L740" s="361"/>
      <c r="M740" s="333">
        <f t="shared" si="109"/>
        <v>0</v>
      </c>
      <c r="N740" s="333" t="e">
        <f t="shared" si="110"/>
        <v>#DIV/0!</v>
      </c>
      <c r="O740" s="333" t="e">
        <f t="shared" si="111"/>
        <v>#DIV/0!</v>
      </c>
      <c r="P740" s="334" t="e">
        <f t="shared" si="112"/>
        <v>#DIV/0!</v>
      </c>
      <c r="Q740" s="334" t="e">
        <f t="shared" si="113"/>
        <v>#DIV/0!</v>
      </c>
    </row>
    <row r="741" spans="2:17" x14ac:dyDescent="0.3">
      <c r="B741" s="333">
        <v>0</v>
      </c>
      <c r="C741" s="333"/>
      <c r="D741" s="333"/>
      <c r="E741" s="333"/>
      <c r="F741" s="333"/>
      <c r="G741" s="333"/>
      <c r="H741" s="333"/>
      <c r="I741" s="333"/>
      <c r="J741" s="333"/>
      <c r="K741" s="333"/>
      <c r="L741" s="361"/>
      <c r="M741" s="333">
        <f t="shared" si="109"/>
        <v>0</v>
      </c>
      <c r="N741" s="333" t="e">
        <f t="shared" si="110"/>
        <v>#DIV/0!</v>
      </c>
      <c r="O741" s="333" t="e">
        <f t="shared" si="111"/>
        <v>#DIV/0!</v>
      </c>
      <c r="P741" s="334" t="e">
        <f t="shared" si="112"/>
        <v>#DIV/0!</v>
      </c>
      <c r="Q741" s="334" t="e">
        <f t="shared" si="113"/>
        <v>#DIV/0!</v>
      </c>
    </row>
    <row r="742" spans="2:17" x14ac:dyDescent="0.3">
      <c r="B742" s="333">
        <v>0</v>
      </c>
      <c r="C742" s="333"/>
      <c r="D742" s="333"/>
      <c r="E742" s="333"/>
      <c r="F742" s="333"/>
      <c r="G742" s="333"/>
      <c r="H742" s="333"/>
      <c r="I742" s="333"/>
      <c r="J742" s="333"/>
      <c r="K742" s="333"/>
      <c r="L742" s="361"/>
      <c r="M742" s="333">
        <f t="shared" si="109"/>
        <v>0</v>
      </c>
      <c r="N742" s="333" t="e">
        <f t="shared" si="110"/>
        <v>#DIV/0!</v>
      </c>
      <c r="O742" s="333" t="e">
        <f t="shared" si="111"/>
        <v>#DIV/0!</v>
      </c>
      <c r="P742" s="334" t="e">
        <f t="shared" si="112"/>
        <v>#DIV/0!</v>
      </c>
      <c r="Q742" s="334" t="e">
        <f t="shared" si="113"/>
        <v>#DIV/0!</v>
      </c>
    </row>
    <row r="743" spans="2:17" x14ac:dyDescent="0.3">
      <c r="B743" s="333">
        <v>0</v>
      </c>
      <c r="C743" s="333"/>
      <c r="D743" s="333"/>
      <c r="E743" s="333"/>
      <c r="F743" s="333"/>
      <c r="G743" s="333"/>
      <c r="H743" s="333"/>
      <c r="I743" s="333"/>
      <c r="J743" s="333"/>
      <c r="K743" s="333"/>
      <c r="L743" s="361"/>
      <c r="M743" s="333">
        <f t="shared" si="109"/>
        <v>0</v>
      </c>
      <c r="N743" s="333" t="e">
        <f t="shared" si="110"/>
        <v>#DIV/0!</v>
      </c>
      <c r="O743" s="333" t="e">
        <f t="shared" si="111"/>
        <v>#DIV/0!</v>
      </c>
      <c r="P743" s="334" t="e">
        <f t="shared" si="112"/>
        <v>#DIV/0!</v>
      </c>
      <c r="Q743" s="334" t="e">
        <f t="shared" si="113"/>
        <v>#DIV/0!</v>
      </c>
    </row>
    <row r="744" spans="2:17" x14ac:dyDescent="0.3">
      <c r="B744" s="333">
        <v>0</v>
      </c>
      <c r="C744" s="333"/>
      <c r="D744" s="333"/>
      <c r="E744" s="333"/>
      <c r="F744" s="333"/>
      <c r="G744" s="333"/>
      <c r="H744" s="333"/>
      <c r="I744" s="333"/>
      <c r="J744" s="333"/>
      <c r="K744" s="333"/>
      <c r="L744" s="361"/>
      <c r="M744" s="333">
        <f t="shared" si="109"/>
        <v>0</v>
      </c>
      <c r="N744" s="333" t="e">
        <f t="shared" si="110"/>
        <v>#DIV/0!</v>
      </c>
      <c r="O744" s="333" t="e">
        <f t="shared" si="111"/>
        <v>#DIV/0!</v>
      </c>
      <c r="P744" s="334" t="e">
        <f t="shared" si="112"/>
        <v>#DIV/0!</v>
      </c>
      <c r="Q744" s="334" t="e">
        <f t="shared" si="113"/>
        <v>#DIV/0!</v>
      </c>
    </row>
    <row r="745" spans="2:17" x14ac:dyDescent="0.3">
      <c r="B745" s="333">
        <v>0</v>
      </c>
      <c r="C745" s="333"/>
      <c r="D745" s="333"/>
      <c r="E745" s="333"/>
      <c r="F745" s="333"/>
      <c r="G745" s="333"/>
      <c r="H745" s="333"/>
      <c r="I745" s="333"/>
      <c r="J745" s="333"/>
      <c r="K745" s="333"/>
      <c r="L745" s="361"/>
      <c r="M745" s="333">
        <f t="shared" si="109"/>
        <v>0</v>
      </c>
      <c r="N745" s="333" t="e">
        <f t="shared" si="110"/>
        <v>#DIV/0!</v>
      </c>
      <c r="O745" s="333" t="e">
        <f t="shared" si="111"/>
        <v>#DIV/0!</v>
      </c>
      <c r="P745" s="334" t="e">
        <f t="shared" si="112"/>
        <v>#DIV/0!</v>
      </c>
      <c r="Q745" s="334" t="e">
        <f t="shared" si="113"/>
        <v>#DIV/0!</v>
      </c>
    </row>
    <row r="746" spans="2:17" x14ac:dyDescent="0.3">
      <c r="B746" s="333">
        <v>0</v>
      </c>
      <c r="C746" s="333"/>
      <c r="D746" s="333"/>
      <c r="E746" s="333"/>
      <c r="F746" s="333"/>
      <c r="G746" s="333"/>
      <c r="H746" s="333"/>
      <c r="I746" s="333"/>
      <c r="J746" s="333"/>
      <c r="K746" s="333"/>
      <c r="L746" s="361"/>
      <c r="M746" s="333">
        <f t="shared" si="109"/>
        <v>0</v>
      </c>
      <c r="N746" s="333" t="e">
        <f t="shared" si="110"/>
        <v>#DIV/0!</v>
      </c>
      <c r="O746" s="333" t="e">
        <f t="shared" si="111"/>
        <v>#DIV/0!</v>
      </c>
      <c r="P746" s="334" t="e">
        <f t="shared" si="112"/>
        <v>#DIV/0!</v>
      </c>
      <c r="Q746" s="334" t="e">
        <f t="shared" si="113"/>
        <v>#DIV/0!</v>
      </c>
    </row>
    <row r="747" spans="2:17" x14ac:dyDescent="0.3">
      <c r="B747" s="333">
        <v>0</v>
      </c>
      <c r="C747" s="333"/>
      <c r="D747" s="333"/>
      <c r="E747" s="333"/>
      <c r="F747" s="333"/>
      <c r="G747" s="333"/>
      <c r="H747" s="333"/>
      <c r="I747" s="333"/>
      <c r="J747" s="333"/>
      <c r="K747" s="333"/>
      <c r="L747" s="361"/>
      <c r="M747" s="333">
        <f t="shared" si="109"/>
        <v>0</v>
      </c>
      <c r="N747" s="333" t="e">
        <f t="shared" si="110"/>
        <v>#DIV/0!</v>
      </c>
      <c r="O747" s="333" t="e">
        <f t="shared" si="111"/>
        <v>#DIV/0!</v>
      </c>
      <c r="P747" s="334" t="e">
        <f t="shared" si="112"/>
        <v>#DIV/0!</v>
      </c>
      <c r="Q747" s="334" t="e">
        <f t="shared" si="113"/>
        <v>#DIV/0!</v>
      </c>
    </row>
    <row r="748" spans="2:17" x14ac:dyDescent="0.3">
      <c r="B748" s="333">
        <v>0</v>
      </c>
      <c r="C748" s="333"/>
      <c r="D748" s="333"/>
      <c r="E748" s="333"/>
      <c r="F748" s="333"/>
      <c r="G748" s="333"/>
      <c r="H748" s="333"/>
      <c r="I748" s="333"/>
      <c r="J748" s="333"/>
      <c r="K748" s="333"/>
      <c r="L748" s="361"/>
      <c r="M748" s="333">
        <f t="shared" si="109"/>
        <v>0</v>
      </c>
      <c r="N748" s="333" t="e">
        <f t="shared" si="110"/>
        <v>#DIV/0!</v>
      </c>
      <c r="O748" s="333" t="e">
        <f t="shared" si="111"/>
        <v>#DIV/0!</v>
      </c>
      <c r="P748" s="334" t="e">
        <f t="shared" si="112"/>
        <v>#DIV/0!</v>
      </c>
      <c r="Q748" s="334" t="e">
        <f t="shared" si="113"/>
        <v>#DIV/0!</v>
      </c>
    </row>
    <row r="749" spans="2:17" x14ac:dyDescent="0.3">
      <c r="B749" s="333">
        <v>0</v>
      </c>
      <c r="C749" s="333"/>
      <c r="D749" s="333"/>
      <c r="E749" s="333"/>
      <c r="F749" s="333"/>
      <c r="G749" s="333"/>
      <c r="H749" s="333"/>
      <c r="I749" s="333"/>
      <c r="J749" s="333"/>
      <c r="K749" s="333"/>
      <c r="L749" s="361"/>
      <c r="M749" s="333">
        <f t="shared" si="109"/>
        <v>0</v>
      </c>
      <c r="N749" s="333" t="e">
        <f t="shared" si="110"/>
        <v>#DIV/0!</v>
      </c>
      <c r="O749" s="333" t="e">
        <f t="shared" si="111"/>
        <v>#DIV/0!</v>
      </c>
      <c r="P749" s="334" t="e">
        <f t="shared" si="112"/>
        <v>#DIV/0!</v>
      </c>
      <c r="Q749" s="334" t="e">
        <f t="shared" si="113"/>
        <v>#DIV/0!</v>
      </c>
    </row>
    <row r="750" spans="2:17" x14ac:dyDescent="0.3">
      <c r="B750" s="333">
        <v>0</v>
      </c>
      <c r="C750" s="333"/>
      <c r="D750" s="333"/>
      <c r="E750" s="333"/>
      <c r="F750" s="333"/>
      <c r="G750" s="333"/>
      <c r="H750" s="333"/>
      <c r="I750" s="333"/>
      <c r="J750" s="333"/>
      <c r="K750" s="333"/>
      <c r="L750" s="361"/>
      <c r="M750" s="333">
        <f t="shared" si="109"/>
        <v>0</v>
      </c>
      <c r="N750" s="333" t="e">
        <f t="shared" si="110"/>
        <v>#DIV/0!</v>
      </c>
      <c r="O750" s="333" t="e">
        <f t="shared" si="111"/>
        <v>#DIV/0!</v>
      </c>
      <c r="P750" s="334" t="e">
        <f t="shared" si="112"/>
        <v>#DIV/0!</v>
      </c>
      <c r="Q750" s="334" t="e">
        <f t="shared" si="113"/>
        <v>#DIV/0!</v>
      </c>
    </row>
    <row r="751" spans="2:17" x14ac:dyDescent="0.3">
      <c r="B751" s="333">
        <v>0</v>
      </c>
      <c r="C751" s="333"/>
      <c r="D751" s="333"/>
      <c r="E751" s="333"/>
      <c r="F751" s="333"/>
      <c r="G751" s="333"/>
      <c r="H751" s="333"/>
      <c r="I751" s="333"/>
      <c r="J751" s="333"/>
      <c r="K751" s="333"/>
      <c r="L751" s="361"/>
      <c r="M751" s="333">
        <f t="shared" si="109"/>
        <v>0</v>
      </c>
      <c r="N751" s="333" t="e">
        <f t="shared" si="110"/>
        <v>#DIV/0!</v>
      </c>
      <c r="O751" s="333" t="e">
        <f t="shared" si="111"/>
        <v>#DIV/0!</v>
      </c>
      <c r="P751" s="334" t="e">
        <f t="shared" si="112"/>
        <v>#DIV/0!</v>
      </c>
      <c r="Q751" s="334" t="e">
        <f t="shared" si="113"/>
        <v>#DIV/0!</v>
      </c>
    </row>
    <row r="752" spans="2:17" x14ac:dyDescent="0.3">
      <c r="B752" s="333">
        <v>10</v>
      </c>
      <c r="C752" s="333"/>
      <c r="D752" s="333"/>
      <c r="E752" s="333"/>
      <c r="F752" s="333"/>
      <c r="G752" s="333"/>
      <c r="H752" s="333"/>
      <c r="I752" s="333"/>
      <c r="J752" s="333"/>
      <c r="K752" s="333"/>
      <c r="L752" s="361"/>
      <c r="M752" s="333">
        <f t="shared" si="109"/>
        <v>5</v>
      </c>
      <c r="N752" s="333" t="e">
        <f t="shared" si="110"/>
        <v>#DIV/0!</v>
      </c>
      <c r="O752" s="333" t="e">
        <f t="shared" si="111"/>
        <v>#DIV/0!</v>
      </c>
      <c r="P752" s="334" t="e">
        <f t="shared" si="112"/>
        <v>#DIV/0!</v>
      </c>
      <c r="Q752" s="334" t="e">
        <f t="shared" si="113"/>
        <v>#DIV/0!</v>
      </c>
    </row>
    <row r="753" spans="2:17" x14ac:dyDescent="0.3">
      <c r="B753" s="333">
        <v>10</v>
      </c>
      <c r="C753" s="333"/>
      <c r="D753" s="333"/>
      <c r="E753" s="333"/>
      <c r="F753" s="333"/>
      <c r="G753" s="333"/>
      <c r="H753" s="333"/>
      <c r="I753" s="333"/>
      <c r="J753" s="333"/>
      <c r="K753" s="333"/>
      <c r="L753" s="361"/>
      <c r="M753" s="333">
        <f t="shared" si="109"/>
        <v>5</v>
      </c>
      <c r="N753" s="333" t="e">
        <f t="shared" si="110"/>
        <v>#DIV/0!</v>
      </c>
      <c r="O753" s="333" t="e">
        <f t="shared" si="111"/>
        <v>#DIV/0!</v>
      </c>
      <c r="P753" s="334" t="e">
        <f t="shared" si="112"/>
        <v>#DIV/0!</v>
      </c>
      <c r="Q753" s="334" t="e">
        <f t="shared" si="113"/>
        <v>#DIV/0!</v>
      </c>
    </row>
    <row r="754" spans="2:17" x14ac:dyDescent="0.3">
      <c r="B754" s="333">
        <v>10</v>
      </c>
      <c r="C754" s="333"/>
      <c r="D754" s="333"/>
      <c r="E754" s="333"/>
      <c r="F754" s="333"/>
      <c r="G754" s="333"/>
      <c r="H754" s="333"/>
      <c r="I754" s="333"/>
      <c r="J754" s="333"/>
      <c r="K754" s="333"/>
      <c r="L754" s="361"/>
      <c r="M754" s="333">
        <f t="shared" si="109"/>
        <v>5</v>
      </c>
      <c r="N754" s="333" t="e">
        <f t="shared" si="110"/>
        <v>#DIV/0!</v>
      </c>
      <c r="O754" s="333" t="e">
        <f t="shared" si="111"/>
        <v>#DIV/0!</v>
      </c>
      <c r="P754" s="334" t="e">
        <f t="shared" si="112"/>
        <v>#DIV/0!</v>
      </c>
      <c r="Q754" s="334" t="e">
        <f t="shared" si="113"/>
        <v>#DIV/0!</v>
      </c>
    </row>
    <row r="755" spans="2:17" x14ac:dyDescent="0.3">
      <c r="B755" s="333">
        <v>10</v>
      </c>
      <c r="C755" s="333"/>
      <c r="D755" s="333"/>
      <c r="E755" s="333"/>
      <c r="F755" s="333"/>
      <c r="G755" s="333"/>
      <c r="H755" s="333"/>
      <c r="I755" s="333"/>
      <c r="J755" s="333"/>
      <c r="K755" s="333"/>
      <c r="L755" s="361"/>
      <c r="M755" s="333">
        <f t="shared" si="109"/>
        <v>5</v>
      </c>
      <c r="N755" s="333" t="e">
        <f t="shared" si="110"/>
        <v>#DIV/0!</v>
      </c>
      <c r="O755" s="333" t="e">
        <f t="shared" si="111"/>
        <v>#DIV/0!</v>
      </c>
      <c r="P755" s="334" t="e">
        <f t="shared" si="112"/>
        <v>#DIV/0!</v>
      </c>
      <c r="Q755" s="334" t="e">
        <f t="shared" si="113"/>
        <v>#DIV/0!</v>
      </c>
    </row>
    <row r="756" spans="2:17" x14ac:dyDescent="0.3">
      <c r="B756" s="333">
        <v>10</v>
      </c>
      <c r="C756" s="333"/>
      <c r="D756" s="333"/>
      <c r="E756" s="333"/>
      <c r="F756" s="333"/>
      <c r="G756" s="333"/>
      <c r="H756" s="333"/>
      <c r="I756" s="333"/>
      <c r="J756" s="333"/>
      <c r="K756" s="333"/>
      <c r="L756" s="361"/>
      <c r="M756" s="333">
        <f t="shared" si="109"/>
        <v>5</v>
      </c>
      <c r="N756" s="333" t="e">
        <f t="shared" si="110"/>
        <v>#DIV/0!</v>
      </c>
      <c r="O756" s="333" t="e">
        <f t="shared" si="111"/>
        <v>#DIV/0!</v>
      </c>
      <c r="P756" s="334" t="e">
        <f t="shared" si="112"/>
        <v>#DIV/0!</v>
      </c>
      <c r="Q756" s="334" t="e">
        <f t="shared" si="113"/>
        <v>#DIV/0!</v>
      </c>
    </row>
    <row r="757" spans="2:17" x14ac:dyDescent="0.3">
      <c r="B757" s="333">
        <v>10</v>
      </c>
      <c r="C757" s="333"/>
      <c r="D757" s="333"/>
      <c r="E757" s="333"/>
      <c r="F757" s="333"/>
      <c r="G757" s="333"/>
      <c r="H757" s="333"/>
      <c r="I757" s="333"/>
      <c r="J757" s="333"/>
      <c r="K757" s="333"/>
      <c r="L757" s="361"/>
      <c r="M757" s="333">
        <f t="shared" si="109"/>
        <v>5</v>
      </c>
      <c r="N757" s="333" t="e">
        <f t="shared" si="110"/>
        <v>#DIV/0!</v>
      </c>
      <c r="O757" s="333" t="e">
        <f t="shared" si="111"/>
        <v>#DIV/0!</v>
      </c>
      <c r="P757" s="334" t="e">
        <f t="shared" si="112"/>
        <v>#DIV/0!</v>
      </c>
      <c r="Q757" s="334" t="e">
        <f t="shared" si="113"/>
        <v>#DIV/0!</v>
      </c>
    </row>
    <row r="758" spans="2:17" x14ac:dyDescent="0.3">
      <c r="B758" s="333">
        <v>10</v>
      </c>
      <c r="C758" s="333"/>
      <c r="D758" s="333"/>
      <c r="E758" s="333"/>
      <c r="F758" s="333"/>
      <c r="G758" s="333"/>
      <c r="H758" s="333"/>
      <c r="I758" s="333"/>
      <c r="J758" s="333"/>
      <c r="K758" s="333"/>
      <c r="L758" s="361"/>
      <c r="M758" s="333">
        <f t="shared" si="109"/>
        <v>5</v>
      </c>
      <c r="N758" s="333" t="e">
        <f t="shared" si="110"/>
        <v>#DIV/0!</v>
      </c>
      <c r="O758" s="333" t="e">
        <f t="shared" si="111"/>
        <v>#DIV/0!</v>
      </c>
      <c r="P758" s="334" t="e">
        <f t="shared" si="112"/>
        <v>#DIV/0!</v>
      </c>
      <c r="Q758" s="334" t="e">
        <f t="shared" si="113"/>
        <v>#DIV/0!</v>
      </c>
    </row>
    <row r="759" spans="2:17" x14ac:dyDescent="0.3">
      <c r="B759" s="333">
        <v>10</v>
      </c>
      <c r="C759" s="333"/>
      <c r="D759" s="333"/>
      <c r="E759" s="333"/>
      <c r="F759" s="333"/>
      <c r="G759" s="333"/>
      <c r="H759" s="333"/>
      <c r="I759" s="333"/>
      <c r="J759" s="333"/>
      <c r="K759" s="333"/>
      <c r="L759" s="361"/>
      <c r="M759" s="333">
        <f t="shared" si="109"/>
        <v>5</v>
      </c>
      <c r="N759" s="333" t="e">
        <f t="shared" si="110"/>
        <v>#DIV/0!</v>
      </c>
      <c r="O759" s="333" t="e">
        <f t="shared" si="111"/>
        <v>#DIV/0!</v>
      </c>
      <c r="P759" s="334" t="e">
        <f t="shared" si="112"/>
        <v>#DIV/0!</v>
      </c>
      <c r="Q759" s="334" t="e">
        <f t="shared" si="113"/>
        <v>#DIV/0!</v>
      </c>
    </row>
    <row r="760" spans="2:17" x14ac:dyDescent="0.3">
      <c r="B760" s="333">
        <v>10</v>
      </c>
      <c r="C760" s="333"/>
      <c r="D760" s="333"/>
      <c r="E760" s="333"/>
      <c r="F760" s="333"/>
      <c r="G760" s="333"/>
      <c r="H760" s="333"/>
      <c r="I760" s="333"/>
      <c r="J760" s="333"/>
      <c r="K760" s="333"/>
      <c r="L760" s="361"/>
      <c r="M760" s="333">
        <f t="shared" si="109"/>
        <v>5</v>
      </c>
      <c r="N760" s="333" t="e">
        <f t="shared" si="110"/>
        <v>#DIV/0!</v>
      </c>
      <c r="O760" s="333" t="e">
        <f t="shared" si="111"/>
        <v>#DIV/0!</v>
      </c>
      <c r="P760" s="334" t="e">
        <f t="shared" si="112"/>
        <v>#DIV/0!</v>
      </c>
      <c r="Q760" s="334" t="e">
        <f t="shared" si="113"/>
        <v>#DIV/0!</v>
      </c>
    </row>
    <row r="761" spans="2:17" x14ac:dyDescent="0.3">
      <c r="B761" s="333">
        <v>10</v>
      </c>
      <c r="C761" s="333"/>
      <c r="D761" s="333"/>
      <c r="E761" s="333"/>
      <c r="F761" s="333"/>
      <c r="G761" s="333"/>
      <c r="H761" s="333"/>
      <c r="I761" s="333"/>
      <c r="J761" s="333"/>
      <c r="K761" s="333"/>
      <c r="L761" s="361"/>
      <c r="M761" s="333">
        <f t="shared" si="109"/>
        <v>5</v>
      </c>
      <c r="N761" s="333" t="e">
        <f t="shared" si="110"/>
        <v>#DIV/0!</v>
      </c>
      <c r="O761" s="333" t="e">
        <f t="shared" si="111"/>
        <v>#DIV/0!</v>
      </c>
      <c r="P761" s="334" t="e">
        <f t="shared" si="112"/>
        <v>#DIV/0!</v>
      </c>
      <c r="Q761" s="334" t="e">
        <f t="shared" si="113"/>
        <v>#DIV/0!</v>
      </c>
    </row>
    <row r="762" spans="2:17" x14ac:dyDescent="0.3">
      <c r="B762" s="333">
        <v>10</v>
      </c>
      <c r="C762" s="333"/>
      <c r="D762" s="333"/>
      <c r="E762" s="333"/>
      <c r="F762" s="333"/>
      <c r="G762" s="333"/>
      <c r="H762" s="333"/>
      <c r="I762" s="333"/>
      <c r="J762" s="333"/>
      <c r="K762" s="333"/>
      <c r="L762" s="361"/>
      <c r="M762" s="333">
        <f t="shared" si="109"/>
        <v>5</v>
      </c>
      <c r="N762" s="333" t="e">
        <f t="shared" si="110"/>
        <v>#DIV/0!</v>
      </c>
      <c r="O762" s="333" t="e">
        <f t="shared" si="111"/>
        <v>#DIV/0!</v>
      </c>
      <c r="P762" s="334" t="e">
        <f t="shared" si="112"/>
        <v>#DIV/0!</v>
      </c>
      <c r="Q762" s="334" t="e">
        <f t="shared" si="113"/>
        <v>#DIV/0!</v>
      </c>
    </row>
    <row r="763" spans="2:17" x14ac:dyDescent="0.3">
      <c r="B763" s="333">
        <v>10</v>
      </c>
      <c r="C763" s="333"/>
      <c r="D763" s="333"/>
      <c r="E763" s="333"/>
      <c r="F763" s="333"/>
      <c r="G763" s="333"/>
      <c r="H763" s="333"/>
      <c r="I763" s="333"/>
      <c r="J763" s="333"/>
      <c r="K763" s="333"/>
      <c r="L763" s="361"/>
      <c r="M763" s="333">
        <f t="shared" si="109"/>
        <v>5</v>
      </c>
      <c r="N763" s="333" t="e">
        <f t="shared" si="110"/>
        <v>#DIV/0!</v>
      </c>
      <c r="O763" s="333" t="e">
        <f t="shared" si="111"/>
        <v>#DIV/0!</v>
      </c>
      <c r="P763" s="334" t="e">
        <f t="shared" si="112"/>
        <v>#DIV/0!</v>
      </c>
      <c r="Q763" s="334" t="e">
        <f t="shared" si="113"/>
        <v>#DIV/0!</v>
      </c>
    </row>
    <row r="764" spans="2:17" x14ac:dyDescent="0.3">
      <c r="B764" s="333">
        <v>10</v>
      </c>
      <c r="C764" s="333"/>
      <c r="D764" s="333"/>
      <c r="E764" s="333"/>
      <c r="F764" s="333"/>
      <c r="G764" s="333"/>
      <c r="H764" s="333"/>
      <c r="I764" s="333"/>
      <c r="J764" s="333"/>
      <c r="K764" s="333"/>
      <c r="L764" s="361"/>
      <c r="M764" s="333">
        <f t="shared" si="109"/>
        <v>5</v>
      </c>
      <c r="N764" s="333" t="e">
        <f t="shared" si="110"/>
        <v>#DIV/0!</v>
      </c>
      <c r="O764" s="333" t="e">
        <f t="shared" si="111"/>
        <v>#DIV/0!</v>
      </c>
      <c r="P764" s="334" t="e">
        <f t="shared" si="112"/>
        <v>#DIV/0!</v>
      </c>
      <c r="Q764" s="334" t="e">
        <f t="shared" si="113"/>
        <v>#DIV/0!</v>
      </c>
    </row>
    <row r="765" spans="2:17" x14ac:dyDescent="0.3">
      <c r="B765" s="333">
        <v>10</v>
      </c>
      <c r="C765" s="333"/>
      <c r="D765" s="333"/>
      <c r="E765" s="333"/>
      <c r="F765" s="333"/>
      <c r="G765" s="333"/>
      <c r="H765" s="333"/>
      <c r="I765" s="333"/>
      <c r="J765" s="333"/>
      <c r="K765" s="333"/>
      <c r="L765" s="361"/>
      <c r="M765" s="333">
        <f t="shared" si="109"/>
        <v>5</v>
      </c>
      <c r="N765" s="333" t="e">
        <f t="shared" si="110"/>
        <v>#DIV/0!</v>
      </c>
      <c r="O765" s="333" t="e">
        <f t="shared" si="111"/>
        <v>#DIV/0!</v>
      </c>
      <c r="P765" s="334" t="e">
        <f t="shared" si="112"/>
        <v>#DIV/0!</v>
      </c>
      <c r="Q765" s="334" t="e">
        <f t="shared" si="113"/>
        <v>#DIV/0!</v>
      </c>
    </row>
    <row r="766" spans="2:17" x14ac:dyDescent="0.3">
      <c r="B766" s="333">
        <v>10</v>
      </c>
      <c r="C766" s="333"/>
      <c r="D766" s="333"/>
      <c r="E766" s="333"/>
      <c r="F766" s="333"/>
      <c r="G766" s="333"/>
      <c r="H766" s="333"/>
      <c r="I766" s="333"/>
      <c r="J766" s="333"/>
      <c r="K766" s="333"/>
      <c r="L766" s="361"/>
      <c r="M766" s="333">
        <f t="shared" si="109"/>
        <v>5</v>
      </c>
      <c r="N766" s="333" t="e">
        <f t="shared" si="110"/>
        <v>#DIV/0!</v>
      </c>
      <c r="O766" s="333" t="e">
        <f t="shared" si="111"/>
        <v>#DIV/0!</v>
      </c>
      <c r="P766" s="334" t="e">
        <f t="shared" si="112"/>
        <v>#DIV/0!</v>
      </c>
      <c r="Q766" s="334" t="e">
        <f t="shared" si="113"/>
        <v>#DIV/0!</v>
      </c>
    </row>
    <row r="767" spans="2:17" x14ac:dyDescent="0.3">
      <c r="B767" s="333">
        <v>10</v>
      </c>
      <c r="C767" s="333"/>
      <c r="D767" s="333"/>
      <c r="E767" s="333"/>
      <c r="F767" s="333"/>
      <c r="G767" s="333"/>
      <c r="H767" s="333"/>
      <c r="I767" s="333"/>
      <c r="J767" s="333"/>
      <c r="K767" s="333"/>
      <c r="L767" s="361"/>
      <c r="M767" s="333">
        <f t="shared" si="109"/>
        <v>5</v>
      </c>
      <c r="N767" s="333" t="e">
        <f t="shared" si="110"/>
        <v>#DIV/0!</v>
      </c>
      <c r="O767" s="333" t="e">
        <f t="shared" si="111"/>
        <v>#DIV/0!</v>
      </c>
      <c r="P767" s="334" t="e">
        <f t="shared" si="112"/>
        <v>#DIV/0!</v>
      </c>
      <c r="Q767" s="334" t="e">
        <f t="shared" si="113"/>
        <v>#DIV/0!</v>
      </c>
    </row>
    <row r="768" spans="2:17" x14ac:dyDescent="0.3">
      <c r="B768" s="333">
        <v>10</v>
      </c>
      <c r="C768" s="333"/>
      <c r="D768" s="333"/>
      <c r="E768" s="333"/>
      <c r="F768" s="333"/>
      <c r="G768" s="333"/>
      <c r="H768" s="333"/>
      <c r="I768" s="333"/>
      <c r="J768" s="333"/>
      <c r="K768" s="333"/>
      <c r="L768" s="361"/>
      <c r="M768" s="333">
        <f t="shared" si="109"/>
        <v>5</v>
      </c>
      <c r="N768" s="333" t="e">
        <f t="shared" si="110"/>
        <v>#DIV/0!</v>
      </c>
      <c r="O768" s="333" t="e">
        <f t="shared" si="111"/>
        <v>#DIV/0!</v>
      </c>
      <c r="P768" s="334" t="e">
        <f t="shared" si="112"/>
        <v>#DIV/0!</v>
      </c>
      <c r="Q768" s="334" t="e">
        <f t="shared" si="113"/>
        <v>#DIV/0!</v>
      </c>
    </row>
    <row r="769" spans="2:17" x14ac:dyDescent="0.3">
      <c r="B769" s="333">
        <v>10</v>
      </c>
      <c r="C769" s="333"/>
      <c r="D769" s="333"/>
      <c r="E769" s="333"/>
      <c r="F769" s="333"/>
      <c r="G769" s="333"/>
      <c r="H769" s="333"/>
      <c r="I769" s="333"/>
      <c r="J769" s="333"/>
      <c r="K769" s="333"/>
      <c r="L769" s="361"/>
      <c r="M769" s="333">
        <f t="shared" si="109"/>
        <v>5</v>
      </c>
      <c r="N769" s="333" t="e">
        <f t="shared" si="110"/>
        <v>#DIV/0!</v>
      </c>
      <c r="O769" s="333" t="e">
        <f t="shared" si="111"/>
        <v>#DIV/0!</v>
      </c>
      <c r="P769" s="334" t="e">
        <f t="shared" si="112"/>
        <v>#DIV/0!</v>
      </c>
      <c r="Q769" s="334" t="e">
        <f t="shared" si="113"/>
        <v>#DIV/0!</v>
      </c>
    </row>
    <row r="770" spans="2:17" x14ac:dyDescent="0.3">
      <c r="B770" s="333">
        <v>10</v>
      </c>
      <c r="C770" s="333"/>
      <c r="D770" s="333"/>
      <c r="E770" s="333"/>
      <c r="F770" s="333"/>
      <c r="G770" s="333"/>
      <c r="H770" s="333"/>
      <c r="I770" s="333"/>
      <c r="J770" s="333"/>
      <c r="K770" s="333"/>
      <c r="L770" s="361"/>
      <c r="M770" s="333">
        <f t="shared" si="109"/>
        <v>5</v>
      </c>
      <c r="N770" s="333" t="e">
        <f t="shared" si="110"/>
        <v>#DIV/0!</v>
      </c>
      <c r="O770" s="333" t="e">
        <f t="shared" si="111"/>
        <v>#DIV/0!</v>
      </c>
      <c r="P770" s="334" t="e">
        <f t="shared" si="112"/>
        <v>#DIV/0!</v>
      </c>
      <c r="Q770" s="334" t="e">
        <f t="shared" si="113"/>
        <v>#DIV/0!</v>
      </c>
    </row>
    <row r="771" spans="2:17" x14ac:dyDescent="0.3">
      <c r="B771" s="333">
        <v>10</v>
      </c>
      <c r="C771" s="333"/>
      <c r="D771" s="333"/>
      <c r="E771" s="333"/>
      <c r="F771" s="333"/>
      <c r="G771" s="333"/>
      <c r="H771" s="333"/>
      <c r="I771" s="333"/>
      <c r="J771" s="333"/>
      <c r="K771" s="333"/>
      <c r="L771" s="361"/>
      <c r="M771" s="333">
        <f t="shared" si="109"/>
        <v>5</v>
      </c>
      <c r="N771" s="333" t="e">
        <f t="shared" si="110"/>
        <v>#DIV/0!</v>
      </c>
      <c r="O771" s="333" t="e">
        <f t="shared" si="111"/>
        <v>#DIV/0!</v>
      </c>
      <c r="P771" s="334" t="e">
        <f t="shared" si="112"/>
        <v>#DIV/0!</v>
      </c>
      <c r="Q771" s="334" t="e">
        <f t="shared" si="113"/>
        <v>#DIV/0!</v>
      </c>
    </row>
    <row r="772" spans="2:17" x14ac:dyDescent="0.3">
      <c r="B772" s="333">
        <v>20</v>
      </c>
      <c r="C772" s="333"/>
      <c r="D772" s="333"/>
      <c r="E772" s="333"/>
      <c r="F772" s="333"/>
      <c r="G772" s="333"/>
      <c r="H772" s="333"/>
      <c r="I772" s="333"/>
      <c r="J772" s="333"/>
      <c r="K772" s="333"/>
      <c r="L772" s="361"/>
      <c r="M772" s="333">
        <f t="shared" si="109"/>
        <v>10</v>
      </c>
      <c r="N772" s="333" t="e">
        <f t="shared" si="110"/>
        <v>#DIV/0!</v>
      </c>
      <c r="O772" s="333" t="e">
        <f t="shared" si="111"/>
        <v>#DIV/0!</v>
      </c>
      <c r="P772" s="334" t="e">
        <f t="shared" si="112"/>
        <v>#DIV/0!</v>
      </c>
      <c r="Q772" s="334" t="e">
        <f t="shared" si="113"/>
        <v>#DIV/0!</v>
      </c>
    </row>
    <row r="773" spans="2:17" x14ac:dyDescent="0.3">
      <c r="B773" s="333">
        <v>20</v>
      </c>
      <c r="C773" s="333"/>
      <c r="D773" s="333"/>
      <c r="E773" s="333"/>
      <c r="F773" s="333"/>
      <c r="G773" s="333"/>
      <c r="H773" s="333"/>
      <c r="I773" s="333"/>
      <c r="J773" s="333"/>
      <c r="K773" s="333"/>
      <c r="L773" s="361"/>
      <c r="M773" s="333">
        <f t="shared" si="109"/>
        <v>10</v>
      </c>
      <c r="N773" s="333" t="e">
        <f t="shared" si="110"/>
        <v>#DIV/0!</v>
      </c>
      <c r="O773" s="333" t="e">
        <f t="shared" si="111"/>
        <v>#DIV/0!</v>
      </c>
      <c r="P773" s="334" t="e">
        <f t="shared" si="112"/>
        <v>#DIV/0!</v>
      </c>
      <c r="Q773" s="334" t="e">
        <f t="shared" si="113"/>
        <v>#DIV/0!</v>
      </c>
    </row>
    <row r="774" spans="2:17" x14ac:dyDescent="0.3">
      <c r="B774" s="333">
        <v>20</v>
      </c>
      <c r="C774" s="333"/>
      <c r="D774" s="333"/>
      <c r="E774" s="333"/>
      <c r="F774" s="333"/>
      <c r="G774" s="333"/>
      <c r="H774" s="333"/>
      <c r="I774" s="333"/>
      <c r="J774" s="333"/>
      <c r="K774" s="333"/>
      <c r="L774" s="361"/>
      <c r="M774" s="333">
        <f t="shared" si="109"/>
        <v>10</v>
      </c>
      <c r="N774" s="333" t="e">
        <f t="shared" si="110"/>
        <v>#DIV/0!</v>
      </c>
      <c r="O774" s="333" t="e">
        <f t="shared" si="111"/>
        <v>#DIV/0!</v>
      </c>
      <c r="P774" s="334" t="e">
        <f t="shared" si="112"/>
        <v>#DIV/0!</v>
      </c>
      <c r="Q774" s="334" t="e">
        <f t="shared" si="113"/>
        <v>#DIV/0!</v>
      </c>
    </row>
    <row r="775" spans="2:17" x14ac:dyDescent="0.3">
      <c r="B775" s="333">
        <v>20</v>
      </c>
      <c r="C775" s="333"/>
      <c r="D775" s="333"/>
      <c r="E775" s="333"/>
      <c r="F775" s="333"/>
      <c r="G775" s="333"/>
      <c r="H775" s="333"/>
      <c r="I775" s="333"/>
      <c r="J775" s="333"/>
      <c r="K775" s="333"/>
      <c r="L775" s="361"/>
      <c r="M775" s="333">
        <f t="shared" si="109"/>
        <v>10</v>
      </c>
      <c r="N775" s="333" t="e">
        <f t="shared" si="110"/>
        <v>#DIV/0!</v>
      </c>
      <c r="O775" s="333" t="e">
        <f t="shared" si="111"/>
        <v>#DIV/0!</v>
      </c>
      <c r="P775" s="334" t="e">
        <f t="shared" si="112"/>
        <v>#DIV/0!</v>
      </c>
      <c r="Q775" s="334" t="e">
        <f t="shared" si="113"/>
        <v>#DIV/0!</v>
      </c>
    </row>
    <row r="776" spans="2:17" x14ac:dyDescent="0.3">
      <c r="B776" s="333">
        <v>20</v>
      </c>
      <c r="C776" s="333"/>
      <c r="D776" s="333"/>
      <c r="E776" s="333"/>
      <c r="F776" s="333"/>
      <c r="G776" s="333"/>
      <c r="H776" s="333"/>
      <c r="I776" s="333"/>
      <c r="J776" s="333"/>
      <c r="K776" s="333"/>
      <c r="L776" s="361"/>
      <c r="M776" s="333">
        <f t="shared" si="109"/>
        <v>10</v>
      </c>
      <c r="N776" s="333" t="e">
        <f t="shared" si="110"/>
        <v>#DIV/0!</v>
      </c>
      <c r="O776" s="333" t="e">
        <f t="shared" si="111"/>
        <v>#DIV/0!</v>
      </c>
      <c r="P776" s="334" t="e">
        <f t="shared" si="112"/>
        <v>#DIV/0!</v>
      </c>
      <c r="Q776" s="334" t="e">
        <f t="shared" si="113"/>
        <v>#DIV/0!</v>
      </c>
    </row>
    <row r="777" spans="2:17" x14ac:dyDescent="0.3">
      <c r="B777" s="333">
        <v>20</v>
      </c>
      <c r="C777" s="333"/>
      <c r="D777" s="333"/>
      <c r="E777" s="333"/>
      <c r="F777" s="333"/>
      <c r="G777" s="333"/>
      <c r="H777" s="333"/>
      <c r="I777" s="333"/>
      <c r="J777" s="333"/>
      <c r="K777" s="333"/>
      <c r="L777" s="361"/>
      <c r="M777" s="333">
        <f t="shared" si="109"/>
        <v>10</v>
      </c>
      <c r="N777" s="333" t="e">
        <f t="shared" si="110"/>
        <v>#DIV/0!</v>
      </c>
      <c r="O777" s="333" t="e">
        <f t="shared" si="111"/>
        <v>#DIV/0!</v>
      </c>
      <c r="P777" s="334" t="e">
        <f t="shared" si="112"/>
        <v>#DIV/0!</v>
      </c>
      <c r="Q777" s="334" t="e">
        <f t="shared" si="113"/>
        <v>#DIV/0!</v>
      </c>
    </row>
    <row r="778" spans="2:17" x14ac:dyDescent="0.3">
      <c r="B778" s="333">
        <v>20</v>
      </c>
      <c r="C778" s="333"/>
      <c r="D778" s="333"/>
      <c r="E778" s="333"/>
      <c r="F778" s="333"/>
      <c r="G778" s="333"/>
      <c r="H778" s="333"/>
      <c r="I778" s="333"/>
      <c r="J778" s="333"/>
      <c r="K778" s="333"/>
      <c r="L778" s="361"/>
      <c r="M778" s="333">
        <f t="shared" si="109"/>
        <v>10</v>
      </c>
      <c r="N778" s="333" t="e">
        <f t="shared" si="110"/>
        <v>#DIV/0!</v>
      </c>
      <c r="O778" s="333" t="e">
        <f t="shared" si="111"/>
        <v>#DIV/0!</v>
      </c>
      <c r="P778" s="334" t="e">
        <f t="shared" si="112"/>
        <v>#DIV/0!</v>
      </c>
      <c r="Q778" s="334" t="e">
        <f t="shared" si="113"/>
        <v>#DIV/0!</v>
      </c>
    </row>
    <row r="779" spans="2:17" x14ac:dyDescent="0.3">
      <c r="B779" s="333">
        <v>20</v>
      </c>
      <c r="C779" s="333"/>
      <c r="D779" s="333"/>
      <c r="E779" s="333"/>
      <c r="F779" s="333"/>
      <c r="G779" s="333"/>
      <c r="H779" s="333"/>
      <c r="I779" s="333"/>
      <c r="J779" s="333"/>
      <c r="K779" s="333"/>
      <c r="L779" s="361"/>
      <c r="M779" s="333">
        <f t="shared" si="109"/>
        <v>10</v>
      </c>
      <c r="N779" s="333" t="e">
        <f t="shared" si="110"/>
        <v>#DIV/0!</v>
      </c>
      <c r="O779" s="333" t="e">
        <f t="shared" si="111"/>
        <v>#DIV/0!</v>
      </c>
      <c r="P779" s="334" t="e">
        <f t="shared" si="112"/>
        <v>#DIV/0!</v>
      </c>
      <c r="Q779" s="334" t="e">
        <f t="shared" si="113"/>
        <v>#DIV/0!</v>
      </c>
    </row>
    <row r="780" spans="2:17" x14ac:dyDescent="0.3">
      <c r="B780" s="333">
        <v>20</v>
      </c>
      <c r="C780" s="333"/>
      <c r="D780" s="333"/>
      <c r="E780" s="333"/>
      <c r="F780" s="333"/>
      <c r="G780" s="333"/>
      <c r="H780" s="333"/>
      <c r="I780" s="333"/>
      <c r="J780" s="333"/>
      <c r="K780" s="333"/>
      <c r="L780" s="361"/>
      <c r="M780" s="333">
        <f t="shared" si="109"/>
        <v>10</v>
      </c>
      <c r="N780" s="333" t="e">
        <f t="shared" si="110"/>
        <v>#DIV/0!</v>
      </c>
      <c r="O780" s="333" t="e">
        <f t="shared" si="111"/>
        <v>#DIV/0!</v>
      </c>
      <c r="P780" s="334" t="e">
        <f t="shared" si="112"/>
        <v>#DIV/0!</v>
      </c>
      <c r="Q780" s="334" t="e">
        <f t="shared" si="113"/>
        <v>#DIV/0!</v>
      </c>
    </row>
    <row r="781" spans="2:17" x14ac:dyDescent="0.3">
      <c r="B781" s="333">
        <v>20</v>
      </c>
      <c r="C781" s="333"/>
      <c r="D781" s="333"/>
      <c r="E781" s="333"/>
      <c r="F781" s="333"/>
      <c r="G781" s="333"/>
      <c r="H781" s="333"/>
      <c r="I781" s="333"/>
      <c r="J781" s="333"/>
      <c r="K781" s="333"/>
      <c r="L781" s="361"/>
      <c r="M781" s="333">
        <f t="shared" si="109"/>
        <v>10</v>
      </c>
      <c r="N781" s="333" t="e">
        <f t="shared" si="110"/>
        <v>#DIV/0!</v>
      </c>
      <c r="O781" s="333" t="e">
        <f t="shared" si="111"/>
        <v>#DIV/0!</v>
      </c>
      <c r="P781" s="334" t="e">
        <f t="shared" si="112"/>
        <v>#DIV/0!</v>
      </c>
      <c r="Q781" s="334" t="e">
        <f t="shared" si="113"/>
        <v>#DIV/0!</v>
      </c>
    </row>
    <row r="782" spans="2:17" x14ac:dyDescent="0.3">
      <c r="B782" s="333">
        <v>20</v>
      </c>
      <c r="C782" s="333"/>
      <c r="D782" s="333"/>
      <c r="E782" s="333"/>
      <c r="F782" s="333"/>
      <c r="G782" s="333"/>
      <c r="H782" s="333"/>
      <c r="I782" s="333"/>
      <c r="J782" s="333"/>
      <c r="K782" s="333"/>
      <c r="L782" s="361"/>
      <c r="M782" s="333">
        <f t="shared" si="109"/>
        <v>10</v>
      </c>
      <c r="N782" s="333" t="e">
        <f t="shared" si="110"/>
        <v>#DIV/0!</v>
      </c>
      <c r="O782" s="333" t="e">
        <f t="shared" si="111"/>
        <v>#DIV/0!</v>
      </c>
      <c r="P782" s="334" t="e">
        <f t="shared" si="112"/>
        <v>#DIV/0!</v>
      </c>
      <c r="Q782" s="334" t="e">
        <f t="shared" si="113"/>
        <v>#DIV/0!</v>
      </c>
    </row>
    <row r="783" spans="2:17" x14ac:dyDescent="0.3">
      <c r="B783" s="333">
        <v>20</v>
      </c>
      <c r="C783" s="333"/>
      <c r="D783" s="333"/>
      <c r="E783" s="333"/>
      <c r="F783" s="333"/>
      <c r="G783" s="333"/>
      <c r="H783" s="333"/>
      <c r="I783" s="333"/>
      <c r="J783" s="333"/>
      <c r="K783" s="333"/>
      <c r="L783" s="361"/>
      <c r="M783" s="333">
        <f t="shared" si="109"/>
        <v>10</v>
      </c>
      <c r="N783" s="333" t="e">
        <f t="shared" si="110"/>
        <v>#DIV/0!</v>
      </c>
      <c r="O783" s="333" t="e">
        <f t="shared" si="111"/>
        <v>#DIV/0!</v>
      </c>
      <c r="P783" s="334" t="e">
        <f t="shared" si="112"/>
        <v>#DIV/0!</v>
      </c>
      <c r="Q783" s="334" t="e">
        <f t="shared" si="113"/>
        <v>#DIV/0!</v>
      </c>
    </row>
    <row r="784" spans="2:17" x14ac:dyDescent="0.3">
      <c r="B784" s="333">
        <v>20</v>
      </c>
      <c r="C784" s="333"/>
      <c r="D784" s="333"/>
      <c r="E784" s="333"/>
      <c r="F784" s="333"/>
      <c r="G784" s="333"/>
      <c r="H784" s="333"/>
      <c r="I784" s="333"/>
      <c r="J784" s="333"/>
      <c r="K784" s="333"/>
      <c r="L784" s="361"/>
      <c r="M784" s="333">
        <f t="shared" si="109"/>
        <v>10</v>
      </c>
      <c r="N784" s="333" t="e">
        <f t="shared" si="110"/>
        <v>#DIV/0!</v>
      </c>
      <c r="O784" s="333" t="e">
        <f t="shared" si="111"/>
        <v>#DIV/0!</v>
      </c>
      <c r="P784" s="334" t="e">
        <f t="shared" si="112"/>
        <v>#DIV/0!</v>
      </c>
      <c r="Q784" s="334" t="e">
        <f t="shared" si="113"/>
        <v>#DIV/0!</v>
      </c>
    </row>
    <row r="785" spans="2:17" x14ac:dyDescent="0.3">
      <c r="B785" s="333">
        <v>20</v>
      </c>
      <c r="C785" s="333"/>
      <c r="D785" s="333"/>
      <c r="E785" s="333"/>
      <c r="F785" s="333"/>
      <c r="G785" s="333"/>
      <c r="H785" s="333"/>
      <c r="I785" s="333"/>
      <c r="J785" s="333"/>
      <c r="K785" s="333"/>
      <c r="L785" s="361"/>
      <c r="M785" s="333">
        <f t="shared" si="109"/>
        <v>10</v>
      </c>
      <c r="N785" s="333" t="e">
        <f t="shared" si="110"/>
        <v>#DIV/0!</v>
      </c>
      <c r="O785" s="333" t="e">
        <f t="shared" si="111"/>
        <v>#DIV/0!</v>
      </c>
      <c r="P785" s="334" t="e">
        <f t="shared" si="112"/>
        <v>#DIV/0!</v>
      </c>
      <c r="Q785" s="334" t="e">
        <f t="shared" si="113"/>
        <v>#DIV/0!</v>
      </c>
    </row>
    <row r="786" spans="2:17" x14ac:dyDescent="0.3">
      <c r="B786" s="333">
        <v>20</v>
      </c>
      <c r="C786" s="333"/>
      <c r="D786" s="333"/>
      <c r="E786" s="333"/>
      <c r="F786" s="333"/>
      <c r="G786" s="333"/>
      <c r="H786" s="333"/>
      <c r="I786" s="333"/>
      <c r="J786" s="333"/>
      <c r="K786" s="333"/>
      <c r="L786" s="361"/>
      <c r="M786" s="333">
        <f t="shared" si="109"/>
        <v>10</v>
      </c>
      <c r="N786" s="333" t="e">
        <f t="shared" si="110"/>
        <v>#DIV/0!</v>
      </c>
      <c r="O786" s="333" t="e">
        <f t="shared" si="111"/>
        <v>#DIV/0!</v>
      </c>
      <c r="P786" s="334" t="e">
        <f t="shared" si="112"/>
        <v>#DIV/0!</v>
      </c>
      <c r="Q786" s="334" t="e">
        <f t="shared" si="113"/>
        <v>#DIV/0!</v>
      </c>
    </row>
    <row r="787" spans="2:17" x14ac:dyDescent="0.3">
      <c r="B787" s="333">
        <v>20</v>
      </c>
      <c r="C787" s="333"/>
      <c r="D787" s="333"/>
      <c r="E787" s="333"/>
      <c r="F787" s="333"/>
      <c r="G787" s="333"/>
      <c r="H787" s="333"/>
      <c r="I787" s="333"/>
      <c r="J787" s="333"/>
      <c r="K787" s="333"/>
      <c r="L787" s="361"/>
      <c r="M787" s="333">
        <f t="shared" si="109"/>
        <v>10</v>
      </c>
      <c r="N787" s="333" t="e">
        <f t="shared" si="110"/>
        <v>#DIV/0!</v>
      </c>
      <c r="O787" s="333" t="e">
        <f t="shared" si="111"/>
        <v>#DIV/0!</v>
      </c>
      <c r="P787" s="334" t="e">
        <f t="shared" si="112"/>
        <v>#DIV/0!</v>
      </c>
      <c r="Q787" s="334" t="e">
        <f t="shared" si="113"/>
        <v>#DIV/0!</v>
      </c>
    </row>
    <row r="788" spans="2:17" x14ac:dyDescent="0.3">
      <c r="B788" s="333">
        <v>20</v>
      </c>
      <c r="C788" s="333"/>
      <c r="D788" s="333"/>
      <c r="E788" s="333"/>
      <c r="F788" s="333"/>
      <c r="G788" s="333"/>
      <c r="H788" s="333"/>
      <c r="I788" s="333"/>
      <c r="J788" s="333"/>
      <c r="K788" s="333"/>
      <c r="L788" s="361"/>
      <c r="M788" s="333">
        <f t="shared" si="109"/>
        <v>10</v>
      </c>
      <c r="N788" s="333" t="e">
        <f t="shared" si="110"/>
        <v>#DIV/0!</v>
      </c>
      <c r="O788" s="333" t="e">
        <f t="shared" si="111"/>
        <v>#DIV/0!</v>
      </c>
      <c r="P788" s="334" t="e">
        <f t="shared" si="112"/>
        <v>#DIV/0!</v>
      </c>
      <c r="Q788" s="334" t="e">
        <f t="shared" si="113"/>
        <v>#DIV/0!</v>
      </c>
    </row>
    <row r="789" spans="2:17" x14ac:dyDescent="0.3">
      <c r="B789" s="333">
        <v>20</v>
      </c>
      <c r="C789" s="333"/>
      <c r="D789" s="333"/>
      <c r="E789" s="333"/>
      <c r="F789" s="333"/>
      <c r="G789" s="333"/>
      <c r="H789" s="333"/>
      <c r="I789" s="333"/>
      <c r="J789" s="333"/>
      <c r="K789" s="333"/>
      <c r="L789" s="361"/>
      <c r="M789" s="333">
        <f t="shared" si="109"/>
        <v>10</v>
      </c>
      <c r="N789" s="333" t="e">
        <f t="shared" si="110"/>
        <v>#DIV/0!</v>
      </c>
      <c r="O789" s="333" t="e">
        <f t="shared" si="111"/>
        <v>#DIV/0!</v>
      </c>
      <c r="P789" s="334" t="e">
        <f t="shared" si="112"/>
        <v>#DIV/0!</v>
      </c>
      <c r="Q789" s="334" t="e">
        <f t="shared" si="113"/>
        <v>#DIV/0!</v>
      </c>
    </row>
    <row r="790" spans="2:17" x14ac:dyDescent="0.3">
      <c r="B790" s="333">
        <v>20</v>
      </c>
      <c r="C790" s="333"/>
      <c r="D790" s="333"/>
      <c r="E790" s="333"/>
      <c r="F790" s="333"/>
      <c r="G790" s="333"/>
      <c r="H790" s="333"/>
      <c r="I790" s="333"/>
      <c r="J790" s="333"/>
      <c r="K790" s="333"/>
      <c r="L790" s="361"/>
      <c r="M790" s="333">
        <f t="shared" si="109"/>
        <v>10</v>
      </c>
      <c r="N790" s="333" t="e">
        <f t="shared" si="110"/>
        <v>#DIV/0!</v>
      </c>
      <c r="O790" s="333" t="e">
        <f t="shared" si="111"/>
        <v>#DIV/0!</v>
      </c>
      <c r="P790" s="334" t="e">
        <f t="shared" si="112"/>
        <v>#DIV/0!</v>
      </c>
      <c r="Q790" s="334" t="e">
        <f t="shared" si="113"/>
        <v>#DIV/0!</v>
      </c>
    </row>
    <row r="791" spans="2:17" x14ac:dyDescent="0.3">
      <c r="B791" s="333">
        <v>20</v>
      </c>
      <c r="C791" s="333"/>
      <c r="D791" s="333"/>
      <c r="E791" s="333"/>
      <c r="F791" s="333"/>
      <c r="G791" s="333"/>
      <c r="H791" s="333"/>
      <c r="I791" s="333"/>
      <c r="J791" s="333"/>
      <c r="K791" s="333"/>
      <c r="L791" s="361"/>
      <c r="M791" s="333">
        <f t="shared" si="109"/>
        <v>10</v>
      </c>
      <c r="N791" s="333" t="e">
        <f t="shared" si="110"/>
        <v>#DIV/0!</v>
      </c>
      <c r="O791" s="333" t="e">
        <f t="shared" si="111"/>
        <v>#DIV/0!</v>
      </c>
      <c r="P791" s="334" t="e">
        <f t="shared" si="112"/>
        <v>#DIV/0!</v>
      </c>
      <c r="Q791" s="334" t="e">
        <f t="shared" si="113"/>
        <v>#DIV/0!</v>
      </c>
    </row>
    <row r="792" spans="2:17" x14ac:dyDescent="0.3">
      <c r="B792" s="333">
        <v>40</v>
      </c>
      <c r="C792" s="333"/>
      <c r="D792" s="333"/>
      <c r="E792" s="333"/>
      <c r="F792" s="333"/>
      <c r="G792" s="333"/>
      <c r="H792" s="333"/>
      <c r="I792" s="333"/>
      <c r="J792" s="333"/>
      <c r="K792" s="333"/>
      <c r="L792" s="361"/>
      <c r="M792" s="333">
        <f t="shared" si="109"/>
        <v>20</v>
      </c>
      <c r="N792" s="333" t="e">
        <f t="shared" si="110"/>
        <v>#DIV/0!</v>
      </c>
      <c r="O792" s="333" t="e">
        <f t="shared" si="111"/>
        <v>#DIV/0!</v>
      </c>
      <c r="P792" s="334" t="e">
        <f t="shared" si="112"/>
        <v>#DIV/0!</v>
      </c>
      <c r="Q792" s="334" t="e">
        <f t="shared" si="113"/>
        <v>#DIV/0!</v>
      </c>
    </row>
    <row r="793" spans="2:17" x14ac:dyDescent="0.3">
      <c r="B793" s="333">
        <v>40</v>
      </c>
      <c r="C793" s="333"/>
      <c r="D793" s="333"/>
      <c r="E793" s="333"/>
      <c r="F793" s="333"/>
      <c r="G793" s="333"/>
      <c r="H793" s="333"/>
      <c r="I793" s="333"/>
      <c r="J793" s="333"/>
      <c r="K793" s="333"/>
      <c r="L793" s="361"/>
      <c r="M793" s="333">
        <f t="shared" si="109"/>
        <v>20</v>
      </c>
      <c r="N793" s="333" t="e">
        <f t="shared" si="110"/>
        <v>#DIV/0!</v>
      </c>
      <c r="O793" s="333" t="e">
        <f t="shared" si="111"/>
        <v>#DIV/0!</v>
      </c>
      <c r="P793" s="334" t="e">
        <f t="shared" si="112"/>
        <v>#DIV/0!</v>
      </c>
      <c r="Q793" s="334" t="e">
        <f t="shared" si="113"/>
        <v>#DIV/0!</v>
      </c>
    </row>
    <row r="794" spans="2:17" x14ac:dyDescent="0.3">
      <c r="B794" s="333">
        <v>40</v>
      </c>
      <c r="C794" s="333"/>
      <c r="D794" s="333"/>
      <c r="E794" s="333"/>
      <c r="F794" s="333"/>
      <c r="G794" s="333"/>
      <c r="H794" s="333"/>
      <c r="I794" s="333"/>
      <c r="J794" s="333"/>
      <c r="K794" s="333"/>
      <c r="L794" s="361"/>
      <c r="M794" s="333">
        <f t="shared" si="109"/>
        <v>20</v>
      </c>
      <c r="N794" s="333" t="e">
        <f t="shared" si="110"/>
        <v>#DIV/0!</v>
      </c>
      <c r="O794" s="333" t="e">
        <f t="shared" si="111"/>
        <v>#DIV/0!</v>
      </c>
      <c r="P794" s="334" t="e">
        <f t="shared" si="112"/>
        <v>#DIV/0!</v>
      </c>
      <c r="Q794" s="334" t="e">
        <f t="shared" si="113"/>
        <v>#DIV/0!</v>
      </c>
    </row>
    <row r="795" spans="2:17" x14ac:dyDescent="0.3">
      <c r="B795" s="333">
        <v>40</v>
      </c>
      <c r="C795" s="333"/>
      <c r="D795" s="333"/>
      <c r="E795" s="333"/>
      <c r="F795" s="333"/>
      <c r="G795" s="333"/>
      <c r="H795" s="333"/>
      <c r="I795" s="333"/>
      <c r="J795" s="333"/>
      <c r="K795" s="333"/>
      <c r="L795" s="361"/>
      <c r="M795" s="333">
        <f t="shared" si="109"/>
        <v>20</v>
      </c>
      <c r="N795" s="333" t="e">
        <f t="shared" si="110"/>
        <v>#DIV/0!</v>
      </c>
      <c r="O795" s="333" t="e">
        <f t="shared" si="111"/>
        <v>#DIV/0!</v>
      </c>
      <c r="P795" s="334" t="e">
        <f t="shared" si="112"/>
        <v>#DIV/0!</v>
      </c>
      <c r="Q795" s="334" t="e">
        <f t="shared" si="113"/>
        <v>#DIV/0!</v>
      </c>
    </row>
    <row r="796" spans="2:17" x14ac:dyDescent="0.3">
      <c r="B796" s="333">
        <v>40</v>
      </c>
      <c r="C796" s="333"/>
      <c r="D796" s="333"/>
      <c r="E796" s="333"/>
      <c r="F796" s="333"/>
      <c r="G796" s="333"/>
      <c r="H796" s="333"/>
      <c r="I796" s="333"/>
      <c r="J796" s="333"/>
      <c r="K796" s="333"/>
      <c r="L796" s="361"/>
      <c r="M796" s="333">
        <f t="shared" ref="M796:M851" si="114">B796/2</f>
        <v>20</v>
      </c>
      <c r="N796" s="333" t="e">
        <f t="shared" si="110"/>
        <v>#DIV/0!</v>
      </c>
      <c r="O796" s="333" t="e">
        <f t="shared" si="111"/>
        <v>#DIV/0!</v>
      </c>
      <c r="P796" s="334" t="e">
        <f t="shared" si="112"/>
        <v>#DIV/0!</v>
      </c>
      <c r="Q796" s="334" t="e">
        <f t="shared" si="113"/>
        <v>#DIV/0!</v>
      </c>
    </row>
    <row r="797" spans="2:17" x14ac:dyDescent="0.3">
      <c r="B797" s="333">
        <v>40</v>
      </c>
      <c r="C797" s="333"/>
      <c r="D797" s="333"/>
      <c r="E797" s="333"/>
      <c r="F797" s="333"/>
      <c r="G797" s="333"/>
      <c r="H797" s="333"/>
      <c r="I797" s="333"/>
      <c r="J797" s="333"/>
      <c r="K797" s="333"/>
      <c r="L797" s="361"/>
      <c r="M797" s="333">
        <f t="shared" si="114"/>
        <v>20</v>
      </c>
      <c r="N797" s="333" t="e">
        <f t="shared" si="110"/>
        <v>#DIV/0!</v>
      </c>
      <c r="O797" s="333" t="e">
        <f t="shared" si="111"/>
        <v>#DIV/0!</v>
      </c>
      <c r="P797" s="334" t="e">
        <f t="shared" si="112"/>
        <v>#DIV/0!</v>
      </c>
      <c r="Q797" s="334" t="e">
        <f t="shared" si="113"/>
        <v>#DIV/0!</v>
      </c>
    </row>
    <row r="798" spans="2:17" x14ac:dyDescent="0.3">
      <c r="B798" s="333">
        <v>40</v>
      </c>
      <c r="C798" s="333"/>
      <c r="D798" s="333"/>
      <c r="E798" s="333"/>
      <c r="F798" s="333"/>
      <c r="G798" s="333"/>
      <c r="H798" s="333"/>
      <c r="I798" s="333"/>
      <c r="J798" s="333"/>
      <c r="K798" s="333"/>
      <c r="L798" s="361"/>
      <c r="M798" s="333">
        <f t="shared" si="114"/>
        <v>20</v>
      </c>
      <c r="N798" s="333" t="e">
        <f t="shared" ref="N798:N851" si="115">(SUM(C798:E798)-SUM($C$191:$E$191))*$F$71</f>
        <v>#DIV/0!</v>
      </c>
      <c r="O798" s="333" t="e">
        <f t="shared" ref="O798:O851" si="116">(SUM(F798:H798)-SUM($F$191:$H$191))*$G$71</f>
        <v>#DIV/0!</v>
      </c>
      <c r="P798" s="334" t="e">
        <f t="shared" ref="P798:P851" si="117">N798-M798</f>
        <v>#DIV/0!</v>
      </c>
      <c r="Q798" s="334" t="e">
        <f t="shared" ref="Q798:Q851" si="118">O798-M798</f>
        <v>#DIV/0!</v>
      </c>
    </row>
    <row r="799" spans="2:17" x14ac:dyDescent="0.3">
      <c r="B799" s="333">
        <v>40</v>
      </c>
      <c r="C799" s="333"/>
      <c r="D799" s="333"/>
      <c r="E799" s="333"/>
      <c r="F799" s="333"/>
      <c r="G799" s="333"/>
      <c r="H799" s="333"/>
      <c r="I799" s="333"/>
      <c r="J799" s="333"/>
      <c r="K799" s="333"/>
      <c r="L799" s="361"/>
      <c r="M799" s="333">
        <f t="shared" si="114"/>
        <v>20</v>
      </c>
      <c r="N799" s="333" t="e">
        <f t="shared" si="115"/>
        <v>#DIV/0!</v>
      </c>
      <c r="O799" s="333" t="e">
        <f t="shared" si="116"/>
        <v>#DIV/0!</v>
      </c>
      <c r="P799" s="334" t="e">
        <f t="shared" si="117"/>
        <v>#DIV/0!</v>
      </c>
      <c r="Q799" s="334" t="e">
        <f t="shared" si="118"/>
        <v>#DIV/0!</v>
      </c>
    </row>
    <row r="800" spans="2:17" x14ac:dyDescent="0.3">
      <c r="B800" s="333">
        <v>40</v>
      </c>
      <c r="C800" s="333"/>
      <c r="D800" s="333"/>
      <c r="E800" s="333"/>
      <c r="F800" s="333"/>
      <c r="G800" s="333"/>
      <c r="H800" s="333"/>
      <c r="I800" s="333"/>
      <c r="J800" s="333"/>
      <c r="K800" s="333"/>
      <c r="L800" s="361"/>
      <c r="M800" s="333">
        <f t="shared" si="114"/>
        <v>20</v>
      </c>
      <c r="N800" s="333" t="e">
        <f t="shared" si="115"/>
        <v>#DIV/0!</v>
      </c>
      <c r="O800" s="333" t="e">
        <f t="shared" si="116"/>
        <v>#DIV/0!</v>
      </c>
      <c r="P800" s="334" t="e">
        <f t="shared" si="117"/>
        <v>#DIV/0!</v>
      </c>
      <c r="Q800" s="334" t="e">
        <f t="shared" si="118"/>
        <v>#DIV/0!</v>
      </c>
    </row>
    <row r="801" spans="2:17" x14ac:dyDescent="0.3">
      <c r="B801" s="333">
        <v>40</v>
      </c>
      <c r="C801" s="333"/>
      <c r="D801" s="333"/>
      <c r="E801" s="333"/>
      <c r="F801" s="333"/>
      <c r="G801" s="333"/>
      <c r="H801" s="333"/>
      <c r="I801" s="333"/>
      <c r="J801" s="333"/>
      <c r="K801" s="333"/>
      <c r="L801" s="361"/>
      <c r="M801" s="333">
        <f t="shared" si="114"/>
        <v>20</v>
      </c>
      <c r="N801" s="333" t="e">
        <f t="shared" si="115"/>
        <v>#DIV/0!</v>
      </c>
      <c r="O801" s="333" t="e">
        <f t="shared" si="116"/>
        <v>#DIV/0!</v>
      </c>
      <c r="P801" s="334" t="e">
        <f t="shared" si="117"/>
        <v>#DIV/0!</v>
      </c>
      <c r="Q801" s="334" t="e">
        <f t="shared" si="118"/>
        <v>#DIV/0!</v>
      </c>
    </row>
    <row r="802" spans="2:17" x14ac:dyDescent="0.3">
      <c r="B802" s="333">
        <v>40</v>
      </c>
      <c r="C802" s="333"/>
      <c r="D802" s="333"/>
      <c r="E802" s="333"/>
      <c r="F802" s="333"/>
      <c r="G802" s="333"/>
      <c r="H802" s="333"/>
      <c r="I802" s="333"/>
      <c r="J802" s="333"/>
      <c r="K802" s="333"/>
      <c r="L802" s="361"/>
      <c r="M802" s="333">
        <f t="shared" si="114"/>
        <v>20</v>
      </c>
      <c r="N802" s="333" t="e">
        <f t="shared" si="115"/>
        <v>#DIV/0!</v>
      </c>
      <c r="O802" s="333" t="e">
        <f t="shared" si="116"/>
        <v>#DIV/0!</v>
      </c>
      <c r="P802" s="334" t="e">
        <f t="shared" si="117"/>
        <v>#DIV/0!</v>
      </c>
      <c r="Q802" s="334" t="e">
        <f t="shared" si="118"/>
        <v>#DIV/0!</v>
      </c>
    </row>
    <row r="803" spans="2:17" x14ac:dyDescent="0.3">
      <c r="B803" s="333">
        <v>40</v>
      </c>
      <c r="C803" s="333"/>
      <c r="D803" s="333"/>
      <c r="E803" s="333"/>
      <c r="F803" s="333"/>
      <c r="G803" s="333"/>
      <c r="H803" s="333"/>
      <c r="I803" s="333"/>
      <c r="J803" s="333"/>
      <c r="K803" s="333"/>
      <c r="L803" s="361"/>
      <c r="M803" s="333">
        <f t="shared" si="114"/>
        <v>20</v>
      </c>
      <c r="N803" s="333" t="e">
        <f t="shared" si="115"/>
        <v>#DIV/0!</v>
      </c>
      <c r="O803" s="333" t="e">
        <f t="shared" si="116"/>
        <v>#DIV/0!</v>
      </c>
      <c r="P803" s="334" t="e">
        <f t="shared" si="117"/>
        <v>#DIV/0!</v>
      </c>
      <c r="Q803" s="334" t="e">
        <f t="shared" si="118"/>
        <v>#DIV/0!</v>
      </c>
    </row>
    <row r="804" spans="2:17" x14ac:dyDescent="0.3">
      <c r="B804" s="333">
        <v>40</v>
      </c>
      <c r="C804" s="333"/>
      <c r="D804" s="333"/>
      <c r="E804" s="333"/>
      <c r="F804" s="333"/>
      <c r="G804" s="333"/>
      <c r="H804" s="333"/>
      <c r="I804" s="333"/>
      <c r="J804" s="333"/>
      <c r="K804" s="333"/>
      <c r="L804" s="361"/>
      <c r="M804" s="333">
        <f t="shared" si="114"/>
        <v>20</v>
      </c>
      <c r="N804" s="333" t="e">
        <f t="shared" si="115"/>
        <v>#DIV/0!</v>
      </c>
      <c r="O804" s="333" t="e">
        <f t="shared" si="116"/>
        <v>#DIV/0!</v>
      </c>
      <c r="P804" s="334" t="e">
        <f t="shared" si="117"/>
        <v>#DIV/0!</v>
      </c>
      <c r="Q804" s="334" t="e">
        <f t="shared" si="118"/>
        <v>#DIV/0!</v>
      </c>
    </row>
    <row r="805" spans="2:17" x14ac:dyDescent="0.3">
      <c r="B805" s="333">
        <v>40</v>
      </c>
      <c r="C805" s="333"/>
      <c r="D805" s="333"/>
      <c r="E805" s="333"/>
      <c r="F805" s="333"/>
      <c r="G805" s="333"/>
      <c r="H805" s="333"/>
      <c r="I805" s="333"/>
      <c r="J805" s="333"/>
      <c r="K805" s="333"/>
      <c r="L805" s="361"/>
      <c r="M805" s="333">
        <f t="shared" si="114"/>
        <v>20</v>
      </c>
      <c r="N805" s="333" t="e">
        <f t="shared" si="115"/>
        <v>#DIV/0!</v>
      </c>
      <c r="O805" s="333" t="e">
        <f t="shared" si="116"/>
        <v>#DIV/0!</v>
      </c>
      <c r="P805" s="334" t="e">
        <f t="shared" si="117"/>
        <v>#DIV/0!</v>
      </c>
      <c r="Q805" s="334" t="e">
        <f t="shared" si="118"/>
        <v>#DIV/0!</v>
      </c>
    </row>
    <row r="806" spans="2:17" x14ac:dyDescent="0.3">
      <c r="B806" s="333">
        <v>40</v>
      </c>
      <c r="C806" s="333"/>
      <c r="D806" s="333"/>
      <c r="E806" s="333"/>
      <c r="F806" s="333"/>
      <c r="G806" s="333"/>
      <c r="H806" s="333"/>
      <c r="I806" s="333"/>
      <c r="J806" s="333"/>
      <c r="K806" s="333"/>
      <c r="L806" s="361"/>
      <c r="M806" s="333">
        <f t="shared" si="114"/>
        <v>20</v>
      </c>
      <c r="N806" s="333" t="e">
        <f t="shared" si="115"/>
        <v>#DIV/0!</v>
      </c>
      <c r="O806" s="333" t="e">
        <f t="shared" si="116"/>
        <v>#DIV/0!</v>
      </c>
      <c r="P806" s="334" t="e">
        <f t="shared" si="117"/>
        <v>#DIV/0!</v>
      </c>
      <c r="Q806" s="334" t="e">
        <f t="shared" si="118"/>
        <v>#DIV/0!</v>
      </c>
    </row>
    <row r="807" spans="2:17" x14ac:dyDescent="0.3">
      <c r="B807" s="333">
        <v>40</v>
      </c>
      <c r="C807" s="333"/>
      <c r="D807" s="333"/>
      <c r="E807" s="333"/>
      <c r="F807" s="333"/>
      <c r="G807" s="333"/>
      <c r="H807" s="333"/>
      <c r="I807" s="333"/>
      <c r="J807" s="333"/>
      <c r="K807" s="333"/>
      <c r="L807" s="361"/>
      <c r="M807" s="333">
        <f t="shared" si="114"/>
        <v>20</v>
      </c>
      <c r="N807" s="333" t="e">
        <f t="shared" si="115"/>
        <v>#DIV/0!</v>
      </c>
      <c r="O807" s="333" t="e">
        <f t="shared" si="116"/>
        <v>#DIV/0!</v>
      </c>
      <c r="P807" s="334" t="e">
        <f t="shared" si="117"/>
        <v>#DIV/0!</v>
      </c>
      <c r="Q807" s="334" t="e">
        <f t="shared" si="118"/>
        <v>#DIV/0!</v>
      </c>
    </row>
    <row r="808" spans="2:17" x14ac:dyDescent="0.3">
      <c r="B808" s="333">
        <v>40</v>
      </c>
      <c r="C808" s="333"/>
      <c r="D808" s="333"/>
      <c r="E808" s="333"/>
      <c r="F808" s="333"/>
      <c r="G808" s="333"/>
      <c r="H808" s="333"/>
      <c r="I808" s="333"/>
      <c r="J808" s="333"/>
      <c r="K808" s="333"/>
      <c r="L808" s="361"/>
      <c r="M808" s="333">
        <f t="shared" si="114"/>
        <v>20</v>
      </c>
      <c r="N808" s="333" t="e">
        <f t="shared" si="115"/>
        <v>#DIV/0!</v>
      </c>
      <c r="O808" s="333" t="e">
        <f t="shared" si="116"/>
        <v>#DIV/0!</v>
      </c>
      <c r="P808" s="334" t="e">
        <f t="shared" si="117"/>
        <v>#DIV/0!</v>
      </c>
      <c r="Q808" s="334" t="e">
        <f t="shared" si="118"/>
        <v>#DIV/0!</v>
      </c>
    </row>
    <row r="809" spans="2:17" x14ac:dyDescent="0.3">
      <c r="B809" s="333">
        <v>40</v>
      </c>
      <c r="C809" s="333"/>
      <c r="D809" s="333"/>
      <c r="E809" s="333"/>
      <c r="F809" s="333"/>
      <c r="G809" s="333"/>
      <c r="H809" s="333"/>
      <c r="I809" s="333"/>
      <c r="J809" s="333"/>
      <c r="K809" s="333"/>
      <c r="L809" s="361"/>
      <c r="M809" s="333">
        <f t="shared" si="114"/>
        <v>20</v>
      </c>
      <c r="N809" s="333" t="e">
        <f t="shared" si="115"/>
        <v>#DIV/0!</v>
      </c>
      <c r="O809" s="333" t="e">
        <f t="shared" si="116"/>
        <v>#DIV/0!</v>
      </c>
      <c r="P809" s="334" t="e">
        <f t="shared" si="117"/>
        <v>#DIV/0!</v>
      </c>
      <c r="Q809" s="334" t="e">
        <f t="shared" si="118"/>
        <v>#DIV/0!</v>
      </c>
    </row>
    <row r="810" spans="2:17" x14ac:dyDescent="0.3">
      <c r="B810" s="333">
        <v>40</v>
      </c>
      <c r="C810" s="333"/>
      <c r="D810" s="333"/>
      <c r="E810" s="333"/>
      <c r="F810" s="333"/>
      <c r="G810" s="333"/>
      <c r="H810" s="333"/>
      <c r="I810" s="333"/>
      <c r="J810" s="333"/>
      <c r="K810" s="333"/>
      <c r="L810" s="361"/>
      <c r="M810" s="333">
        <f t="shared" si="114"/>
        <v>20</v>
      </c>
      <c r="N810" s="333" t="e">
        <f t="shared" si="115"/>
        <v>#DIV/0!</v>
      </c>
      <c r="O810" s="333" t="e">
        <f t="shared" si="116"/>
        <v>#DIV/0!</v>
      </c>
      <c r="P810" s="334" t="e">
        <f t="shared" si="117"/>
        <v>#DIV/0!</v>
      </c>
      <c r="Q810" s="334" t="e">
        <f t="shared" si="118"/>
        <v>#DIV/0!</v>
      </c>
    </row>
    <row r="811" spans="2:17" x14ac:dyDescent="0.3">
      <c r="B811" s="333">
        <v>40</v>
      </c>
      <c r="C811" s="333"/>
      <c r="D811" s="333"/>
      <c r="E811" s="333"/>
      <c r="F811" s="333"/>
      <c r="G811" s="333"/>
      <c r="H811" s="333"/>
      <c r="I811" s="333"/>
      <c r="J811" s="333"/>
      <c r="K811" s="333"/>
      <c r="L811" s="361"/>
      <c r="M811" s="333">
        <f t="shared" si="114"/>
        <v>20</v>
      </c>
      <c r="N811" s="333" t="e">
        <f t="shared" si="115"/>
        <v>#DIV/0!</v>
      </c>
      <c r="O811" s="333" t="e">
        <f t="shared" si="116"/>
        <v>#DIV/0!</v>
      </c>
      <c r="P811" s="334" t="e">
        <f t="shared" si="117"/>
        <v>#DIV/0!</v>
      </c>
      <c r="Q811" s="334" t="e">
        <f t="shared" si="118"/>
        <v>#DIV/0!</v>
      </c>
    </row>
    <row r="812" spans="2:17" x14ac:dyDescent="0.3">
      <c r="B812" s="333">
        <v>60</v>
      </c>
      <c r="C812" s="333"/>
      <c r="D812" s="333"/>
      <c r="E812" s="333"/>
      <c r="F812" s="333"/>
      <c r="G812" s="333"/>
      <c r="H812" s="333"/>
      <c r="I812" s="333"/>
      <c r="J812" s="333"/>
      <c r="K812" s="333"/>
      <c r="L812" s="361"/>
      <c r="M812" s="333">
        <f t="shared" si="114"/>
        <v>30</v>
      </c>
      <c r="N812" s="333" t="e">
        <f t="shared" si="115"/>
        <v>#DIV/0!</v>
      </c>
      <c r="O812" s="333" t="e">
        <f t="shared" si="116"/>
        <v>#DIV/0!</v>
      </c>
      <c r="P812" s="334" t="e">
        <f t="shared" si="117"/>
        <v>#DIV/0!</v>
      </c>
      <c r="Q812" s="334" t="e">
        <f t="shared" si="118"/>
        <v>#DIV/0!</v>
      </c>
    </row>
    <row r="813" spans="2:17" x14ac:dyDescent="0.3">
      <c r="B813" s="333">
        <v>60</v>
      </c>
      <c r="C813" s="333"/>
      <c r="D813" s="333"/>
      <c r="E813" s="333"/>
      <c r="F813" s="333"/>
      <c r="G813" s="333"/>
      <c r="H813" s="333"/>
      <c r="I813" s="333"/>
      <c r="J813" s="333"/>
      <c r="K813" s="333"/>
      <c r="L813" s="361"/>
      <c r="M813" s="333">
        <f t="shared" si="114"/>
        <v>30</v>
      </c>
      <c r="N813" s="333" t="e">
        <f t="shared" si="115"/>
        <v>#DIV/0!</v>
      </c>
      <c r="O813" s="333" t="e">
        <f t="shared" si="116"/>
        <v>#DIV/0!</v>
      </c>
      <c r="P813" s="334" t="e">
        <f t="shared" si="117"/>
        <v>#DIV/0!</v>
      </c>
      <c r="Q813" s="334" t="e">
        <f t="shared" si="118"/>
        <v>#DIV/0!</v>
      </c>
    </row>
    <row r="814" spans="2:17" x14ac:dyDescent="0.3">
      <c r="B814" s="333">
        <v>60</v>
      </c>
      <c r="C814" s="333"/>
      <c r="D814" s="333"/>
      <c r="E814" s="333"/>
      <c r="F814" s="333"/>
      <c r="G814" s="333"/>
      <c r="H814" s="333"/>
      <c r="I814" s="333"/>
      <c r="J814" s="333"/>
      <c r="K814" s="333"/>
      <c r="L814" s="361"/>
      <c r="M814" s="333">
        <f t="shared" si="114"/>
        <v>30</v>
      </c>
      <c r="N814" s="333" t="e">
        <f t="shared" si="115"/>
        <v>#DIV/0!</v>
      </c>
      <c r="O814" s="333" t="e">
        <f t="shared" si="116"/>
        <v>#DIV/0!</v>
      </c>
      <c r="P814" s="334" t="e">
        <f t="shared" si="117"/>
        <v>#DIV/0!</v>
      </c>
      <c r="Q814" s="334" t="e">
        <f t="shared" si="118"/>
        <v>#DIV/0!</v>
      </c>
    </row>
    <row r="815" spans="2:17" x14ac:dyDescent="0.3">
      <c r="B815" s="333">
        <v>60</v>
      </c>
      <c r="C815" s="333"/>
      <c r="D815" s="333"/>
      <c r="E815" s="333"/>
      <c r="F815" s="333"/>
      <c r="G815" s="333"/>
      <c r="H815" s="333"/>
      <c r="I815" s="333"/>
      <c r="J815" s="333"/>
      <c r="K815" s="333"/>
      <c r="L815" s="361"/>
      <c r="M815" s="333">
        <f t="shared" si="114"/>
        <v>30</v>
      </c>
      <c r="N815" s="333" t="e">
        <f t="shared" si="115"/>
        <v>#DIV/0!</v>
      </c>
      <c r="O815" s="333" t="e">
        <f t="shared" si="116"/>
        <v>#DIV/0!</v>
      </c>
      <c r="P815" s="334" t="e">
        <f t="shared" si="117"/>
        <v>#DIV/0!</v>
      </c>
      <c r="Q815" s="334" t="e">
        <f t="shared" si="118"/>
        <v>#DIV/0!</v>
      </c>
    </row>
    <row r="816" spans="2:17" x14ac:dyDescent="0.3">
      <c r="B816" s="333">
        <v>60</v>
      </c>
      <c r="C816" s="333"/>
      <c r="D816" s="333"/>
      <c r="E816" s="333"/>
      <c r="F816" s="333"/>
      <c r="G816" s="333"/>
      <c r="H816" s="333"/>
      <c r="I816" s="333"/>
      <c r="J816" s="333"/>
      <c r="K816" s="333"/>
      <c r="L816" s="361"/>
      <c r="M816" s="333">
        <f t="shared" si="114"/>
        <v>30</v>
      </c>
      <c r="N816" s="333" t="e">
        <f t="shared" si="115"/>
        <v>#DIV/0!</v>
      </c>
      <c r="O816" s="333" t="e">
        <f t="shared" si="116"/>
        <v>#DIV/0!</v>
      </c>
      <c r="P816" s="334" t="e">
        <f t="shared" si="117"/>
        <v>#DIV/0!</v>
      </c>
      <c r="Q816" s="334" t="e">
        <f t="shared" si="118"/>
        <v>#DIV/0!</v>
      </c>
    </row>
    <row r="817" spans="2:17" x14ac:dyDescent="0.3">
      <c r="B817" s="333">
        <v>60</v>
      </c>
      <c r="C817" s="333"/>
      <c r="D817" s="333"/>
      <c r="E817" s="333"/>
      <c r="F817" s="333"/>
      <c r="G817" s="333"/>
      <c r="H817" s="333"/>
      <c r="I817" s="333"/>
      <c r="J817" s="333"/>
      <c r="K817" s="333"/>
      <c r="L817" s="361"/>
      <c r="M817" s="333">
        <f t="shared" si="114"/>
        <v>30</v>
      </c>
      <c r="N817" s="333" t="e">
        <f t="shared" si="115"/>
        <v>#DIV/0!</v>
      </c>
      <c r="O817" s="333" t="e">
        <f t="shared" si="116"/>
        <v>#DIV/0!</v>
      </c>
      <c r="P817" s="334" t="e">
        <f t="shared" si="117"/>
        <v>#DIV/0!</v>
      </c>
      <c r="Q817" s="334" t="e">
        <f t="shared" si="118"/>
        <v>#DIV/0!</v>
      </c>
    </row>
    <row r="818" spans="2:17" x14ac:dyDescent="0.3">
      <c r="B818" s="333">
        <v>60</v>
      </c>
      <c r="C818" s="333"/>
      <c r="D818" s="333"/>
      <c r="E818" s="333"/>
      <c r="F818" s="333"/>
      <c r="G818" s="333"/>
      <c r="H818" s="333"/>
      <c r="I818" s="333"/>
      <c r="J818" s="333"/>
      <c r="K818" s="333"/>
      <c r="L818" s="361"/>
      <c r="M818" s="333">
        <f t="shared" si="114"/>
        <v>30</v>
      </c>
      <c r="N818" s="333" t="e">
        <f t="shared" si="115"/>
        <v>#DIV/0!</v>
      </c>
      <c r="O818" s="333" t="e">
        <f t="shared" si="116"/>
        <v>#DIV/0!</v>
      </c>
      <c r="P818" s="334" t="e">
        <f t="shared" si="117"/>
        <v>#DIV/0!</v>
      </c>
      <c r="Q818" s="334" t="e">
        <f t="shared" si="118"/>
        <v>#DIV/0!</v>
      </c>
    </row>
    <row r="819" spans="2:17" x14ac:dyDescent="0.3">
      <c r="B819" s="333">
        <v>60</v>
      </c>
      <c r="C819" s="333"/>
      <c r="D819" s="333"/>
      <c r="E819" s="333"/>
      <c r="F819" s="333"/>
      <c r="G819" s="333"/>
      <c r="H819" s="333"/>
      <c r="I819" s="333"/>
      <c r="J819" s="333"/>
      <c r="K819" s="333"/>
      <c r="L819" s="361"/>
      <c r="M819" s="333">
        <f t="shared" si="114"/>
        <v>30</v>
      </c>
      <c r="N819" s="333" t="e">
        <f t="shared" si="115"/>
        <v>#DIV/0!</v>
      </c>
      <c r="O819" s="333" t="e">
        <f t="shared" si="116"/>
        <v>#DIV/0!</v>
      </c>
      <c r="P819" s="334" t="e">
        <f t="shared" si="117"/>
        <v>#DIV/0!</v>
      </c>
      <c r="Q819" s="334" t="e">
        <f t="shared" si="118"/>
        <v>#DIV/0!</v>
      </c>
    </row>
    <row r="820" spans="2:17" x14ac:dyDescent="0.3">
      <c r="B820" s="333">
        <v>60</v>
      </c>
      <c r="C820" s="333"/>
      <c r="D820" s="333"/>
      <c r="E820" s="333"/>
      <c r="F820" s="333"/>
      <c r="G820" s="333"/>
      <c r="H820" s="333"/>
      <c r="I820" s="333"/>
      <c r="J820" s="333"/>
      <c r="K820" s="333"/>
      <c r="L820" s="361"/>
      <c r="M820" s="333">
        <f t="shared" si="114"/>
        <v>30</v>
      </c>
      <c r="N820" s="333" t="e">
        <f t="shared" si="115"/>
        <v>#DIV/0!</v>
      </c>
      <c r="O820" s="333" t="e">
        <f t="shared" si="116"/>
        <v>#DIV/0!</v>
      </c>
      <c r="P820" s="334" t="e">
        <f t="shared" si="117"/>
        <v>#DIV/0!</v>
      </c>
      <c r="Q820" s="334" t="e">
        <f t="shared" si="118"/>
        <v>#DIV/0!</v>
      </c>
    </row>
    <row r="821" spans="2:17" x14ac:dyDescent="0.3">
      <c r="B821" s="333">
        <v>60</v>
      </c>
      <c r="C821" s="333"/>
      <c r="D821" s="333"/>
      <c r="E821" s="333"/>
      <c r="F821" s="333"/>
      <c r="G821" s="333"/>
      <c r="H821" s="333"/>
      <c r="I821" s="333"/>
      <c r="J821" s="333"/>
      <c r="K821" s="333"/>
      <c r="L821" s="361"/>
      <c r="M821" s="333">
        <f t="shared" si="114"/>
        <v>30</v>
      </c>
      <c r="N821" s="333" t="e">
        <f t="shared" si="115"/>
        <v>#DIV/0!</v>
      </c>
      <c r="O821" s="333" t="e">
        <f t="shared" si="116"/>
        <v>#DIV/0!</v>
      </c>
      <c r="P821" s="334" t="e">
        <f t="shared" si="117"/>
        <v>#DIV/0!</v>
      </c>
      <c r="Q821" s="334" t="e">
        <f t="shared" si="118"/>
        <v>#DIV/0!</v>
      </c>
    </row>
    <row r="822" spans="2:17" x14ac:dyDescent="0.3">
      <c r="B822" s="333">
        <v>60</v>
      </c>
      <c r="C822" s="333"/>
      <c r="D822" s="333"/>
      <c r="E822" s="333"/>
      <c r="F822" s="333"/>
      <c r="G822" s="333"/>
      <c r="H822" s="333"/>
      <c r="I822" s="333"/>
      <c r="J822" s="333"/>
      <c r="K822" s="333"/>
      <c r="L822" s="361"/>
      <c r="M822" s="333">
        <f t="shared" si="114"/>
        <v>30</v>
      </c>
      <c r="N822" s="333" t="e">
        <f t="shared" si="115"/>
        <v>#DIV/0!</v>
      </c>
      <c r="O822" s="333" t="e">
        <f t="shared" si="116"/>
        <v>#DIV/0!</v>
      </c>
      <c r="P822" s="334" t="e">
        <f t="shared" si="117"/>
        <v>#DIV/0!</v>
      </c>
      <c r="Q822" s="334" t="e">
        <f t="shared" si="118"/>
        <v>#DIV/0!</v>
      </c>
    </row>
    <row r="823" spans="2:17" x14ac:dyDescent="0.3">
      <c r="B823" s="333">
        <v>60</v>
      </c>
      <c r="C823" s="333"/>
      <c r="D823" s="333"/>
      <c r="E823" s="333"/>
      <c r="F823" s="333"/>
      <c r="G823" s="333"/>
      <c r="H823" s="333"/>
      <c r="I823" s="333"/>
      <c r="J823" s="333"/>
      <c r="K823" s="333"/>
      <c r="L823" s="361"/>
      <c r="M823" s="333">
        <f t="shared" si="114"/>
        <v>30</v>
      </c>
      <c r="N823" s="333" t="e">
        <f t="shared" si="115"/>
        <v>#DIV/0!</v>
      </c>
      <c r="O823" s="333" t="e">
        <f t="shared" si="116"/>
        <v>#DIV/0!</v>
      </c>
      <c r="P823" s="334" t="e">
        <f t="shared" si="117"/>
        <v>#DIV/0!</v>
      </c>
      <c r="Q823" s="334" t="e">
        <f t="shared" si="118"/>
        <v>#DIV/0!</v>
      </c>
    </row>
    <row r="824" spans="2:17" x14ac:dyDescent="0.3">
      <c r="B824" s="333">
        <v>60</v>
      </c>
      <c r="C824" s="333"/>
      <c r="D824" s="333"/>
      <c r="E824" s="333"/>
      <c r="F824" s="333"/>
      <c r="G824" s="333"/>
      <c r="H824" s="333"/>
      <c r="I824" s="333"/>
      <c r="J824" s="333"/>
      <c r="K824" s="333"/>
      <c r="L824" s="361"/>
      <c r="M824" s="333">
        <f t="shared" si="114"/>
        <v>30</v>
      </c>
      <c r="N824" s="333" t="e">
        <f t="shared" si="115"/>
        <v>#DIV/0!</v>
      </c>
      <c r="O824" s="333" t="e">
        <f t="shared" si="116"/>
        <v>#DIV/0!</v>
      </c>
      <c r="P824" s="334" t="e">
        <f t="shared" si="117"/>
        <v>#DIV/0!</v>
      </c>
      <c r="Q824" s="334" t="e">
        <f t="shared" si="118"/>
        <v>#DIV/0!</v>
      </c>
    </row>
    <row r="825" spans="2:17" x14ac:dyDescent="0.3">
      <c r="B825" s="333">
        <v>60</v>
      </c>
      <c r="C825" s="333"/>
      <c r="D825" s="333"/>
      <c r="E825" s="333"/>
      <c r="F825" s="333"/>
      <c r="G825" s="333"/>
      <c r="H825" s="333"/>
      <c r="I825" s="333"/>
      <c r="J825" s="333"/>
      <c r="K825" s="333"/>
      <c r="L825" s="361"/>
      <c r="M825" s="333">
        <f t="shared" si="114"/>
        <v>30</v>
      </c>
      <c r="N825" s="333" t="e">
        <f t="shared" si="115"/>
        <v>#DIV/0!</v>
      </c>
      <c r="O825" s="333" t="e">
        <f t="shared" si="116"/>
        <v>#DIV/0!</v>
      </c>
      <c r="P825" s="334" t="e">
        <f t="shared" si="117"/>
        <v>#DIV/0!</v>
      </c>
      <c r="Q825" s="334" t="e">
        <f t="shared" si="118"/>
        <v>#DIV/0!</v>
      </c>
    </row>
    <row r="826" spans="2:17" x14ac:dyDescent="0.3">
      <c r="B826" s="333">
        <v>60</v>
      </c>
      <c r="C826" s="333"/>
      <c r="D826" s="333"/>
      <c r="E826" s="333"/>
      <c r="F826" s="333"/>
      <c r="G826" s="333"/>
      <c r="H826" s="333"/>
      <c r="I826" s="333"/>
      <c r="J826" s="333"/>
      <c r="K826" s="333"/>
      <c r="L826" s="361"/>
      <c r="M826" s="333">
        <f t="shared" si="114"/>
        <v>30</v>
      </c>
      <c r="N826" s="333" t="e">
        <f t="shared" si="115"/>
        <v>#DIV/0!</v>
      </c>
      <c r="O826" s="333" t="e">
        <f t="shared" si="116"/>
        <v>#DIV/0!</v>
      </c>
      <c r="P826" s="334" t="e">
        <f t="shared" si="117"/>
        <v>#DIV/0!</v>
      </c>
      <c r="Q826" s="334" t="e">
        <f t="shared" si="118"/>
        <v>#DIV/0!</v>
      </c>
    </row>
    <row r="827" spans="2:17" x14ac:dyDescent="0.3">
      <c r="B827" s="333">
        <v>60</v>
      </c>
      <c r="C827" s="333"/>
      <c r="D827" s="333"/>
      <c r="E827" s="333"/>
      <c r="F827" s="333"/>
      <c r="G827" s="333"/>
      <c r="H827" s="333"/>
      <c r="I827" s="333"/>
      <c r="J827" s="333"/>
      <c r="K827" s="333"/>
      <c r="L827" s="361"/>
      <c r="M827" s="333">
        <f t="shared" si="114"/>
        <v>30</v>
      </c>
      <c r="N827" s="333" t="e">
        <f t="shared" si="115"/>
        <v>#DIV/0!</v>
      </c>
      <c r="O827" s="333" t="e">
        <f t="shared" si="116"/>
        <v>#DIV/0!</v>
      </c>
      <c r="P827" s="334" t="e">
        <f t="shared" si="117"/>
        <v>#DIV/0!</v>
      </c>
      <c r="Q827" s="334" t="e">
        <f t="shared" si="118"/>
        <v>#DIV/0!</v>
      </c>
    </row>
    <row r="828" spans="2:17" x14ac:dyDescent="0.3">
      <c r="B828" s="333">
        <v>60</v>
      </c>
      <c r="C828" s="333"/>
      <c r="D828" s="333"/>
      <c r="E828" s="333"/>
      <c r="F828" s="333"/>
      <c r="G828" s="333"/>
      <c r="H828" s="333"/>
      <c r="I828" s="333"/>
      <c r="J828" s="333"/>
      <c r="K828" s="333"/>
      <c r="L828" s="361"/>
      <c r="M828" s="333">
        <f t="shared" si="114"/>
        <v>30</v>
      </c>
      <c r="N828" s="333" t="e">
        <f t="shared" si="115"/>
        <v>#DIV/0!</v>
      </c>
      <c r="O828" s="333" t="e">
        <f t="shared" si="116"/>
        <v>#DIV/0!</v>
      </c>
      <c r="P828" s="334" t="e">
        <f t="shared" si="117"/>
        <v>#DIV/0!</v>
      </c>
      <c r="Q828" s="334" t="e">
        <f t="shared" si="118"/>
        <v>#DIV/0!</v>
      </c>
    </row>
    <row r="829" spans="2:17" x14ac:dyDescent="0.3">
      <c r="B829" s="333">
        <v>60</v>
      </c>
      <c r="C829" s="333"/>
      <c r="D829" s="333"/>
      <c r="E829" s="333"/>
      <c r="F829" s="333"/>
      <c r="G829" s="333"/>
      <c r="H829" s="333"/>
      <c r="I829" s="333"/>
      <c r="J829" s="333"/>
      <c r="K829" s="333"/>
      <c r="L829" s="361"/>
      <c r="M829" s="333">
        <f t="shared" si="114"/>
        <v>30</v>
      </c>
      <c r="N829" s="333" t="e">
        <f t="shared" si="115"/>
        <v>#DIV/0!</v>
      </c>
      <c r="O829" s="333" t="e">
        <f t="shared" si="116"/>
        <v>#DIV/0!</v>
      </c>
      <c r="P829" s="334" t="e">
        <f t="shared" si="117"/>
        <v>#DIV/0!</v>
      </c>
      <c r="Q829" s="334" t="e">
        <f t="shared" si="118"/>
        <v>#DIV/0!</v>
      </c>
    </row>
    <row r="830" spans="2:17" x14ac:dyDescent="0.3">
      <c r="B830" s="333">
        <v>60</v>
      </c>
      <c r="C830" s="333"/>
      <c r="D830" s="333"/>
      <c r="E830" s="333"/>
      <c r="F830" s="333"/>
      <c r="G830" s="333"/>
      <c r="H830" s="333"/>
      <c r="I830" s="333"/>
      <c r="J830" s="333"/>
      <c r="K830" s="333"/>
      <c r="L830" s="361"/>
      <c r="M830" s="333">
        <f t="shared" si="114"/>
        <v>30</v>
      </c>
      <c r="N830" s="333" t="e">
        <f t="shared" si="115"/>
        <v>#DIV/0!</v>
      </c>
      <c r="O830" s="333" t="e">
        <f t="shared" si="116"/>
        <v>#DIV/0!</v>
      </c>
      <c r="P830" s="334" t="e">
        <f t="shared" si="117"/>
        <v>#DIV/0!</v>
      </c>
      <c r="Q830" s="334" t="e">
        <f t="shared" si="118"/>
        <v>#DIV/0!</v>
      </c>
    </row>
    <row r="831" spans="2:17" x14ac:dyDescent="0.3">
      <c r="B831" s="333">
        <v>60</v>
      </c>
      <c r="C831" s="333"/>
      <c r="D831" s="333"/>
      <c r="E831" s="333"/>
      <c r="F831" s="333"/>
      <c r="G831" s="333"/>
      <c r="H831" s="333"/>
      <c r="I831" s="333"/>
      <c r="J831" s="333"/>
      <c r="K831" s="333"/>
      <c r="L831" s="361"/>
      <c r="M831" s="333">
        <f t="shared" si="114"/>
        <v>30</v>
      </c>
      <c r="N831" s="333" t="e">
        <f t="shared" si="115"/>
        <v>#DIV/0!</v>
      </c>
      <c r="O831" s="333" t="e">
        <f t="shared" si="116"/>
        <v>#DIV/0!</v>
      </c>
      <c r="P831" s="334" t="e">
        <f t="shared" si="117"/>
        <v>#DIV/0!</v>
      </c>
      <c r="Q831" s="334" t="e">
        <f t="shared" si="118"/>
        <v>#DIV/0!</v>
      </c>
    </row>
    <row r="832" spans="2:17" x14ac:dyDescent="0.3">
      <c r="B832" s="333">
        <v>80</v>
      </c>
      <c r="C832" s="333"/>
      <c r="D832" s="333"/>
      <c r="E832" s="333"/>
      <c r="F832" s="333"/>
      <c r="G832" s="333"/>
      <c r="H832" s="333"/>
      <c r="I832" s="333"/>
      <c r="J832" s="333"/>
      <c r="K832" s="333"/>
      <c r="L832" s="361"/>
      <c r="M832" s="333">
        <f t="shared" si="114"/>
        <v>40</v>
      </c>
      <c r="N832" s="333" t="e">
        <f t="shared" si="115"/>
        <v>#DIV/0!</v>
      </c>
      <c r="O832" s="333" t="e">
        <f t="shared" si="116"/>
        <v>#DIV/0!</v>
      </c>
      <c r="P832" s="334" t="e">
        <f t="shared" si="117"/>
        <v>#DIV/0!</v>
      </c>
      <c r="Q832" s="334" t="e">
        <f t="shared" si="118"/>
        <v>#DIV/0!</v>
      </c>
    </row>
    <row r="833" spans="2:17" x14ac:dyDescent="0.3">
      <c r="B833" s="333">
        <v>80</v>
      </c>
      <c r="C833" s="333"/>
      <c r="D833" s="333"/>
      <c r="E833" s="333"/>
      <c r="F833" s="333"/>
      <c r="G833" s="333"/>
      <c r="H833" s="333"/>
      <c r="I833" s="333"/>
      <c r="J833" s="333"/>
      <c r="K833" s="333"/>
      <c r="L833" s="361"/>
      <c r="M833" s="333">
        <f t="shared" si="114"/>
        <v>40</v>
      </c>
      <c r="N833" s="333" t="e">
        <f t="shared" si="115"/>
        <v>#DIV/0!</v>
      </c>
      <c r="O833" s="333" t="e">
        <f t="shared" si="116"/>
        <v>#DIV/0!</v>
      </c>
      <c r="P833" s="334" t="e">
        <f t="shared" si="117"/>
        <v>#DIV/0!</v>
      </c>
      <c r="Q833" s="334" t="e">
        <f t="shared" si="118"/>
        <v>#DIV/0!</v>
      </c>
    </row>
    <row r="834" spans="2:17" x14ac:dyDescent="0.3">
      <c r="B834" s="333">
        <v>80</v>
      </c>
      <c r="C834" s="333"/>
      <c r="D834" s="333"/>
      <c r="E834" s="333"/>
      <c r="F834" s="333"/>
      <c r="G834" s="333"/>
      <c r="H834" s="333"/>
      <c r="I834" s="333"/>
      <c r="J834" s="333"/>
      <c r="K834" s="333"/>
      <c r="L834" s="361"/>
      <c r="M834" s="333">
        <f t="shared" si="114"/>
        <v>40</v>
      </c>
      <c r="N834" s="333" t="e">
        <f t="shared" si="115"/>
        <v>#DIV/0!</v>
      </c>
      <c r="O834" s="333" t="e">
        <f t="shared" si="116"/>
        <v>#DIV/0!</v>
      </c>
      <c r="P834" s="334" t="e">
        <f t="shared" si="117"/>
        <v>#DIV/0!</v>
      </c>
      <c r="Q834" s="334" t="e">
        <f t="shared" si="118"/>
        <v>#DIV/0!</v>
      </c>
    </row>
    <row r="835" spans="2:17" x14ac:dyDescent="0.3">
      <c r="B835" s="333">
        <v>80</v>
      </c>
      <c r="C835" s="333"/>
      <c r="D835" s="333"/>
      <c r="E835" s="333"/>
      <c r="F835" s="333"/>
      <c r="G835" s="333"/>
      <c r="H835" s="333"/>
      <c r="I835" s="333"/>
      <c r="J835" s="333"/>
      <c r="K835" s="333"/>
      <c r="L835" s="361"/>
      <c r="M835" s="333">
        <f t="shared" si="114"/>
        <v>40</v>
      </c>
      <c r="N835" s="333" t="e">
        <f t="shared" si="115"/>
        <v>#DIV/0!</v>
      </c>
      <c r="O835" s="333" t="e">
        <f t="shared" si="116"/>
        <v>#DIV/0!</v>
      </c>
      <c r="P835" s="334" t="e">
        <f t="shared" si="117"/>
        <v>#DIV/0!</v>
      </c>
      <c r="Q835" s="334" t="e">
        <f t="shared" si="118"/>
        <v>#DIV/0!</v>
      </c>
    </row>
    <row r="836" spans="2:17" x14ac:dyDescent="0.3">
      <c r="B836" s="333">
        <v>80</v>
      </c>
      <c r="C836" s="333"/>
      <c r="D836" s="333"/>
      <c r="E836" s="333"/>
      <c r="F836" s="333"/>
      <c r="G836" s="333"/>
      <c r="H836" s="333"/>
      <c r="I836" s="333"/>
      <c r="J836" s="333"/>
      <c r="K836" s="333"/>
      <c r="L836" s="361"/>
      <c r="M836" s="333">
        <f t="shared" si="114"/>
        <v>40</v>
      </c>
      <c r="N836" s="333" t="e">
        <f t="shared" si="115"/>
        <v>#DIV/0!</v>
      </c>
      <c r="O836" s="333" t="e">
        <f t="shared" si="116"/>
        <v>#DIV/0!</v>
      </c>
      <c r="P836" s="334" t="e">
        <f t="shared" si="117"/>
        <v>#DIV/0!</v>
      </c>
      <c r="Q836" s="334" t="e">
        <f t="shared" si="118"/>
        <v>#DIV/0!</v>
      </c>
    </row>
    <row r="837" spans="2:17" x14ac:dyDescent="0.3">
      <c r="B837" s="333">
        <v>80</v>
      </c>
      <c r="C837" s="333"/>
      <c r="D837" s="333"/>
      <c r="E837" s="333"/>
      <c r="F837" s="333"/>
      <c r="G837" s="333"/>
      <c r="H837" s="333"/>
      <c r="I837" s="333"/>
      <c r="J837" s="333"/>
      <c r="K837" s="333"/>
      <c r="L837" s="361"/>
      <c r="M837" s="333">
        <f t="shared" si="114"/>
        <v>40</v>
      </c>
      <c r="N837" s="333" t="e">
        <f t="shared" si="115"/>
        <v>#DIV/0!</v>
      </c>
      <c r="O837" s="333" t="e">
        <f t="shared" si="116"/>
        <v>#DIV/0!</v>
      </c>
      <c r="P837" s="334" t="e">
        <f t="shared" si="117"/>
        <v>#DIV/0!</v>
      </c>
      <c r="Q837" s="334" t="e">
        <f t="shared" si="118"/>
        <v>#DIV/0!</v>
      </c>
    </row>
    <row r="838" spans="2:17" x14ac:dyDescent="0.3">
      <c r="B838" s="333">
        <v>80</v>
      </c>
      <c r="C838" s="333"/>
      <c r="D838" s="333"/>
      <c r="E838" s="333"/>
      <c r="F838" s="333"/>
      <c r="G838" s="333"/>
      <c r="H838" s="333"/>
      <c r="I838" s="333"/>
      <c r="J838" s="333"/>
      <c r="K838" s="333"/>
      <c r="L838" s="361"/>
      <c r="M838" s="333">
        <f t="shared" si="114"/>
        <v>40</v>
      </c>
      <c r="N838" s="333" t="e">
        <f t="shared" si="115"/>
        <v>#DIV/0!</v>
      </c>
      <c r="O838" s="333" t="e">
        <f t="shared" si="116"/>
        <v>#DIV/0!</v>
      </c>
      <c r="P838" s="334" t="e">
        <f t="shared" si="117"/>
        <v>#DIV/0!</v>
      </c>
      <c r="Q838" s="334" t="e">
        <f t="shared" si="118"/>
        <v>#DIV/0!</v>
      </c>
    </row>
    <row r="839" spans="2:17" x14ac:dyDescent="0.3">
      <c r="B839" s="333">
        <v>80</v>
      </c>
      <c r="C839" s="333"/>
      <c r="D839" s="333"/>
      <c r="E839" s="333"/>
      <c r="F839" s="333"/>
      <c r="G839" s="333"/>
      <c r="H839" s="333"/>
      <c r="I839" s="333"/>
      <c r="J839" s="333"/>
      <c r="K839" s="333"/>
      <c r="L839" s="361"/>
      <c r="M839" s="333">
        <f t="shared" si="114"/>
        <v>40</v>
      </c>
      <c r="N839" s="333" t="e">
        <f t="shared" si="115"/>
        <v>#DIV/0!</v>
      </c>
      <c r="O839" s="333" t="e">
        <f t="shared" si="116"/>
        <v>#DIV/0!</v>
      </c>
      <c r="P839" s="334" t="e">
        <f t="shared" si="117"/>
        <v>#DIV/0!</v>
      </c>
      <c r="Q839" s="334" t="e">
        <f t="shared" si="118"/>
        <v>#DIV/0!</v>
      </c>
    </row>
    <row r="840" spans="2:17" x14ac:dyDescent="0.3">
      <c r="B840" s="333">
        <v>80</v>
      </c>
      <c r="C840" s="333"/>
      <c r="D840" s="333"/>
      <c r="E840" s="333"/>
      <c r="F840" s="333"/>
      <c r="G840" s="333"/>
      <c r="H840" s="333"/>
      <c r="I840" s="333"/>
      <c r="J840" s="333"/>
      <c r="K840" s="333"/>
      <c r="L840" s="361"/>
      <c r="M840" s="333">
        <f t="shared" si="114"/>
        <v>40</v>
      </c>
      <c r="N840" s="333" t="e">
        <f t="shared" si="115"/>
        <v>#DIV/0!</v>
      </c>
      <c r="O840" s="333" t="e">
        <f t="shared" si="116"/>
        <v>#DIV/0!</v>
      </c>
      <c r="P840" s="334" t="e">
        <f t="shared" si="117"/>
        <v>#DIV/0!</v>
      </c>
      <c r="Q840" s="334" t="e">
        <f t="shared" si="118"/>
        <v>#DIV/0!</v>
      </c>
    </row>
    <row r="841" spans="2:17" x14ac:dyDescent="0.3">
      <c r="B841" s="333">
        <v>80</v>
      </c>
      <c r="C841" s="333"/>
      <c r="D841" s="333"/>
      <c r="E841" s="333"/>
      <c r="F841" s="333"/>
      <c r="G841" s="333"/>
      <c r="H841" s="333"/>
      <c r="I841" s="333"/>
      <c r="J841" s="333"/>
      <c r="K841" s="333"/>
      <c r="L841" s="361"/>
      <c r="M841" s="333">
        <f t="shared" si="114"/>
        <v>40</v>
      </c>
      <c r="N841" s="333" t="e">
        <f t="shared" si="115"/>
        <v>#DIV/0!</v>
      </c>
      <c r="O841" s="333" t="e">
        <f t="shared" si="116"/>
        <v>#DIV/0!</v>
      </c>
      <c r="P841" s="334" t="e">
        <f t="shared" si="117"/>
        <v>#DIV/0!</v>
      </c>
      <c r="Q841" s="334" t="e">
        <f t="shared" si="118"/>
        <v>#DIV/0!</v>
      </c>
    </row>
    <row r="842" spans="2:17" x14ac:dyDescent="0.3">
      <c r="B842" s="333">
        <v>80</v>
      </c>
      <c r="C842" s="333"/>
      <c r="D842" s="333"/>
      <c r="E842" s="333"/>
      <c r="F842" s="333"/>
      <c r="G842" s="333"/>
      <c r="H842" s="333"/>
      <c r="I842" s="333"/>
      <c r="J842" s="333"/>
      <c r="K842" s="333"/>
      <c r="L842" s="361"/>
      <c r="M842" s="333">
        <f t="shared" si="114"/>
        <v>40</v>
      </c>
      <c r="N842" s="333" t="e">
        <f t="shared" si="115"/>
        <v>#DIV/0!</v>
      </c>
      <c r="O842" s="333" t="e">
        <f t="shared" si="116"/>
        <v>#DIV/0!</v>
      </c>
      <c r="P842" s="334" t="e">
        <f t="shared" si="117"/>
        <v>#DIV/0!</v>
      </c>
      <c r="Q842" s="334" t="e">
        <f t="shared" si="118"/>
        <v>#DIV/0!</v>
      </c>
    </row>
    <row r="843" spans="2:17" x14ac:dyDescent="0.3">
      <c r="B843" s="333">
        <v>80</v>
      </c>
      <c r="C843" s="333"/>
      <c r="D843" s="333"/>
      <c r="E843" s="333"/>
      <c r="F843" s="333"/>
      <c r="G843" s="333"/>
      <c r="H843" s="333"/>
      <c r="I843" s="333"/>
      <c r="J843" s="333"/>
      <c r="K843" s="333"/>
      <c r="L843" s="361"/>
      <c r="M843" s="333">
        <f t="shared" si="114"/>
        <v>40</v>
      </c>
      <c r="N843" s="333" t="e">
        <f t="shared" si="115"/>
        <v>#DIV/0!</v>
      </c>
      <c r="O843" s="333" t="e">
        <f t="shared" si="116"/>
        <v>#DIV/0!</v>
      </c>
      <c r="P843" s="334" t="e">
        <f t="shared" si="117"/>
        <v>#DIV/0!</v>
      </c>
      <c r="Q843" s="334" t="e">
        <f t="shared" si="118"/>
        <v>#DIV/0!</v>
      </c>
    </row>
    <row r="844" spans="2:17" x14ac:dyDescent="0.3">
      <c r="B844" s="333">
        <v>80</v>
      </c>
      <c r="C844" s="333"/>
      <c r="D844" s="333"/>
      <c r="E844" s="333"/>
      <c r="F844" s="333"/>
      <c r="G844" s="333"/>
      <c r="H844" s="333"/>
      <c r="I844" s="333"/>
      <c r="J844" s="333"/>
      <c r="K844" s="333"/>
      <c r="L844" s="361"/>
      <c r="M844" s="333">
        <f t="shared" si="114"/>
        <v>40</v>
      </c>
      <c r="N844" s="333" t="e">
        <f t="shared" si="115"/>
        <v>#DIV/0!</v>
      </c>
      <c r="O844" s="333" t="e">
        <f t="shared" si="116"/>
        <v>#DIV/0!</v>
      </c>
      <c r="P844" s="334" t="e">
        <f t="shared" si="117"/>
        <v>#DIV/0!</v>
      </c>
      <c r="Q844" s="334" t="e">
        <f t="shared" si="118"/>
        <v>#DIV/0!</v>
      </c>
    </row>
    <row r="845" spans="2:17" x14ac:dyDescent="0.3">
      <c r="B845" s="333">
        <v>80</v>
      </c>
      <c r="C845" s="333"/>
      <c r="D845" s="333"/>
      <c r="E845" s="333"/>
      <c r="F845" s="333"/>
      <c r="G845" s="333"/>
      <c r="H845" s="333"/>
      <c r="I845" s="333"/>
      <c r="J845" s="333"/>
      <c r="K845" s="333"/>
      <c r="L845" s="361"/>
      <c r="M845" s="333">
        <f t="shared" si="114"/>
        <v>40</v>
      </c>
      <c r="N845" s="333" t="e">
        <f t="shared" si="115"/>
        <v>#DIV/0!</v>
      </c>
      <c r="O845" s="333" t="e">
        <f t="shared" si="116"/>
        <v>#DIV/0!</v>
      </c>
      <c r="P845" s="334" t="e">
        <f t="shared" si="117"/>
        <v>#DIV/0!</v>
      </c>
      <c r="Q845" s="334" t="e">
        <f t="shared" si="118"/>
        <v>#DIV/0!</v>
      </c>
    </row>
    <row r="846" spans="2:17" x14ac:dyDescent="0.3">
      <c r="B846" s="333">
        <v>80</v>
      </c>
      <c r="C846" s="333"/>
      <c r="D846" s="333"/>
      <c r="E846" s="333"/>
      <c r="F846" s="333"/>
      <c r="G846" s="333"/>
      <c r="H846" s="333"/>
      <c r="I846" s="333"/>
      <c r="J846" s="333"/>
      <c r="K846" s="333"/>
      <c r="L846" s="361"/>
      <c r="M846" s="333">
        <f t="shared" si="114"/>
        <v>40</v>
      </c>
      <c r="N846" s="333" t="e">
        <f t="shared" si="115"/>
        <v>#DIV/0!</v>
      </c>
      <c r="O846" s="333" t="e">
        <f t="shared" si="116"/>
        <v>#DIV/0!</v>
      </c>
      <c r="P846" s="334" t="e">
        <f t="shared" si="117"/>
        <v>#DIV/0!</v>
      </c>
      <c r="Q846" s="334" t="e">
        <f t="shared" si="118"/>
        <v>#DIV/0!</v>
      </c>
    </row>
    <row r="847" spans="2:17" x14ac:dyDescent="0.3">
      <c r="B847" s="333">
        <v>80</v>
      </c>
      <c r="C847" s="333"/>
      <c r="D847" s="333"/>
      <c r="E847" s="333"/>
      <c r="F847" s="333"/>
      <c r="G847" s="333"/>
      <c r="H847" s="333"/>
      <c r="I847" s="333"/>
      <c r="J847" s="333"/>
      <c r="K847" s="333"/>
      <c r="L847" s="361"/>
      <c r="M847" s="333">
        <f t="shared" si="114"/>
        <v>40</v>
      </c>
      <c r="N847" s="333" t="e">
        <f t="shared" si="115"/>
        <v>#DIV/0!</v>
      </c>
      <c r="O847" s="333" t="e">
        <f t="shared" si="116"/>
        <v>#DIV/0!</v>
      </c>
      <c r="P847" s="334" t="e">
        <f t="shared" si="117"/>
        <v>#DIV/0!</v>
      </c>
      <c r="Q847" s="334" t="e">
        <f t="shared" si="118"/>
        <v>#DIV/0!</v>
      </c>
    </row>
    <row r="848" spans="2:17" x14ac:dyDescent="0.3">
      <c r="B848" s="333">
        <v>80</v>
      </c>
      <c r="C848" s="333"/>
      <c r="D848" s="333"/>
      <c r="E848" s="333"/>
      <c r="F848" s="333"/>
      <c r="G848" s="333"/>
      <c r="H848" s="333"/>
      <c r="I848" s="333"/>
      <c r="J848" s="333"/>
      <c r="K848" s="333"/>
      <c r="L848" s="361"/>
      <c r="M848" s="333">
        <f t="shared" si="114"/>
        <v>40</v>
      </c>
      <c r="N848" s="333" t="e">
        <f t="shared" si="115"/>
        <v>#DIV/0!</v>
      </c>
      <c r="O848" s="333" t="e">
        <f t="shared" si="116"/>
        <v>#DIV/0!</v>
      </c>
      <c r="P848" s="334" t="e">
        <f t="shared" si="117"/>
        <v>#DIV/0!</v>
      </c>
      <c r="Q848" s="334" t="e">
        <f t="shared" si="118"/>
        <v>#DIV/0!</v>
      </c>
    </row>
    <row r="849" spans="2:17" x14ac:dyDescent="0.3">
      <c r="B849" s="333">
        <v>80</v>
      </c>
      <c r="C849" s="333"/>
      <c r="D849" s="333"/>
      <c r="E849" s="333"/>
      <c r="F849" s="333"/>
      <c r="G849" s="333"/>
      <c r="H849" s="333"/>
      <c r="I849" s="333"/>
      <c r="J849" s="333"/>
      <c r="K849" s="333"/>
      <c r="L849" s="361"/>
      <c r="M849" s="333">
        <f t="shared" si="114"/>
        <v>40</v>
      </c>
      <c r="N849" s="333" t="e">
        <f t="shared" si="115"/>
        <v>#DIV/0!</v>
      </c>
      <c r="O849" s="333" t="e">
        <f t="shared" si="116"/>
        <v>#DIV/0!</v>
      </c>
      <c r="P849" s="334" t="e">
        <f t="shared" si="117"/>
        <v>#DIV/0!</v>
      </c>
      <c r="Q849" s="334" t="e">
        <f t="shared" si="118"/>
        <v>#DIV/0!</v>
      </c>
    </row>
    <row r="850" spans="2:17" x14ac:dyDescent="0.3">
      <c r="B850" s="333">
        <v>80</v>
      </c>
      <c r="C850" s="333"/>
      <c r="D850" s="333"/>
      <c r="E850" s="333"/>
      <c r="F850" s="333"/>
      <c r="G850" s="333"/>
      <c r="H850" s="333"/>
      <c r="I850" s="333"/>
      <c r="J850" s="333"/>
      <c r="K850" s="333"/>
      <c r="L850" s="361"/>
      <c r="M850" s="333">
        <f t="shared" si="114"/>
        <v>40</v>
      </c>
      <c r="N850" s="333" t="e">
        <f t="shared" si="115"/>
        <v>#DIV/0!</v>
      </c>
      <c r="O850" s="333" t="e">
        <f t="shared" si="116"/>
        <v>#DIV/0!</v>
      </c>
      <c r="P850" s="334" t="e">
        <f t="shared" si="117"/>
        <v>#DIV/0!</v>
      </c>
      <c r="Q850" s="334" t="e">
        <f t="shared" si="118"/>
        <v>#DIV/0!</v>
      </c>
    </row>
    <row r="851" spans="2:17" x14ac:dyDescent="0.3">
      <c r="B851" s="333">
        <v>80</v>
      </c>
      <c r="C851" s="333"/>
      <c r="D851" s="333"/>
      <c r="E851" s="333"/>
      <c r="F851" s="333"/>
      <c r="G851" s="333"/>
      <c r="H851" s="333"/>
      <c r="I851" s="333"/>
      <c r="J851" s="333"/>
      <c r="K851" s="333"/>
      <c r="L851" s="361"/>
      <c r="M851" s="333">
        <f t="shared" si="114"/>
        <v>40</v>
      </c>
      <c r="N851" s="333" t="e">
        <f t="shared" si="115"/>
        <v>#DIV/0!</v>
      </c>
      <c r="O851" s="333" t="e">
        <f t="shared" si="116"/>
        <v>#DIV/0!</v>
      </c>
      <c r="P851" s="334" t="e">
        <f t="shared" si="117"/>
        <v>#DIV/0!</v>
      </c>
      <c r="Q851" s="334" t="e">
        <f t="shared" si="118"/>
        <v>#DIV/0!</v>
      </c>
    </row>
  </sheetData>
  <mergeCells count="83">
    <mergeCell ref="B605:K605"/>
    <mergeCell ref="M605:O605"/>
    <mergeCell ref="P605:Q605"/>
    <mergeCell ref="B730:K730"/>
    <mergeCell ref="M730:O730"/>
    <mergeCell ref="P730:Q730"/>
    <mergeCell ref="B81:F81"/>
    <mergeCell ref="B105:K105"/>
    <mergeCell ref="B195:K195"/>
    <mergeCell ref="B187:K187"/>
    <mergeCell ref="B177:J177"/>
    <mergeCell ref="B85:J85"/>
    <mergeCell ref="B94:H94"/>
    <mergeCell ref="B168:J168"/>
    <mergeCell ref="T47:T50"/>
    <mergeCell ref="V51:Y51"/>
    <mergeCell ref="V52:Y52"/>
    <mergeCell ref="V47:Y47"/>
    <mergeCell ref="V48:Y48"/>
    <mergeCell ref="T51:T54"/>
    <mergeCell ref="V45:Y45"/>
    <mergeCell ref="V46:Y46"/>
    <mergeCell ref="V62:Y62"/>
    <mergeCell ref="V53:Y53"/>
    <mergeCell ref="V54:Y54"/>
    <mergeCell ref="V49:Y49"/>
    <mergeCell ref="V50:Y50"/>
    <mergeCell ref="V56:Y56"/>
    <mergeCell ref="V59:Y59"/>
    <mergeCell ref="V60:Y60"/>
    <mergeCell ref="V61:Y61"/>
    <mergeCell ref="AC45:AE45"/>
    <mergeCell ref="AB55:AD55"/>
    <mergeCell ref="AB54:AD54"/>
    <mergeCell ref="AB53:AD53"/>
    <mergeCell ref="AB52:AD52"/>
    <mergeCell ref="AE51:AF51"/>
    <mergeCell ref="AB51:AD51"/>
    <mergeCell ref="B2:L2"/>
    <mergeCell ref="B63:F63"/>
    <mergeCell ref="B72:J72"/>
    <mergeCell ref="B66:F66"/>
    <mergeCell ref="B71:E71"/>
    <mergeCell ref="B70:E70"/>
    <mergeCell ref="B49:K49"/>
    <mergeCell ref="P88:T88"/>
    <mergeCell ref="S89:T89"/>
    <mergeCell ref="V64:Y64"/>
    <mergeCell ref="M105:S105"/>
    <mergeCell ref="V65:Y65"/>
    <mergeCell ref="V66:Y66"/>
    <mergeCell ref="Q89:R89"/>
    <mergeCell ref="T55:T58"/>
    <mergeCell ref="V57:Y57"/>
    <mergeCell ref="V58:Y58"/>
    <mergeCell ref="V55:Y55"/>
    <mergeCell ref="V63:Y63"/>
    <mergeCell ref="T59:T62"/>
    <mergeCell ref="B480:K480"/>
    <mergeCell ref="M480:O480"/>
    <mergeCell ref="P480:Q480"/>
    <mergeCell ref="S249:U249"/>
    <mergeCell ref="Q168:Q169"/>
    <mergeCell ref="S240:U240"/>
    <mergeCell ref="S231:U231"/>
    <mergeCell ref="M231:O231"/>
    <mergeCell ref="P231:Q231"/>
    <mergeCell ref="B205:J205"/>
    <mergeCell ref="B231:K231"/>
    <mergeCell ref="M195:O195"/>
    <mergeCell ref="B214:H214"/>
    <mergeCell ref="W249:Y249"/>
    <mergeCell ref="B355:K355"/>
    <mergeCell ref="M355:O355"/>
    <mergeCell ref="P355:Q355"/>
    <mergeCell ref="P90:P95"/>
    <mergeCell ref="W240:Y240"/>
    <mergeCell ref="W231:Y231"/>
    <mergeCell ref="B136:G136"/>
    <mergeCell ref="B139:L139"/>
    <mergeCell ref="B148:J148"/>
    <mergeCell ref="B154:H154"/>
    <mergeCell ref="B121:J12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AF851"/>
  <sheetViews>
    <sheetView topLeftCell="A193" workbookViewId="0">
      <selection activeCell="F220" sqref="F220"/>
    </sheetView>
  </sheetViews>
  <sheetFormatPr defaultColWidth="8.5546875" defaultRowHeight="14.4" x14ac:dyDescent="0.3"/>
  <cols>
    <col min="1" max="1" width="3" style="356" customWidth="1"/>
    <col min="2" max="11" width="13.44140625" style="356" customWidth="1"/>
    <col min="12" max="12" width="17.44140625" style="356" customWidth="1"/>
    <col min="13" max="13" width="15.33203125" style="356" customWidth="1"/>
    <col min="14" max="14" width="10.44140625" style="356" customWidth="1"/>
    <col min="15" max="15" width="17.44140625" style="356" customWidth="1"/>
    <col min="16" max="16" width="13.44140625" style="356" customWidth="1"/>
    <col min="17" max="17" width="9.5546875" style="356" customWidth="1"/>
    <col min="18" max="18" width="10.5546875" style="356" customWidth="1"/>
    <col min="19" max="19" width="10.44140625" style="356" customWidth="1"/>
    <col min="20" max="21" width="13.44140625" style="356" customWidth="1"/>
    <col min="22" max="22" width="10.88671875" style="356" customWidth="1"/>
    <col min="23" max="23" width="12.44140625" style="356" customWidth="1"/>
    <col min="24" max="24" width="15.44140625" style="356" bestFit="1" customWidth="1"/>
    <col min="25" max="26" width="13.44140625" style="356" customWidth="1"/>
    <col min="27" max="27" width="9.44140625" style="356" customWidth="1"/>
    <col min="28" max="28" width="10.44140625" style="356" customWidth="1"/>
    <col min="29" max="29" width="5.44140625" style="356" customWidth="1"/>
    <col min="30" max="31" width="13.44140625" style="356" customWidth="1"/>
    <col min="32" max="32" width="64.44140625" style="356" bestFit="1" customWidth="1"/>
    <col min="33" max="16384" width="8.5546875" style="356"/>
  </cols>
  <sheetData>
    <row r="2" spans="2:32" x14ac:dyDescent="0.3">
      <c r="B2" s="437" t="s">
        <v>295</v>
      </c>
      <c r="C2" s="437"/>
      <c r="D2" s="437"/>
      <c r="E2" s="437"/>
      <c r="F2" s="437"/>
      <c r="G2" s="437"/>
      <c r="H2" s="437"/>
      <c r="I2" s="437"/>
      <c r="J2" s="437"/>
      <c r="K2" s="437"/>
      <c r="L2" s="437"/>
    </row>
    <row r="3" spans="2:32" x14ac:dyDescent="0.3">
      <c r="B3" s="61" t="s">
        <v>197</v>
      </c>
      <c r="C3" s="61" t="s">
        <v>296</v>
      </c>
      <c r="D3" s="61" t="s">
        <v>297</v>
      </c>
      <c r="E3" s="61" t="s">
        <v>298</v>
      </c>
      <c r="F3" s="61" t="s">
        <v>585</v>
      </c>
      <c r="G3" s="61" t="s">
        <v>299</v>
      </c>
      <c r="H3" s="61" t="s">
        <v>300</v>
      </c>
      <c r="I3" s="61" t="s">
        <v>301</v>
      </c>
      <c r="J3" s="61" t="s">
        <v>199</v>
      </c>
      <c r="K3" s="61" t="s">
        <v>200</v>
      </c>
      <c r="L3" s="25" t="s">
        <v>182</v>
      </c>
    </row>
    <row r="4" spans="2:32" ht="15" customHeight="1" x14ac:dyDescent="0.3">
      <c r="B4" s="320">
        <f>'1204-Initial'!B4</f>
        <v>1013</v>
      </c>
      <c r="C4" s="320">
        <f>'1204-Initial'!C4</f>
        <v>5</v>
      </c>
      <c r="D4" s="320">
        <f>'1204-Initial'!D4</f>
        <v>9999</v>
      </c>
      <c r="E4" s="320">
        <f>'1204-Initial'!E4</f>
        <v>13466634</v>
      </c>
      <c r="F4" s="320" t="str">
        <f>'1204-Initial'!F4</f>
        <v>FF</v>
      </c>
      <c r="G4" s="226">
        <f>INDEX('FTS-Initialization'!$W$20:$W$32,MATCH(FLOOR($B$4,1000),'FTS-Initialization'!$V$20:$V$32,0))</f>
        <v>84</v>
      </c>
      <c r="H4" s="226" t="str">
        <f>INDEX('FTS-Initialization'!$X$20:$X$32,MATCH(FLOOR($B$4,1000),'FTS-Initialization'!$V$20:$V$32,0))</f>
        <v>TKA</v>
      </c>
      <c r="I4" s="227">
        <f ca="1">TODAY()</f>
        <v>42738</v>
      </c>
      <c r="J4" s="181">
        <f>'FTS-Initialization'!$AA$29</f>
        <v>100</v>
      </c>
      <c r="K4" s="181">
        <f>'FTS-Initialization'!$AA$29</f>
        <v>100</v>
      </c>
      <c r="L4" s="181"/>
      <c r="N4" s="356" t="s">
        <v>462</v>
      </c>
    </row>
    <row r="5" spans="2:32" x14ac:dyDescent="0.3">
      <c r="B5" s="179" t="str">
        <f>DEC2HEX(B4,4)</f>
        <v>03F5</v>
      </c>
      <c r="C5" s="179" t="str">
        <f>DEC2HEX(C4*2,2)</f>
        <v>0A</v>
      </c>
      <c r="D5" s="179" t="str">
        <f>DEC2HEX(D4,8)</f>
        <v>0000270F</v>
      </c>
      <c r="E5" s="179" t="str">
        <f>DEC2HEX(E4,8)</f>
        <v>00CD7C0A</v>
      </c>
      <c r="F5" s="180" t="str">
        <f ca="1">DEC2HEX(YEAR($I$4)-2010,2)</f>
        <v>07</v>
      </c>
      <c r="G5" s="179" t="str">
        <f ca="1">DEC2HEX(MONTH($I$4),2)</f>
        <v>01</v>
      </c>
      <c r="H5" s="179" t="str">
        <f ca="1">DEC2HEX(DAY($I$4),2)</f>
        <v>03</v>
      </c>
      <c r="I5" s="179" t="str">
        <f>DEC2HEX('FTS-Initialization'!$AA$31,2)</f>
        <v>00</v>
      </c>
      <c r="J5" s="179" t="str">
        <f t="shared" ref="J5:K5" si="0">DEC2HEX(J4)</f>
        <v>64</v>
      </c>
      <c r="K5" s="179" t="str">
        <f t="shared" si="0"/>
        <v>64</v>
      </c>
      <c r="L5" s="179">
        <f>'1204-Initial'!L5</f>
        <v>89</v>
      </c>
      <c r="N5" s="320">
        <v>13466634</v>
      </c>
      <c r="O5" s="79">
        <v>12</v>
      </c>
      <c r="P5" s="79" t="str">
        <f>MID(DEC2HEX($N$5,8),1,2)</f>
        <v>00</v>
      </c>
      <c r="Q5" s="79" t="str">
        <f>MID(DEC2HEX($N$5,8),3,2)</f>
        <v>CD</v>
      </c>
      <c r="R5" s="79" t="str">
        <f>MID(DEC2HEX($N$5,8),5,2)</f>
        <v>7C</v>
      </c>
      <c r="S5" s="79" t="str">
        <f>MID(DEC2HEX($N$5,8),7,2)</f>
        <v>0A</v>
      </c>
      <c r="T5" s="123" t="s">
        <v>458</v>
      </c>
      <c r="U5" s="123" t="s">
        <v>458</v>
      </c>
      <c r="V5" s="123" t="s">
        <v>458</v>
      </c>
      <c r="W5" s="123" t="s">
        <v>458</v>
      </c>
      <c r="X5" s="123" t="s">
        <v>458</v>
      </c>
    </row>
    <row r="6" spans="2:32" x14ac:dyDescent="0.3">
      <c r="B6" s="61" t="str">
        <f>B3</f>
        <v>DevType</v>
      </c>
      <c r="C6" s="61" t="str">
        <f t="shared" ref="C6:E6" si="1">C3</f>
        <v>Channel</v>
      </c>
      <c r="D6" s="61" t="str">
        <f t="shared" si="1"/>
        <v>Lot #</v>
      </c>
      <c r="E6" s="61" t="str">
        <f t="shared" si="1"/>
        <v>Serial #</v>
      </c>
      <c r="F6" s="61" t="s">
        <v>185</v>
      </c>
      <c r="G6" s="61" t="s">
        <v>183</v>
      </c>
      <c r="H6" s="61" t="s">
        <v>184</v>
      </c>
      <c r="I6" s="61" t="s">
        <v>323</v>
      </c>
      <c r="J6" s="61" t="s">
        <v>199</v>
      </c>
      <c r="K6" s="61" t="s">
        <v>200</v>
      </c>
      <c r="L6" s="25" t="s">
        <v>322</v>
      </c>
      <c r="N6" s="78" t="s">
        <v>18</v>
      </c>
      <c r="O6" s="79">
        <v>12</v>
      </c>
      <c r="P6" s="79" t="str">
        <f>D22</f>
        <v>00</v>
      </c>
      <c r="Q6" s="79" t="str">
        <f>D23</f>
        <v>CD</v>
      </c>
      <c r="R6" s="79" t="str">
        <f>D24</f>
        <v>7C</v>
      </c>
      <c r="S6" s="79" t="str">
        <f>D25</f>
        <v>0A</v>
      </c>
      <c r="T6" s="79" t="s">
        <v>458</v>
      </c>
      <c r="U6" s="79" t="s">
        <v>458</v>
      </c>
      <c r="V6" s="79" t="s">
        <v>458</v>
      </c>
      <c r="W6" s="79" t="s">
        <v>458</v>
      </c>
      <c r="X6" s="79" t="s">
        <v>458</v>
      </c>
    </row>
    <row r="8" spans="2:32" ht="15" thickBot="1" x14ac:dyDescent="0.35">
      <c r="B8" s="356" t="s">
        <v>416</v>
      </c>
      <c r="N8" s="356" t="s">
        <v>401</v>
      </c>
      <c r="AF8" s="356" t="s">
        <v>402</v>
      </c>
    </row>
    <row r="9" spans="2:32" x14ac:dyDescent="0.3">
      <c r="B9" s="85">
        <f>'EEPROM-Contents'!B33</f>
        <v>29</v>
      </c>
      <c r="C9" s="74">
        <f t="shared" ref="C9:C21" ca="1" si="2">HEX2DEC(D9)</f>
        <v>2</v>
      </c>
      <c r="D9" s="77" t="str">
        <f ca="1">DEC2HEX(OFFSET('FTS-Initialization'!AC37,0,MATCH(H4,'FTS-Initialization'!$AD$36:$AE$36,0)),2)</f>
        <v>02</v>
      </c>
      <c r="E9" s="69" t="str">
        <f>'EEPROM-Contents'!L33</f>
        <v>SEN(0) X</v>
      </c>
      <c r="F9" s="70"/>
      <c r="G9" s="73"/>
      <c r="I9" s="27"/>
      <c r="J9" s="27"/>
      <c r="K9" s="101" t="s">
        <v>199</v>
      </c>
      <c r="L9" s="101" t="s">
        <v>200</v>
      </c>
      <c r="N9" s="78" t="s">
        <v>325</v>
      </c>
      <c r="O9" s="78" t="s">
        <v>326</v>
      </c>
      <c r="P9" s="78" t="s">
        <v>327</v>
      </c>
      <c r="Q9" s="78" t="s">
        <v>328</v>
      </c>
      <c r="R9" s="78" t="s">
        <v>329</v>
      </c>
      <c r="S9" s="78" t="s">
        <v>330</v>
      </c>
      <c r="T9" s="78" t="s">
        <v>331</v>
      </c>
      <c r="U9" s="78" t="s">
        <v>332</v>
      </c>
      <c r="V9" s="78" t="s">
        <v>333</v>
      </c>
      <c r="W9" s="78" t="s">
        <v>334</v>
      </c>
      <c r="X9" s="78" t="s">
        <v>335</v>
      </c>
      <c r="Y9" s="78" t="s">
        <v>336</v>
      </c>
      <c r="Z9" s="78" t="s">
        <v>337</v>
      </c>
      <c r="AA9" s="78" t="s">
        <v>338</v>
      </c>
      <c r="AB9" s="78" t="s">
        <v>339</v>
      </c>
      <c r="AC9" s="78" t="s">
        <v>340</v>
      </c>
      <c r="AD9" s="78" t="s">
        <v>341</v>
      </c>
      <c r="AF9" s="80" t="str">
        <f>CONCATENATE($O$5,$P$5,$Q$5,$R$5,$S$5,"A5AAAAAAAAAAAAAAAAAAAAAAAAAAAAAAAAAAAAAAAAAA")</f>
        <v>1200CD7C0AA5AAAAAAAAAAAAAAAAAAAAAAAAAAAAAAAAAAAAAAAAAA</v>
      </c>
    </row>
    <row r="10" spans="2:32" x14ac:dyDescent="0.3">
      <c r="B10" s="85">
        <f>'EEPROM-Contents'!B34</f>
        <v>30</v>
      </c>
      <c r="C10" s="74">
        <f t="shared" ca="1" si="2"/>
        <v>2</v>
      </c>
      <c r="D10" s="77" t="str">
        <f ca="1">DEC2HEX(OFFSET('FTS-Initialization'!AC38,0,MATCH($H$4,'FTS-Initialization'!$AD$36:$AE$36,0)),2)</f>
        <v>02</v>
      </c>
      <c r="E10" s="69" t="str">
        <f>'EEPROM-Contents'!L34</f>
        <v>SEN(1) Y</v>
      </c>
      <c r="F10" s="70"/>
      <c r="G10" s="73"/>
      <c r="I10" s="27"/>
      <c r="J10" s="27"/>
      <c r="K10" s="191" t="e">
        <f>E137</f>
        <v>#DIV/0!</v>
      </c>
      <c r="L10" s="191" t="e">
        <f>G137</f>
        <v>#DIV/0!</v>
      </c>
      <c r="N10" s="78" t="s">
        <v>326</v>
      </c>
      <c r="O10" s="79" t="str">
        <f>RIGHT(INDEX('EEPROM-Contents'!$K$4:'EEPROM-Contents'!$K$141,MATCH('EEPROM-Contents'!Q4,'EEPROM-Contents'!$I$4:'EEPROM-Contents'!$I$141,0)),2)</f>
        <v>1B</v>
      </c>
      <c r="P10" s="79" t="str">
        <f>RIGHT(INDEX('EEPROM-Contents'!$K$4:'EEPROM-Contents'!$K$141,MATCH('EEPROM-Contents'!R4,'EEPROM-Contents'!$I$4:'EEPROM-Contents'!$I$141,0)),2)</f>
        <v>00</v>
      </c>
      <c r="Q10" s="79" t="str">
        <f>RIGHT(INDEX('EEPROM-Contents'!$K$4:'EEPROM-Contents'!$K$141,MATCH('EEPROM-Contents'!S4,'EEPROM-Contents'!$I$4:'EEPROM-Contents'!$I$141,0)),2)</f>
        <v>00</v>
      </c>
      <c r="R10" s="79" t="str">
        <f>RIGHT(INDEX('EEPROM-Contents'!$K$4:'EEPROM-Contents'!$K$141,MATCH('EEPROM-Contents'!T4,'EEPROM-Contents'!$I$4:'EEPROM-Contents'!$I$141,0)),2)</f>
        <v>00</v>
      </c>
      <c r="S10" s="79" t="str">
        <f>RIGHT(INDEX('EEPROM-Contents'!$K$4:'EEPROM-Contents'!$K$141,MATCH('EEPROM-Contents'!U4,'EEPROM-Contents'!$I$4:'EEPROM-Contents'!$I$141,0)),2)</f>
        <v>00</v>
      </c>
      <c r="T10" s="79" t="str">
        <f>RIGHT(INDEX('EEPROM-Contents'!$K$4:'EEPROM-Contents'!$K$141,MATCH('EEPROM-Contents'!V4,'EEPROM-Contents'!$I$4:'EEPROM-Contents'!$I$141,0)),2)</f>
        <v>00</v>
      </c>
      <c r="U10" s="79" t="str">
        <f>RIGHT(INDEX('EEPROM-Contents'!$K$4:'EEPROM-Contents'!$K$141,MATCH('EEPROM-Contents'!W4,'EEPROM-Contents'!$I$4:'EEPROM-Contents'!$I$141,0)),2)</f>
        <v>00</v>
      </c>
      <c r="V10" s="79" t="str">
        <f>RIGHT(INDEX('EEPROM-Contents'!$K$4:'EEPROM-Contents'!$K$141,MATCH('EEPROM-Contents'!X4,'EEPROM-Contents'!$I$4:'EEPROM-Contents'!$I$141,0)),2)</f>
        <v>00</v>
      </c>
      <c r="W10" s="79" t="str">
        <f>RIGHT(INDEX('EEPROM-Contents'!$K$4:'EEPROM-Contents'!$K$141,MATCH('EEPROM-Contents'!Y4,'EEPROM-Contents'!$I$4:'EEPROM-Contents'!$I$141,0)),2)</f>
        <v>00</v>
      </c>
      <c r="X10" s="79" t="str">
        <f>RIGHT(INDEX('EEPROM-Contents'!$K$4:'EEPROM-Contents'!$K$141,MATCH('EEPROM-Contents'!Z4,'EEPROM-Contents'!$I$4:'EEPROM-Contents'!$I$141,0)),2)</f>
        <v>00</v>
      </c>
      <c r="Y10" s="79" t="str">
        <f>RIGHT(INDEX('EEPROM-Contents'!$K$4:'EEPROM-Contents'!$K$141,MATCH('EEPROM-Contents'!AA4,'EEPROM-Contents'!$I$4:'EEPROM-Contents'!$I$141,0)),2)</f>
        <v>01</v>
      </c>
      <c r="Z10" s="79" t="str">
        <f>RIGHT(INDEX('EEPROM-Contents'!$K$4:'EEPROM-Contents'!$K$141,MATCH('EEPROM-Contents'!AB4,'EEPROM-Contents'!$I$4:'EEPROM-Contents'!$I$141,0)),2)</f>
        <v>38</v>
      </c>
      <c r="AA10" s="79" t="str">
        <f>RIGHT(INDEX('EEPROM-Contents'!$K$4:'EEPROM-Contents'!$K$141,MATCH('EEPROM-Contents'!AC4,'EEPROM-Contents'!$I$4:'EEPROM-Contents'!$I$141,0)),2)</f>
        <v>21</v>
      </c>
      <c r="AB10" s="79" t="str">
        <f>RIGHT(INDEX('EEPROM-Contents'!$K$4:'EEPROM-Contents'!$K$141,MATCH('EEPROM-Contents'!AD4,'EEPROM-Contents'!$I$4:'EEPROM-Contents'!$I$141,0)),2)</f>
        <v>50</v>
      </c>
      <c r="AC10" s="79" t="str">
        <f>RIGHT(INDEX('EEPROM-Contents'!$K$4:'EEPROM-Contents'!$K$141,MATCH('EEPROM-Contents'!AE4,'EEPROM-Contents'!$I$4:'EEPROM-Contents'!$I$141,0)),2)</f>
        <v>FF</v>
      </c>
      <c r="AD10" s="79" t="str">
        <f>RIGHT(INDEX('EEPROM-Contents'!$K$4:'EEPROM-Contents'!$K$141,MATCH('EEPROM-Contents'!AF4,'EEPROM-Contents'!$I$4:'EEPROM-Contents'!$I$141,0)),2)</f>
        <v>EF</v>
      </c>
      <c r="AF10" s="81" t="str">
        <f>CONCATENATE($O$5,$P$5,$Q$5,$R$5,$S$5,$T$5,$U$5,$V$5,$W$5,$X$5,O10,P10,Q10,R10,S10,T10,U10,V10,W10,X10,Y10,Z10,AA10,AB10,AC10,AD10,"00")</f>
        <v>1200CD7C0A00000000001B00000000000000000001382150FFEF00</v>
      </c>
    </row>
    <row r="11" spans="2:32" x14ac:dyDescent="0.3">
      <c r="B11" s="85">
        <f>'EEPROM-Contents'!B35</f>
        <v>31</v>
      </c>
      <c r="C11" s="74">
        <f t="shared" ca="1" si="2"/>
        <v>4</v>
      </c>
      <c r="D11" s="77" t="str">
        <f ca="1">DEC2HEX(OFFSET('FTS-Initialization'!AC39,0,MATCH($H$4,'FTS-Initialization'!$AD$36:$AE$36,0)),2)</f>
        <v>04</v>
      </c>
      <c r="E11" s="69" t="str">
        <f>'EEPROM-Contents'!L35</f>
        <v>SEN(2) Z</v>
      </c>
      <c r="F11" s="70"/>
      <c r="G11" s="73"/>
      <c r="I11" s="101" t="s">
        <v>454</v>
      </c>
      <c r="J11" s="101" t="s">
        <v>446</v>
      </c>
      <c r="K11" s="101" t="s">
        <v>447</v>
      </c>
      <c r="L11" s="101" t="s">
        <v>448</v>
      </c>
      <c r="N11" s="78" t="s">
        <v>342</v>
      </c>
      <c r="O11" s="79" t="str">
        <f>RIGHT(INDEX('EEPROM-Contents'!$K$4:'EEPROM-Contents'!$K$141,MATCH('EEPROM-Contents'!Q5,'EEPROM-Contents'!$I$4:'EEPROM-Contents'!$I$141,0)),2)</f>
        <v>F0</v>
      </c>
      <c r="P11" s="79" t="str">
        <f>RIGHT(INDEX('EEPROM-Contents'!$K$4:'EEPROM-Contents'!$K$141,MATCH('EEPROM-Contents'!R5,'EEPROM-Contents'!$I$4:'EEPROM-Contents'!$I$141,0)),2)</f>
        <v>5D</v>
      </c>
      <c r="Q11" s="79" t="str">
        <f>RIGHT(INDEX('EEPROM-Contents'!$K$4:'EEPROM-Contents'!$K$141,MATCH('EEPROM-Contents'!S5,'EEPROM-Contents'!$I$4:'EEPROM-Contents'!$I$141,0)),2)</f>
        <v>01</v>
      </c>
      <c r="R11" s="79" t="str">
        <f>RIGHT(INDEX('EEPROM-Contents'!$K$4:'EEPROM-Contents'!$K$141,MATCH('EEPROM-Contents'!T5,'EEPROM-Contents'!$I$4:'EEPROM-Contents'!$I$141,0)),2)</f>
        <v>00</v>
      </c>
      <c r="S11" s="79" t="str">
        <f>RIGHT(INDEX('EEPROM-Contents'!$K$4:'EEPROM-Contents'!$K$141,MATCH('EEPROM-Contents'!U5,'EEPROM-Contents'!$I$4:'EEPROM-Contents'!$I$141,0)),2)</f>
        <v>00</v>
      </c>
      <c r="T11" s="79" t="str">
        <f>RIGHT(INDEX('EEPROM-Contents'!$K$4:'EEPROM-Contents'!$K$141,MATCH('EEPROM-Contents'!V5,'EEPROM-Contents'!$I$4:'EEPROM-Contents'!$I$141,0)),2)</f>
        <v>00</v>
      </c>
      <c r="U11" s="79" t="str">
        <f>RIGHT(INDEX('EEPROM-Contents'!$K$4:'EEPROM-Contents'!$K$141,MATCH('EEPROM-Contents'!W5,'EEPROM-Contents'!$I$4:'EEPROM-Contents'!$I$141,0)),2)</f>
        <v>06</v>
      </c>
      <c r="V11" s="79" t="str">
        <f>RIGHT(INDEX('EEPROM-Contents'!$K$4:'EEPROM-Contents'!$K$141,MATCH('EEPROM-Contents'!X5,'EEPROM-Contents'!$I$4:'EEPROM-Contents'!$I$141,0)),2)</f>
        <v>01</v>
      </c>
      <c r="W11" s="79" t="str">
        <f>RIGHT(INDEX('EEPROM-Contents'!$K$4:'EEPROM-Contents'!$K$141,MATCH('EEPROM-Contents'!Y5,'EEPROM-Contents'!$I$4:'EEPROM-Contents'!$I$141,0)),2)</f>
        <v>01</v>
      </c>
      <c r="X11" s="79" t="str">
        <f>RIGHT(INDEX('EEPROM-Contents'!$K$4:'EEPROM-Contents'!$K$141,MATCH('EEPROM-Contents'!Z5,'EEPROM-Contents'!$I$4:'EEPROM-Contents'!$I$141,0)),2)</f>
        <v>A5</v>
      </c>
      <c r="Y11" s="79" t="str">
        <f>RIGHT(INDEX('EEPROM-Contents'!$K$4:'EEPROM-Contents'!$K$141,MATCH('EEPROM-Contents'!AA5,'EEPROM-Contents'!$I$4:'EEPROM-Contents'!$I$141,0)),2)</f>
        <v>10</v>
      </c>
      <c r="Z11" s="79" t="str">
        <f>RIGHT(INDEX('EEPROM-Contents'!$K$4:'EEPROM-Contents'!$K$141,MATCH('EEPROM-Contents'!AB5,'EEPROM-Contents'!$I$4:'EEPROM-Contents'!$I$141,0)),2)</f>
        <v>00</v>
      </c>
      <c r="AA11" s="79" t="str">
        <f>RIGHT(INDEX('EEPROM-Contents'!$K$4:'EEPROM-Contents'!$K$141,MATCH('EEPROM-Contents'!AC5,'EEPROM-Contents'!$I$4:'EEPROM-Contents'!$I$141,0)),2)</f>
        <v>00</v>
      </c>
      <c r="AB11" s="84" t="str">
        <f ca="1">RIGHT(INDEX($D$9:$D$47,MATCH('EEPROM-Contents'!AD5,$B$9:$B$47,0)),2)</f>
        <v>02</v>
      </c>
      <c r="AC11" s="84" t="str">
        <f ca="1">RIGHT(INDEX($D$9:$D$47,MATCH('EEPROM-Contents'!AE5,$B$9:$B$47,0)),2)</f>
        <v>02</v>
      </c>
      <c r="AD11" s="84" t="str">
        <f ca="1">RIGHT(INDEX($D$9:$D$47,MATCH('EEPROM-Contents'!AF5,$B$9:$B$47,0)),2)</f>
        <v>04</v>
      </c>
      <c r="AF11" s="81" t="str">
        <f ca="1">CONCATENATE($O$5,$P$5,$Q$5,$R$5,$S$5,$T$5,$U$5,$V$5,$W$5,$X$5,O11,P11,Q11,R11,S11,T11,U11,V11,W11,X11,Y11,Z11,AA11,AB11,AC11,AD11,"00")</f>
        <v>1200CD7C0A0000000000F05D01000000060101A510000002020400</v>
      </c>
    </row>
    <row r="12" spans="2:32" x14ac:dyDescent="0.3">
      <c r="B12" s="85">
        <f>'EEPROM-Contents'!B36</f>
        <v>32</v>
      </c>
      <c r="C12" s="74">
        <f t="shared" ca="1" si="2"/>
        <v>4</v>
      </c>
      <c r="D12" s="77" t="str">
        <f ca="1">DEC2HEX(OFFSET('FTS-Initialization'!AC40,0,MATCH($H$4,'FTS-Initialization'!$AD$36:$AE$36,0)),2)</f>
        <v>04</v>
      </c>
      <c r="E12" s="69" t="str">
        <f>'EEPROM-Contents'!L36</f>
        <v>SEN(3) SP6B</v>
      </c>
      <c r="F12" s="70"/>
      <c r="G12" s="73"/>
      <c r="I12" s="101">
        <v>0</v>
      </c>
      <c r="J12" s="101">
        <v>0</v>
      </c>
      <c r="K12" s="103" t="e">
        <f>$J12*K$10/100</f>
        <v>#DIV/0!</v>
      </c>
      <c r="L12" s="103" t="e">
        <f>$J12*L$10/100</f>
        <v>#DIV/0!</v>
      </c>
      <c r="N12" s="78" t="s">
        <v>343</v>
      </c>
      <c r="O12" s="84" t="str">
        <f ca="1">RIGHT(INDEX($D$9:$D$47,MATCH('EEPROM-Contents'!Q6,$B$9:$B$47,0)),2)</f>
        <v>04</v>
      </c>
      <c r="P12" s="84" t="str">
        <f ca="1">RIGHT(INDEX($D$9:$D$47,MATCH('EEPROM-Contents'!R6,$B$9:$B$47,0)),2)</f>
        <v>04</v>
      </c>
      <c r="Q12" s="84" t="str">
        <f ca="1">RIGHT(INDEX($D$9:$D$47,MATCH('EEPROM-Contents'!S6,$B$9:$B$47,0)),2)</f>
        <v>04</v>
      </c>
      <c r="R12" s="84" t="str">
        <f ca="1">RIGHT(INDEX($D$9:$D$47,MATCH('EEPROM-Contents'!T6,$B$9:$B$47,0)),2)</f>
        <v>04</v>
      </c>
      <c r="S12" s="84" t="str">
        <f ca="1">RIGHT(INDEX($D$9:$D$47,MATCH('EEPROM-Contents'!U6,$B$9:$B$47,0)),2)</f>
        <v>04</v>
      </c>
      <c r="T12" s="84" t="str">
        <f ca="1">RIGHT(INDEX($D$9:$D$47,MATCH('EEPROM-Contents'!V6,$B$9:$B$47,0)),2)</f>
        <v>04</v>
      </c>
      <c r="U12" s="84" t="str">
        <f ca="1">RIGHT(INDEX($D$9:$D$47,MATCH('EEPROM-Contents'!W6,$B$9:$B$47,0)),2)</f>
        <v>04</v>
      </c>
      <c r="V12" s="79" t="str">
        <f>RIGHT(INDEX('EEPROM-Contents'!$K$4:'EEPROM-Contents'!$K$141,MATCH('EEPROM-Contents'!X6,'EEPROM-Contents'!$I$4:'EEPROM-Contents'!$I$141,0)),2)</f>
        <v>00</v>
      </c>
      <c r="W12" s="79" t="str">
        <f>RIGHT(INDEX('EEPROM-Contents'!$K$4:'EEPROM-Contents'!$K$141,MATCH('EEPROM-Contents'!Y6,'EEPROM-Contents'!$I$4:'EEPROM-Contents'!$I$141,0)),2)</f>
        <v>21</v>
      </c>
      <c r="X12" s="79" t="str">
        <f>RIGHT(INDEX('EEPROM-Contents'!$K$4:'EEPROM-Contents'!$K$141,MATCH('EEPROM-Contents'!Z6,'EEPROM-Contents'!$I$4:'EEPROM-Contents'!$I$141,0)),2)</f>
        <v>BF</v>
      </c>
      <c r="Y12" s="79" t="str">
        <f>RIGHT(INDEX('EEPROM-Contents'!$K$4:'EEPROM-Contents'!$K$141,MATCH('EEPROM-Contents'!AA6,'EEPROM-Contents'!$I$4:'EEPROM-Contents'!$I$141,0)),2)</f>
        <v>88</v>
      </c>
      <c r="Z12" s="79" t="str">
        <f>RIGHT(INDEX('EEPROM-Contents'!$K$4:'EEPROM-Contents'!$K$141,MATCH('EEPROM-Contents'!AB6,'EEPROM-Contents'!$I$4:'EEPROM-Contents'!$I$141,0)),2)</f>
        <v>02</v>
      </c>
      <c r="AA12" s="79" t="str">
        <f>RIGHT(INDEX('EEPROM-Contents'!$K$4:'EEPROM-Contents'!$K$141,MATCH('EEPROM-Contents'!AC6,'EEPROM-Contents'!$I$4:'EEPROM-Contents'!$I$141,0)),2)</f>
        <v>20</v>
      </c>
      <c r="AB12" s="79" t="str">
        <f>RIGHT(INDEX('EEPROM-Contents'!$K$4:'EEPROM-Contents'!$K$141,MATCH('EEPROM-Contents'!AD6,'EEPROM-Contents'!$I$4:'EEPROM-Contents'!$I$141,0)),2)</f>
        <v>20</v>
      </c>
      <c r="AC12" s="79" t="str">
        <f>RIGHT(INDEX('EEPROM-Contents'!$K$4:'EEPROM-Contents'!$K$141,MATCH('EEPROM-Contents'!AE6,'EEPROM-Contents'!$I$4:'EEPROM-Contents'!$I$141,0)),2)</f>
        <v>A0</v>
      </c>
      <c r="AD12" s="84" t="str">
        <f>RIGHT(INDEX($D$9:$D$47,MATCH('EEPROM-Contents'!AF6,$B$9:$B$47,0)),2)</f>
        <v>84</v>
      </c>
      <c r="AF12" s="81" t="str">
        <f ca="1">CONCATENATE($O$5,$P$5,$Q$5,$R$5,$S$5,$T$5,$U$5,$V$5,$W$5,$X$5,O12,P12,Q12,R12,S12,T12,U12,V12,W12,X12,Y12,Z12,AA12,AB12,AC12,AD12,"00")</f>
        <v>1200CD7C0A0000000000040404040404040021BF88022020A08400</v>
      </c>
    </row>
    <row r="13" spans="2:32" x14ac:dyDescent="0.3">
      <c r="B13" s="85">
        <f>'EEPROM-Contents'!B37</f>
        <v>33</v>
      </c>
      <c r="C13" s="74">
        <f t="shared" ca="1" si="2"/>
        <v>4</v>
      </c>
      <c r="D13" s="77" t="str">
        <f ca="1">DEC2HEX(OFFSET('FTS-Initialization'!AC41,0,MATCH($H$4,'FTS-Initialization'!$AD$36:$AE$36,0)),2)</f>
        <v>04</v>
      </c>
      <c r="E13" s="69" t="str">
        <f>'EEPROM-Contents'!L37</f>
        <v>SEN(4) SP5B</v>
      </c>
      <c r="F13" s="70"/>
      <c r="G13" s="73"/>
      <c r="I13" s="101">
        <v>5</v>
      </c>
      <c r="J13" s="101">
        <v>250</v>
      </c>
      <c r="K13" s="103" t="e">
        <f t="shared" ref="K13:L17" si="3">$J13*K$10/100</f>
        <v>#DIV/0!</v>
      </c>
      <c r="L13" s="103" t="e">
        <f t="shared" si="3"/>
        <v>#DIV/0!</v>
      </c>
      <c r="N13" s="78" t="s">
        <v>344</v>
      </c>
      <c r="O13" s="79" t="str">
        <f>RIGHT(INDEX('EEPROM-Contents'!$K$4:'EEPROM-Contents'!$K$141,MATCH('EEPROM-Contents'!Q7,'EEPROM-Contents'!$I$4:'EEPROM-Contents'!$I$141,0)),2)</f>
        <v>00</v>
      </c>
      <c r="P13" s="79" t="str">
        <f>RIGHT(INDEX('EEPROM-Contents'!$K$4:'EEPROM-Contents'!$K$141,MATCH('EEPROM-Contents'!R7,'EEPROM-Contents'!$I$4:'EEPROM-Contents'!$I$141,0)),2)</f>
        <v>06</v>
      </c>
      <c r="Q13" s="79" t="str">
        <f>RIGHT(INDEX('EEPROM-Contents'!$K$4:'EEPROM-Contents'!$K$141,MATCH('EEPROM-Contents'!S7,'EEPROM-Contents'!$I$4:'EEPROM-Contents'!$I$141,0)),2)</f>
        <v>2E</v>
      </c>
      <c r="R13" s="79" t="str">
        <f>RIGHT(INDEX('EEPROM-Contents'!$K$4:'EEPROM-Contents'!$K$141,MATCH('EEPROM-Contents'!T7,'EEPROM-Contents'!$I$4:'EEPROM-Contents'!$I$141,0)),2)</f>
        <v>2F</v>
      </c>
      <c r="S13" s="79" t="str">
        <f>RIGHT(INDEX('EEPROM-Contents'!$K$4:'EEPROM-Contents'!$K$141,MATCH('EEPROM-Contents'!U7,'EEPROM-Contents'!$I$4:'EEPROM-Contents'!$I$141,0)),2)</f>
        <v>07</v>
      </c>
      <c r="T13" s="79" t="str">
        <f>RIGHT(INDEX('EEPROM-Contents'!$K$4:'EEPROM-Contents'!$K$141,MATCH('EEPROM-Contents'!V7,'EEPROM-Contents'!$I$4:'EEPROM-Contents'!$I$141,0)),2)</f>
        <v>D3</v>
      </c>
      <c r="U13" s="79" t="str">
        <f>RIGHT(INDEX('EEPROM-Contents'!$K$4:'EEPROM-Contents'!$K$141,MATCH('EEPROM-Contents'!W7,'EEPROM-Contents'!$I$4:'EEPROM-Contents'!$I$141,0)),2)</f>
        <v>91</v>
      </c>
      <c r="V13" s="79" t="str">
        <f>RIGHT(INDEX('EEPROM-Contents'!$K$4:'EEPROM-Contents'!$K$141,MATCH('EEPROM-Contents'!X7,'EEPROM-Contents'!$I$4:'EEPROM-Contents'!$I$141,0)),2)</f>
        <v>1B</v>
      </c>
      <c r="W13" s="79" t="str">
        <f>RIGHT(INDEX('EEPROM-Contents'!$K$4:'EEPROM-Contents'!$K$141,MATCH('EEPROM-Contents'!Y7,'EEPROM-Contents'!$I$4:'EEPROM-Contents'!$I$141,0)),2)</f>
        <v>28</v>
      </c>
      <c r="X13" s="79" t="str">
        <f>RIGHT(INDEX('EEPROM-Contents'!$K$4:'EEPROM-Contents'!$K$141,MATCH('EEPROM-Contents'!Z7,'EEPROM-Contents'!$I$4:'EEPROM-Contents'!$I$141,0)),2)</f>
        <v>44</v>
      </c>
      <c r="Y13" s="79" t="str">
        <f>RIGHT(INDEX('EEPROM-Contents'!$K$4:'EEPROM-Contents'!$K$141,MATCH('EEPROM-Contents'!AA7,'EEPROM-Contents'!$I$4:'EEPROM-Contents'!$I$141,0)),2)</f>
        <v>00</v>
      </c>
      <c r="Z13" s="84" t="str">
        <f>RIGHT(INDEX($D$9:$D$47,MATCH('EEPROM-Contents'!AB7,$B$9:$B$47,0)),2)</f>
        <v>0A</v>
      </c>
      <c r="AA13" s="79" t="str">
        <f>RIGHT(INDEX('EEPROM-Contents'!$K$4:'EEPROM-Contents'!$K$141,MATCH('EEPROM-Contents'!AC7,'EEPROM-Contents'!$I$4:'EEPROM-Contents'!$I$141,0)),2)</f>
        <v>0F</v>
      </c>
      <c r="AB13" s="79" t="str">
        <f>RIGHT(INDEX('EEPROM-Contents'!$K$4:'EEPROM-Contents'!$K$141,MATCH('EEPROM-Contents'!AD7,'EEPROM-Contents'!$I$4:'EEPROM-Contents'!$I$141,0)),2)</f>
        <v>00</v>
      </c>
      <c r="AC13" s="79" t="str">
        <f>RIGHT(INDEX('EEPROM-Contents'!$K$4:'EEPROM-Contents'!$K$141,MATCH('EEPROM-Contents'!AE7,'EEPROM-Contents'!$I$4:'EEPROM-Contents'!$I$141,0)),2)</f>
        <v>0F</v>
      </c>
      <c r="AD13" s="79" t="str">
        <f>RIGHT(INDEX('EEPROM-Contents'!$K$4:'EEPROM-Contents'!$K$141,MATCH('EEPROM-Contents'!AF7,'EEPROM-Contents'!$I$4:'EEPROM-Contents'!$I$141,0)),2)</f>
        <v>6C</v>
      </c>
      <c r="AF13" s="81" t="str">
        <f t="shared" ref="AF13:AF41" si="4">CONCATENATE($O$5,$P$5,$Q$5,$R$5,$S$5,$T$5,$U$5,$V$5,$W$5,$X$5,O13,P13,Q13,R13,S13,T13,U13,V13,W13,X13,Y13,Z13,AA13,AB13,AC13,AD13,"00")</f>
        <v>1200CD7C0A000000000000062E2F07D3911B2844000A0F000F6C00</v>
      </c>
    </row>
    <row r="14" spans="2:32" x14ac:dyDescent="0.3">
      <c r="B14" s="85">
        <f>'EEPROM-Contents'!B38</f>
        <v>34</v>
      </c>
      <c r="C14" s="74">
        <f t="shared" ca="1" si="2"/>
        <v>4</v>
      </c>
      <c r="D14" s="77" t="str">
        <f ca="1">DEC2HEX(OFFSET('FTS-Initialization'!AC42,0,MATCH($H$4,'FTS-Initialization'!$AD$36:$AE$36,0)),2)</f>
        <v>04</v>
      </c>
      <c r="E14" s="69" t="str">
        <f>'EEPROM-Contents'!L38</f>
        <v>SEN(5) SP4B</v>
      </c>
      <c r="F14" s="70"/>
      <c r="G14" s="73"/>
      <c r="I14" s="101">
        <v>10</v>
      </c>
      <c r="J14" s="101">
        <v>500</v>
      </c>
      <c r="K14" s="103" t="e">
        <f t="shared" si="3"/>
        <v>#DIV/0!</v>
      </c>
      <c r="L14" s="103" t="e">
        <f t="shared" si="3"/>
        <v>#DIV/0!</v>
      </c>
      <c r="N14" s="78" t="s">
        <v>346</v>
      </c>
      <c r="O14" s="79" t="str">
        <f>RIGHT(INDEX('EEPROM-Contents'!$K$4:'EEPROM-Contents'!$K$141,MATCH('EEPROM-Contents'!Q8,'EEPROM-Contents'!$I$4:'EEPROM-Contents'!$I$141,0)),2)</f>
        <v>CC</v>
      </c>
      <c r="P14" s="79" t="str">
        <f>RIGHT(INDEX('EEPROM-Contents'!$K$4:'EEPROM-Contents'!$K$141,MATCH('EEPROM-Contents'!R8,'EEPROM-Contents'!$I$4:'EEPROM-Contents'!$I$141,0)),2)</f>
        <v>5B</v>
      </c>
      <c r="Q14" s="79" t="str">
        <f>RIGHT(INDEX('EEPROM-Contents'!$K$4:'EEPROM-Contents'!$K$141,MATCH('EEPROM-Contents'!S8,'EEPROM-Contents'!$I$4:'EEPROM-Contents'!$I$141,0)),2)</f>
        <v>F8</v>
      </c>
      <c r="R14" s="79" t="str">
        <f>RIGHT(INDEX('EEPROM-Contents'!$K$4:'EEPROM-Contents'!$K$141,MATCH('EEPROM-Contents'!T8,'EEPROM-Contents'!$I$4:'EEPROM-Contents'!$I$141,0)),2)</f>
        <v>17</v>
      </c>
      <c r="S14" s="79" t="str">
        <f>RIGHT(INDEX('EEPROM-Contents'!$K$4:'EEPROM-Contents'!$K$141,MATCH('EEPROM-Contents'!U8,'EEPROM-Contents'!$I$4:'EEPROM-Contents'!$I$141,0)),2)</f>
        <v>23</v>
      </c>
      <c r="T14" s="79" t="str">
        <f>RIGHT(INDEX('EEPROM-Contents'!$K$4:'EEPROM-Contents'!$K$141,MATCH('EEPROM-Contents'!V8,'EEPROM-Contents'!$I$4:'EEPROM-Contents'!$I$141,0)),2)</f>
        <v>9A</v>
      </c>
      <c r="U14" s="79" t="str">
        <f>RIGHT(INDEX('EEPROM-Contents'!$K$4:'EEPROM-Contents'!$K$141,MATCH('EEPROM-Contents'!W8,'EEPROM-Contents'!$I$4:'EEPROM-Contents'!$I$141,0)),2)</f>
        <v>47</v>
      </c>
      <c r="V14" s="79" t="str">
        <f>RIGHT(INDEX('EEPROM-Contents'!$K$4:'EEPROM-Contents'!$K$141,MATCH('EEPROM-Contents'!X8,'EEPROM-Contents'!$I$4:'EEPROM-Contents'!$I$141,0)),2)</f>
        <v>00</v>
      </c>
      <c r="W14" s="79" t="str">
        <f>RIGHT(INDEX('EEPROM-Contents'!$K$4:'EEPROM-Contents'!$K$141,MATCH('EEPROM-Contents'!Y8,'EEPROM-Contents'!$I$4:'EEPROM-Contents'!$I$141,0)),2)</f>
        <v>30</v>
      </c>
      <c r="X14" s="79" t="str">
        <f>RIGHT(INDEX('EEPROM-Contents'!$K$4:'EEPROM-Contents'!$K$141,MATCH('EEPROM-Contents'!Z8,'EEPROM-Contents'!$I$4:'EEPROM-Contents'!$I$141,0)),2)</f>
        <v>18</v>
      </c>
      <c r="Y14" s="79" t="str">
        <f>RIGHT(INDEX('EEPROM-Contents'!$K$4:'EEPROM-Contents'!$K$141,MATCH('EEPROM-Contents'!AA8,'EEPROM-Contents'!$I$4:'EEPROM-Contents'!$I$141,0)),2)</f>
        <v>16</v>
      </c>
      <c r="Z14" s="79" t="str">
        <f>RIGHT(INDEX('EEPROM-Contents'!$K$4:'EEPROM-Contents'!$K$141,MATCH('EEPROM-Contents'!AB8,'EEPROM-Contents'!$I$4:'EEPROM-Contents'!$I$141,0)),2)</f>
        <v>6C</v>
      </c>
      <c r="AA14" s="79" t="str">
        <f>RIGHT(INDEX('EEPROM-Contents'!$K$4:'EEPROM-Contents'!$K$141,MATCH('EEPROM-Contents'!AC8,'EEPROM-Contents'!$I$4:'EEPROM-Contents'!$I$141,0)),2)</f>
        <v>03</v>
      </c>
      <c r="AB14" s="79" t="str">
        <f>RIGHT(INDEX('EEPROM-Contents'!$K$4:'EEPROM-Contents'!$K$141,MATCH('EEPROM-Contents'!AD8,'EEPROM-Contents'!$I$4:'EEPROM-Contents'!$I$141,0)),2)</f>
        <v>60</v>
      </c>
      <c r="AC14" s="79" t="str">
        <f>RIGHT(INDEX('EEPROM-Contents'!$K$4:'EEPROM-Contents'!$K$141,MATCH('EEPROM-Contents'!AE8,'EEPROM-Contents'!$I$4:'EEPROM-Contents'!$I$141,0)),2)</f>
        <v>91</v>
      </c>
      <c r="AD14" s="79" t="str">
        <f>RIGHT(INDEX('EEPROM-Contents'!$K$4:'EEPROM-Contents'!$K$141,MATCH('EEPROM-Contents'!AF8,'EEPROM-Contents'!$I$4:'EEPROM-Contents'!$I$141,0)),2)</f>
        <v>02</v>
      </c>
      <c r="AF14" s="81" t="str">
        <f t="shared" si="4"/>
        <v>1200CD7C0A0000000000CC5BF817239A47003018166C0360910200</v>
      </c>
    </row>
    <row r="15" spans="2:32" x14ac:dyDescent="0.3">
      <c r="B15" s="85">
        <f>'EEPROM-Contents'!B39</f>
        <v>35</v>
      </c>
      <c r="C15" s="74">
        <f t="shared" ca="1" si="2"/>
        <v>4</v>
      </c>
      <c r="D15" s="77" t="str">
        <f ca="1">DEC2HEX(OFFSET('FTS-Initialization'!AC43,0,MATCH($H$4,'FTS-Initialization'!$AD$36:$AE$36,0)),2)</f>
        <v>04</v>
      </c>
      <c r="E15" s="69" t="str">
        <f>'EEPROM-Contents'!L39</f>
        <v>SEN(6) SP3B</v>
      </c>
      <c r="F15" s="70"/>
      <c r="G15" s="73"/>
      <c r="I15" s="101">
        <v>20</v>
      </c>
      <c r="J15" s="101">
        <v>1000</v>
      </c>
      <c r="K15" s="103" t="e">
        <f t="shared" si="3"/>
        <v>#DIV/0!</v>
      </c>
      <c r="L15" s="103" t="e">
        <f t="shared" si="3"/>
        <v>#DIV/0!</v>
      </c>
      <c r="N15" s="78" t="s">
        <v>347</v>
      </c>
      <c r="O15" s="79" t="str">
        <f>RIGHT(INDEX('EEPROM-Contents'!$K$4:'EEPROM-Contents'!$K$141,MATCH('EEPROM-Contents'!Q9,'EEPROM-Contents'!$I$4:'EEPROM-Contents'!$I$141,0)),2)</f>
        <v>0E</v>
      </c>
      <c r="P15" s="79" t="str">
        <f>RIGHT(INDEX('EEPROM-Contents'!$K$4:'EEPROM-Contents'!$K$141,MATCH('EEPROM-Contents'!R9,'EEPROM-Contents'!$I$4:'EEPROM-Contents'!$I$141,0)),2)</f>
        <v>78</v>
      </c>
      <c r="Q15" s="79" t="str">
        <f>RIGHT(INDEX('EEPROM-Contents'!$K$4:'EEPROM-Contents'!$K$141,MATCH('EEPROM-Contents'!S9,'EEPROM-Contents'!$I$4:'EEPROM-Contents'!$I$141,0)),2)</f>
        <v>56</v>
      </c>
      <c r="R15" s="79" t="str">
        <f>RIGHT(INDEX('EEPROM-Contents'!$K$4:'EEPROM-Contents'!$K$141,MATCH('EEPROM-Contents'!T9,'EEPROM-Contents'!$I$4:'EEPROM-Contents'!$I$141,0)),2)</f>
        <v>10</v>
      </c>
      <c r="S15" s="79" t="str">
        <f>RIGHT(INDEX('EEPROM-Contents'!$K$4:'EEPROM-Contents'!$K$141,MATCH('EEPROM-Contents'!U9,'EEPROM-Contents'!$I$4:'EEPROM-Contents'!$I$141,0)),2)</f>
        <v>EA</v>
      </c>
      <c r="T15" s="79" t="str">
        <f>RIGHT(INDEX('EEPROM-Contents'!$K$4:'EEPROM-Contents'!$K$141,MATCH('EEPROM-Contents'!V9,'EEPROM-Contents'!$I$4:'EEPROM-Contents'!$I$141,0)),2)</f>
        <v>2A</v>
      </c>
      <c r="U15" s="79" t="str">
        <f>RIGHT(INDEX('EEPROM-Contents'!$K$4:'EEPROM-Contents'!$K$141,MATCH('EEPROM-Contents'!W9,'EEPROM-Contents'!$I$4:'EEPROM-Contents'!$I$141,0)),2)</f>
        <v>00</v>
      </c>
      <c r="V15" s="79" t="str">
        <f>RIGHT(INDEX('EEPROM-Contents'!$K$4:'EEPROM-Contents'!$K$141,MATCH('EEPROM-Contents'!X9,'EEPROM-Contents'!$I$4:'EEPROM-Contents'!$I$141,0)),2)</f>
        <v>1F</v>
      </c>
      <c r="W15" s="79" t="str">
        <f>RIGHT(INDEX('EEPROM-Contents'!$K$4:'EEPROM-Contents'!$K$141,MATCH('EEPROM-Contents'!Y9,'EEPROM-Contents'!$I$4:'EEPROM-Contents'!$I$141,0)),2)</f>
        <v>41</v>
      </c>
      <c r="X15" s="79" t="str">
        <f>RIGHT(INDEX('EEPROM-Contents'!$K$4:'EEPROM-Contents'!$K$141,MATCH('EEPROM-Contents'!Z9,'EEPROM-Contents'!$I$4:'EEPROM-Contents'!$I$141,0)),2)</f>
        <v>00</v>
      </c>
      <c r="Y15" s="79" t="str">
        <f>RIGHT(INDEX('EEPROM-Contents'!$K$4:'EEPROM-Contents'!$K$141,MATCH('EEPROM-Contents'!AA9,'EEPROM-Contents'!$I$4:'EEPROM-Contents'!$I$141,0)),2)</f>
        <v>00</v>
      </c>
      <c r="Z15" s="84" t="str">
        <f>RIGHT(INDEX($D$9:$D$47,MATCH('EEPROM-Contents'!AB9,$B$9:$B$47,0)),2)</f>
        <v>00</v>
      </c>
      <c r="AA15" s="84" t="str">
        <f>RIGHT(INDEX($D$9:$D$47,MATCH('EEPROM-Contents'!AC9,$B$9:$B$47,0)),2)</f>
        <v>CD</v>
      </c>
      <c r="AB15" s="84" t="str">
        <f>RIGHT(INDEX($D$9:$D$47,MATCH('EEPROM-Contents'!AD9,$B$9:$B$47,0)),2)</f>
        <v>7C</v>
      </c>
      <c r="AC15" s="84" t="str">
        <f>RIGHT(INDEX($D$9:$D$47,MATCH('EEPROM-Contents'!AE9,$B$9:$B$47,0)),2)</f>
        <v>0A</v>
      </c>
      <c r="AD15" s="84" t="str">
        <f>RIGHT(INDEX($D$9:$D$47,MATCH('EEPROM-Contents'!AF9,$B$9:$B$47,0)),2)</f>
        <v>89</v>
      </c>
      <c r="AF15" s="81" t="str">
        <f t="shared" si="4"/>
        <v>1200CD7C0A00000000000E785610EA2A001F41000000CD7C0A8900</v>
      </c>
    </row>
    <row r="16" spans="2:32" x14ac:dyDescent="0.3">
      <c r="B16" s="85">
        <f>'EEPROM-Contents'!B40</f>
        <v>36</v>
      </c>
      <c r="C16" s="74">
        <f t="shared" ca="1" si="2"/>
        <v>4</v>
      </c>
      <c r="D16" s="77" t="str">
        <f ca="1">DEC2HEX(OFFSET('FTS-Initialization'!AC44,0,MATCH($H$4,'FTS-Initialization'!$AD$36:$AE$36,0)),2)</f>
        <v>04</v>
      </c>
      <c r="E16" s="69" t="str">
        <f>'EEPROM-Contents'!L40</f>
        <v>SEN(7) SP2B</v>
      </c>
      <c r="F16" s="70"/>
      <c r="G16" s="73"/>
      <c r="I16" s="101">
        <v>30</v>
      </c>
      <c r="J16" s="101">
        <v>1500</v>
      </c>
      <c r="K16" s="103" t="e">
        <f t="shared" si="3"/>
        <v>#DIV/0!</v>
      </c>
      <c r="L16" s="103" t="e">
        <f t="shared" si="3"/>
        <v>#DIV/0!</v>
      </c>
      <c r="N16" s="78" t="s">
        <v>348</v>
      </c>
      <c r="O16" s="84" t="str">
        <f ca="1">RIGHT(INDEX($D$9:$D$47,MATCH('EEPROM-Contents'!Q10,$B$9:$B$47,0)),2)</f>
        <v>07</v>
      </c>
      <c r="P16" s="84" t="str">
        <f ca="1">RIGHT(INDEX($D$9:$D$47,MATCH('EEPROM-Contents'!R10,$B$9:$B$47,0)),2)</f>
        <v>01</v>
      </c>
      <c r="Q16" s="84" t="str">
        <f ca="1">RIGHT(INDEX($D$9:$D$47,MATCH('EEPROM-Contents'!S10,$B$9:$B$47,0)),2)</f>
        <v>03</v>
      </c>
      <c r="R16" s="84" t="str">
        <f>RIGHT(INDEX($D$9:$D$47,MATCH('EEPROM-Contents'!T10,$B$9:$B$47,0)),2)</f>
        <v>03</v>
      </c>
      <c r="S16" s="84" t="str">
        <f>RIGHT(INDEX($D$9:$D$47,MATCH('EEPROM-Contents'!U10,$B$9:$B$47,0)),2)</f>
        <v>F5</v>
      </c>
      <c r="T16" s="84" t="str">
        <f>RIGHT(INDEX($D$9:$D$47,MATCH('EEPROM-Contents'!V10,$B$9:$B$47,0)),2)</f>
        <v>00</v>
      </c>
      <c r="U16" s="84" t="str">
        <f>RIGHT(INDEX($D$9:$D$47,MATCH('EEPROM-Contents'!W10,$B$9:$B$47,0)),2)</f>
        <v>00</v>
      </c>
      <c r="V16" s="84" t="str">
        <f>RIGHT(INDEX($D$9:$D$47,MATCH('EEPROM-Contents'!X10,$B$9:$B$47,0)),2)</f>
        <v>27</v>
      </c>
      <c r="W16" s="84" t="str">
        <f>RIGHT(INDEX($D$9:$D$47,MATCH('EEPROM-Contents'!Y10,$B$9:$B$47,0)),2)</f>
        <v>0F</v>
      </c>
      <c r="X16" s="84" t="str">
        <f>RIGHT(INDEX($D$9:$D$47,MATCH('EEPROM-Contents'!Z10,$B$9:$B$47,0)),2)</f>
        <v>80</v>
      </c>
      <c r="Y16" s="84" t="str">
        <f>RIGHT(INDEX($D$9:$D$47,MATCH('EEPROM-Contents'!AA10,$B$9:$B$47,0)),2)</f>
        <v>00</v>
      </c>
      <c r="Z16" s="84" t="str">
        <f>RIGHT(INDEX($D$9:$D$47,MATCH('EEPROM-Contents'!AB10,$B$9:$B$47,0)),2)</f>
        <v>80</v>
      </c>
      <c r="AA16" s="84" t="str">
        <f>RIGHT(INDEX($D$9:$D$47,MATCH('EEPROM-Contents'!AC10,$B$9:$B$47,0)),2)</f>
        <v>00</v>
      </c>
      <c r="AB16" s="84" t="str">
        <f>RIGHT(INDEX($D$9:$D$47,MATCH('EEPROM-Contents'!AD10,$B$9:$B$47,0)),2)</f>
        <v>80</v>
      </c>
      <c r="AC16" s="84" t="str">
        <f>RIGHT(INDEX($D$9:$D$47,MATCH('EEPROM-Contents'!AE10,$B$9:$B$47,0)),2)</f>
        <v>00</v>
      </c>
      <c r="AD16" s="84" t="str">
        <f>RIGHT(INDEX($D$9:$D$47,MATCH('EEPROM-Contents'!AF10,$B$9:$B$47,0)),2)</f>
        <v>00</v>
      </c>
      <c r="AF16" s="81" t="str">
        <f t="shared" ca="1" si="4"/>
        <v>1200CD7C0A000000000007010303F50000270F8000800080000000</v>
      </c>
    </row>
    <row r="17" spans="2:32" x14ac:dyDescent="0.3">
      <c r="B17" s="85">
        <f>'EEPROM-Contents'!B41</f>
        <v>37</v>
      </c>
      <c r="C17" s="74">
        <f t="shared" ca="1" si="2"/>
        <v>4</v>
      </c>
      <c r="D17" s="77" t="str">
        <f ca="1">DEC2HEX(OFFSET('FTS-Initialization'!AC45,0,MATCH($H$4,'FTS-Initialization'!$AD$36:$AE$36,0)),2)</f>
        <v>04</v>
      </c>
      <c r="E17" s="69" t="str">
        <f>'EEPROM-Contents'!L41</f>
        <v>SEN(8) SP1B</v>
      </c>
      <c r="F17" s="70"/>
      <c r="G17" s="73"/>
      <c r="I17" s="101">
        <v>40</v>
      </c>
      <c r="J17" s="101">
        <v>2000</v>
      </c>
      <c r="K17" s="103" t="e">
        <f t="shared" si="3"/>
        <v>#DIV/0!</v>
      </c>
      <c r="L17" s="103" t="e">
        <f t="shared" si="3"/>
        <v>#DIV/0!</v>
      </c>
      <c r="N17" s="78" t="s">
        <v>349</v>
      </c>
      <c r="O17" s="84" t="str">
        <f>RIGHT(INDEX($D$9:$D$47,MATCH('EEPROM-Contents'!Q11,$B$9:$B$47,0)),2)</f>
        <v>00</v>
      </c>
      <c r="P17" s="84" t="str">
        <f>RIGHT(INDEX($D$9:$D$47,MATCH('EEPROM-Contents'!R11,$B$9:$B$47,0)),2)</f>
        <v>FF</v>
      </c>
      <c r="Q17" s="84" t="e">
        <f>RIGHT(INDEX($D$9:$D$47,MATCH('EEPROM-Contents'!S11,$B$9:$B$47,0)),2)</f>
        <v>#DIV/0!</v>
      </c>
      <c r="R17" s="84" t="e">
        <f>RIGHT(INDEX($D$9:$D$47,MATCH('EEPROM-Contents'!T11,$B$9:$B$47,0)),2)</f>
        <v>#DIV/0!</v>
      </c>
      <c r="S17" s="84" t="e">
        <f ca="1">RIGHT(INDEX($D$9:$D$47,MATCH('EEPROM-Contents'!U11,$B$9:$B$47,0)),2)</f>
        <v>#DIV/0!</v>
      </c>
      <c r="T17" s="79" t="str">
        <f>RIGHT(INDEX('EEPROM-Contents'!$K$4:'EEPROM-Contents'!$K$141,MATCH('EEPROM-Contents'!V11,'EEPROM-Contents'!$I$4:'EEPROM-Contents'!$I$141,0)),2)</f>
        <v>01</v>
      </c>
      <c r="U17" s="84" t="e">
        <f>RIGHT(INDEX($U$45:$U$66,MATCH('EEPROM-Contents'!W11,$S$45:$S$66,0)),2)</f>
        <v>#REF!</v>
      </c>
      <c r="V17" s="84" t="e">
        <f>RIGHT(INDEX($U$45:$U$66,MATCH('EEPROM-Contents'!X11,$S$45:$S$66,0)),2)</f>
        <v>#REF!</v>
      </c>
      <c r="W17" s="84" t="e">
        <f>RIGHT(INDEX($U$45:$U$66,MATCH('EEPROM-Contents'!Y11,$S$45:$S$66,0)),2)</f>
        <v>#VALUE!</v>
      </c>
      <c r="X17" s="84" t="e">
        <f>RIGHT(INDEX($U$45:$U$66,MATCH('EEPROM-Contents'!Z11,$S$45:$S$66,0)),2)</f>
        <v>#VALUE!</v>
      </c>
      <c r="Y17" s="84" t="e">
        <f>RIGHT(INDEX($U$45:$U$66,MATCH('EEPROM-Contents'!AA11,$S$45:$S$66,0)),2)</f>
        <v>#VALUE!</v>
      </c>
      <c r="Z17" s="84" t="e">
        <f>RIGHT(INDEX($U$45:$U$66,MATCH('EEPROM-Contents'!AB11,$S$45:$S$66,0)),2)</f>
        <v>#VALUE!</v>
      </c>
      <c r="AA17" s="84" t="e">
        <f>RIGHT(INDEX($U$45:$U$66,MATCH('EEPROM-Contents'!AC11,$S$45:$S$66,0)),2)</f>
        <v>#VALUE!</v>
      </c>
      <c r="AB17" s="84" t="e">
        <f>RIGHT(INDEX($U$45:$U$66,MATCH('EEPROM-Contents'!AD11,$S$45:$S$66,0)),2)</f>
        <v>#VALUE!</v>
      </c>
      <c r="AC17" s="84" t="e">
        <f>RIGHT(INDEX($U$45:$U$66,MATCH('EEPROM-Contents'!AE11,$S$45:$S$66,0)),2)</f>
        <v>#VALUE!</v>
      </c>
      <c r="AD17" s="84" t="e">
        <f>RIGHT(INDEX($U$45:$U$66,MATCH('EEPROM-Contents'!AF11,$S$45:$S$66,0)),2)</f>
        <v>#VALUE!</v>
      </c>
      <c r="AF17" s="81" t="e">
        <f t="shared" ca="1" si="4"/>
        <v>#DIV/0!</v>
      </c>
    </row>
    <row r="18" spans="2:32" x14ac:dyDescent="0.3">
      <c r="B18" s="85">
        <f>'EEPROM-Contents'!B42</f>
        <v>38</v>
      </c>
      <c r="C18" s="74">
        <f t="shared" ca="1" si="2"/>
        <v>4</v>
      </c>
      <c r="D18" s="77" t="str">
        <f ca="1">DEC2HEX(OFFSET('FTS-Initialization'!AC46,0,MATCH($H$4,'FTS-Initialization'!$AD$36:$AE$36,0)),2)</f>
        <v>04</v>
      </c>
      <c r="E18" s="69" t="str">
        <f>'EEPROM-Contents'!L42</f>
        <v>SEN(9) CP1B</v>
      </c>
      <c r="F18" s="70"/>
      <c r="G18" s="73"/>
      <c r="I18" s="27"/>
      <c r="J18" s="27"/>
      <c r="K18" s="27"/>
      <c r="L18" s="27"/>
      <c r="N18" s="78" t="s">
        <v>350</v>
      </c>
      <c r="O18" s="84" t="e">
        <f>RIGHT(INDEX($U$45:$U$66,MATCH('EEPROM-Contents'!Q12,$S$45:$S$66,0)),2)</f>
        <v>#VALUE!</v>
      </c>
      <c r="P18" s="84" t="e">
        <f>RIGHT(INDEX($U$45:$U$66,MATCH('EEPROM-Contents'!R12,$S$45:$S$66,0)),2)</f>
        <v>#VALUE!</v>
      </c>
      <c r="Q18" s="84" t="e">
        <f>RIGHT(INDEX($U$45:$U$66,MATCH('EEPROM-Contents'!S12,$S$45:$S$66,0)),2)</f>
        <v>#VALUE!</v>
      </c>
      <c r="R18" s="84" t="e">
        <f>RIGHT(INDEX($U$45:$U$66,MATCH('EEPROM-Contents'!T12,$S$45:$S$66,0)),2)</f>
        <v>#VALUE!</v>
      </c>
      <c r="S18" s="84" t="e">
        <f>RIGHT(INDEX($U$45:$U$66,MATCH('EEPROM-Contents'!U12,$S$45:$S$66,0)),2)</f>
        <v>#VALUE!</v>
      </c>
      <c r="T18" s="84" t="e">
        <f>RIGHT(INDEX($U$45:$U$66,MATCH('EEPROM-Contents'!V12,$S$45:$S$66,0)),2)</f>
        <v>#VALUE!</v>
      </c>
      <c r="U18" s="84" t="e">
        <f>RIGHT(INDEX($U$45:$U$66,MATCH('EEPROM-Contents'!W12,$S$45:$S$66,0)),2)</f>
        <v>#VALUE!</v>
      </c>
      <c r="V18" s="84" t="e">
        <f>RIGHT(INDEX($U$45:$U$66,MATCH('EEPROM-Contents'!X12,$S$45:$S$66,0)),2)</f>
        <v>#VALUE!</v>
      </c>
      <c r="W18" s="84" t="str">
        <f>RIGHT(INDEX($U$45:$U$66,MATCH('EEPROM-Contents'!Y12,$S$45:$S$66,0)),2)</f>
        <v>FF</v>
      </c>
      <c r="X18" s="84" t="e">
        <f>RIGHT(INDEX($U$45:$U$66,MATCH('EEPROM-Contents'!Z12,$S$45:$S$66,0)),2)</f>
        <v>#DIV/0!</v>
      </c>
      <c r="Y18" s="84" t="e">
        <f>RIGHT(INDEX($U$45:$U$66,MATCH('EEPROM-Contents'!AA12,$S$45:$S$66,0)),2)</f>
        <v>#DIV/0!</v>
      </c>
      <c r="Z18" s="84" t="e">
        <f ca="1">RIGHT(INDEX($U$45:$U$66,MATCH('EEPROM-Contents'!AB12,$S$45:$S$66,0)),2)</f>
        <v>#DIV/0!</v>
      </c>
      <c r="AA18" s="79" t="str">
        <f>RIGHT(INDEX('EEPROM-Contents'!$K$4:'EEPROM-Contents'!$K$141,MATCH('EEPROM-Contents'!AC12,'EEPROM-Contents'!$I$4:'EEPROM-Contents'!$I$141,0)),2)</f>
        <v>02</v>
      </c>
      <c r="AB18" s="84" t="e">
        <f>RIGHT(INDEX($U$45:$U$66,MATCH('EEPROM-Contents'!AD12,$S$45:$S$66,0)),2)</f>
        <v>#REF!</v>
      </c>
      <c r="AC18" s="84" t="e">
        <f>RIGHT(INDEX($U$45:$U$66,MATCH('EEPROM-Contents'!AE12,$S$45:$S$66,0)),2)</f>
        <v>#REF!</v>
      </c>
      <c r="AD18" s="84" t="e">
        <f>RIGHT(INDEX($U$45:$U$66,MATCH('EEPROM-Contents'!AF12,$S$45:$S$66,0)),2)</f>
        <v>#VALUE!</v>
      </c>
      <c r="AF18" s="81" t="e">
        <f t="shared" ca="1" si="4"/>
        <v>#VALUE!</v>
      </c>
    </row>
    <row r="19" spans="2:32" x14ac:dyDescent="0.3">
      <c r="B19" s="85">
        <f>'EEPROM-Contents'!I19</f>
        <v>15</v>
      </c>
      <c r="C19" s="77">
        <f t="shared" si="2"/>
        <v>239</v>
      </c>
      <c r="D19" s="77" t="str">
        <f>'FTS-Initialization'!AA32</f>
        <v>EF</v>
      </c>
      <c r="E19" s="69" t="str">
        <f>'EEPROM-Contents'!L19</f>
        <v>GAINC</v>
      </c>
      <c r="F19" s="70"/>
      <c r="G19" s="73"/>
      <c r="I19" s="27"/>
      <c r="J19" s="27"/>
      <c r="K19" s="27"/>
      <c r="L19" s="27"/>
      <c r="N19" s="78" t="s">
        <v>351</v>
      </c>
      <c r="O19" s="84" t="e">
        <f>RIGHT(INDEX($U$45:$U$66,MATCH('EEPROM-Contents'!Q13,$S$45:$S$66,0)),2)</f>
        <v>#VALUE!</v>
      </c>
      <c r="P19" s="84" t="e">
        <f>RIGHT(INDEX($U$45:$U$66,MATCH('EEPROM-Contents'!R13,$S$45:$S$66,0)),2)</f>
        <v>#VALUE!</v>
      </c>
      <c r="Q19" s="84" t="e">
        <f>RIGHT(INDEX($U$45:$U$66,MATCH('EEPROM-Contents'!S13,$S$45:$S$66,0)),2)</f>
        <v>#VALUE!</v>
      </c>
      <c r="R19" s="84" t="e">
        <f>RIGHT(INDEX($U$45:$U$66,MATCH('EEPROM-Contents'!T13,$S$45:$S$66,0)),2)</f>
        <v>#VALUE!</v>
      </c>
      <c r="S19" s="84" t="e">
        <f>RIGHT(INDEX($U$45:$U$66,MATCH('EEPROM-Contents'!U13,$S$45:$S$66,0)),2)</f>
        <v>#VALUE!</v>
      </c>
      <c r="T19" s="84" t="e">
        <f>RIGHT(INDEX($U$45:$U$66,MATCH('EEPROM-Contents'!V13,$S$45:$S$66,0)),2)</f>
        <v>#VALUE!</v>
      </c>
      <c r="U19" s="84" t="e">
        <f>RIGHT(INDEX($U$45:$U$66,MATCH('EEPROM-Contents'!W13,$S$45:$S$66,0)),2)</f>
        <v>#VALUE!</v>
      </c>
      <c r="V19" s="84" t="e">
        <f>RIGHT(INDEX($U$45:$U$66,MATCH('EEPROM-Contents'!X13,$S$45:$S$66,0)),2)</f>
        <v>#VALUE!</v>
      </c>
      <c r="W19" s="84" t="e">
        <f>RIGHT(INDEX($U$45:$U$66,MATCH('EEPROM-Contents'!Y13,$S$45:$S$66,0)),2)</f>
        <v>#VALUE!</v>
      </c>
      <c r="X19" s="84" t="e">
        <f>RIGHT(INDEX($U$45:$U$66,MATCH('EEPROM-Contents'!Z13,$S$45:$S$66,0)),2)</f>
        <v>#VALUE!</v>
      </c>
      <c r="Y19" s="84" t="e">
        <f>RIGHT(INDEX($U$45:$U$66,MATCH('EEPROM-Contents'!AA13,$S$45:$S$66,0)),2)</f>
        <v>#VALUE!</v>
      </c>
      <c r="Z19" s="84" t="e">
        <f>RIGHT(INDEX($U$45:$U$66,MATCH('EEPROM-Contents'!AB13,$S$45:$S$66,0)),2)</f>
        <v>#VALUE!</v>
      </c>
      <c r="AA19" s="84" t="e">
        <f>RIGHT(INDEX($U$45:$U$66,MATCH('EEPROM-Contents'!AC13,$S$45:$S$66,0)),2)</f>
        <v>#VALUE!</v>
      </c>
      <c r="AB19" s="84" t="e">
        <f>RIGHT(INDEX($U$45:$U$66,MATCH('EEPROM-Contents'!AD13,$S$45:$S$66,0)),2)</f>
        <v>#VALUE!</v>
      </c>
      <c r="AC19" s="84" t="e">
        <f>RIGHT(INDEX($U$45:$U$66,MATCH('EEPROM-Contents'!AE13,$S$45:$S$66,0)),2)</f>
        <v>#VALUE!</v>
      </c>
      <c r="AD19" s="84" t="str">
        <f>RIGHT(INDEX($U$45:$U$66,MATCH('EEPROM-Contents'!AF13,$S$45:$S$66,0)),2)</f>
        <v>FF</v>
      </c>
      <c r="AF19" s="81" t="e">
        <f t="shared" si="4"/>
        <v>#VALUE!</v>
      </c>
    </row>
    <row r="20" spans="2:32" x14ac:dyDescent="0.3">
      <c r="B20" s="85">
        <f>'EEPROM-Contents'!B51</f>
        <v>47</v>
      </c>
      <c r="C20" s="74">
        <f t="shared" si="2"/>
        <v>132</v>
      </c>
      <c r="D20" s="77">
        <f>$G$4</f>
        <v>84</v>
      </c>
      <c r="E20" s="69" t="str">
        <f>'EEPROM-Contents'!E51</f>
        <v>PATBL</v>
      </c>
      <c r="F20" s="70"/>
      <c r="G20" s="73"/>
      <c r="I20" s="344"/>
      <c r="J20" s="187" t="s">
        <v>514</v>
      </c>
      <c r="K20" s="184"/>
      <c r="L20" s="185"/>
      <c r="N20" s="78" t="s">
        <v>352</v>
      </c>
      <c r="O20" s="84" t="e">
        <f>RIGHT(INDEX($U$45:$U$66,MATCH('EEPROM-Contents'!Q14,$S$45:$S$66,0)),2)</f>
        <v>#DIV/0!</v>
      </c>
      <c r="P20" s="84" t="e">
        <f>RIGHT(INDEX($U$45:$U$66,MATCH('EEPROM-Contents'!R14,$S$45:$S$66,0)),2)</f>
        <v>#DIV/0!</v>
      </c>
      <c r="Q20" s="84" t="e">
        <f ca="1">RIGHT(INDEX($U$45:$U$66,MATCH('EEPROM-Contents'!S14,$S$45:$S$66,0)),2)</f>
        <v>#DIV/0!</v>
      </c>
      <c r="R20" s="79" t="str">
        <f>RIGHT(INDEX('EEPROM-Contents'!$K$4:'EEPROM-Contents'!$K$141,MATCH('EEPROM-Contents'!T14,'EEPROM-Contents'!$I$4:'EEPROM-Contents'!$I$141,0)),2)</f>
        <v>03</v>
      </c>
      <c r="S20" s="84" t="str">
        <f>RIGHT(INDEX($D$9:$D$47,MATCH('EEPROM-Contents'!U14,$B$9:$B$47,0)),2)</f>
        <v>89</v>
      </c>
      <c r="T20" s="84" t="str">
        <f ca="1">RIGHT(INDEX($D$9:$D$47,MATCH('EEPROM-Contents'!V14,$B$9:$B$47,0)),2)</f>
        <v>07</v>
      </c>
      <c r="U20" s="84" t="str">
        <f ca="1">RIGHT(INDEX($D$9:$D$47,MATCH('EEPROM-Contents'!W14,$B$9:$B$47,0)),2)</f>
        <v>01</v>
      </c>
      <c r="V20" s="84" t="str">
        <f ca="1">RIGHT(INDEX($D$9:$D$47,MATCH('EEPROM-Contents'!X14,$B$9:$B$47,0)),2)</f>
        <v>03</v>
      </c>
      <c r="W20" s="84" t="str">
        <f>RIGHT(INDEX($D$9:$D$47,MATCH('EEPROM-Contents'!Y14,$B$9:$B$47,0)),2)</f>
        <v>03</v>
      </c>
      <c r="X20" s="84" t="str">
        <f>RIGHT(INDEX($D$9:$D$47,MATCH('EEPROM-Contents'!Z14,$B$9:$B$47,0)),2)</f>
        <v>F5</v>
      </c>
      <c r="Y20" s="84" t="str">
        <f>RIGHT(INDEX($D$9:$D$47,MATCH('EEPROM-Contents'!AA14,$B$9:$B$47,0)),2)</f>
        <v>00</v>
      </c>
      <c r="Z20" s="84" t="str">
        <f>RIGHT(INDEX($D$9:$D$47,MATCH('EEPROM-Contents'!AB14,$B$9:$B$47,0)),2)</f>
        <v>00</v>
      </c>
      <c r="AA20" s="84" t="str">
        <f>RIGHT(INDEX($D$9:$D$47,MATCH('EEPROM-Contents'!AC14,$B$9:$B$47,0)),2)</f>
        <v>27</v>
      </c>
      <c r="AB20" s="84" t="str">
        <f>RIGHT(INDEX($D$9:$D$47,MATCH('EEPROM-Contents'!AD14,$B$9:$B$47,0)),2)</f>
        <v>0F</v>
      </c>
      <c r="AC20" s="84" t="str">
        <f>RIGHT(INDEX($D$9:$D$47,MATCH('EEPROM-Contents'!AE14,$B$9:$B$47,0)),2)</f>
        <v>80</v>
      </c>
      <c r="AD20" s="84" t="str">
        <f>RIGHT(INDEX($D$9:$D$47,MATCH('EEPROM-Contents'!AF14,$B$9:$B$47,0)),2)</f>
        <v>00</v>
      </c>
      <c r="AF20" s="81" t="e">
        <f t="shared" ca="1" si="4"/>
        <v>#DIV/0!</v>
      </c>
    </row>
    <row r="21" spans="2:32" x14ac:dyDescent="0.3">
      <c r="B21" s="85">
        <f>'EEPROM-Contents'!B63</f>
        <v>59</v>
      </c>
      <c r="C21" s="74">
        <f t="shared" si="2"/>
        <v>10</v>
      </c>
      <c r="D21" s="77" t="str">
        <f>DEC2HEX(2*$C$4,2)</f>
        <v>0A</v>
      </c>
      <c r="E21" s="69" t="str">
        <f>'EEPROM-Contents'!E63</f>
        <v>CHANNR</v>
      </c>
      <c r="F21" s="70"/>
      <c r="G21" s="73"/>
      <c r="I21" s="94"/>
      <c r="J21" s="94" t="s">
        <v>509</v>
      </c>
      <c r="K21" s="94" t="s">
        <v>510</v>
      </c>
      <c r="L21" s="94" t="s">
        <v>570</v>
      </c>
      <c r="N21" s="78" t="s">
        <v>353</v>
      </c>
      <c r="O21" s="84" t="str">
        <f>RIGHT(INDEX($D$9:$D$47,MATCH('EEPROM-Contents'!Q15,$B$9:$B$47,0)),2)</f>
        <v>80</v>
      </c>
      <c r="P21" s="84" t="str">
        <f>RIGHT(INDEX($D$9:$D$47,MATCH('EEPROM-Contents'!R15,$B$9:$B$47,0)),2)</f>
        <v>00</v>
      </c>
      <c r="Q21" s="84" t="str">
        <f>RIGHT(INDEX($D$9:$D$47,MATCH('EEPROM-Contents'!S15,$B$9:$B$47,0)),2)</f>
        <v>80</v>
      </c>
      <c r="R21" s="84" t="str">
        <f>RIGHT(INDEX($D$9:$D$47,MATCH('EEPROM-Contents'!T15,$B$9:$B$47,0)),2)</f>
        <v>00</v>
      </c>
      <c r="S21" s="84" t="str">
        <f>RIGHT(INDEX($D$9:$D$47,MATCH('EEPROM-Contents'!U15,$B$9:$B$47,0)),2)</f>
        <v>00</v>
      </c>
      <c r="T21" s="84" t="str">
        <f>RIGHT(INDEX($D$9:$D$47,MATCH('EEPROM-Contents'!V15,$B$9:$B$47,0)),2)</f>
        <v>00</v>
      </c>
      <c r="U21" s="84" t="str">
        <f>RIGHT(INDEX($D$9:$D$47,MATCH('EEPROM-Contents'!W15,$B$9:$B$47,0)),2)</f>
        <v>FF</v>
      </c>
      <c r="V21" s="84" t="e">
        <f>RIGHT(INDEX($D$9:$D$47,MATCH('EEPROM-Contents'!X15,$B$9:$B$47,0)),2)</f>
        <v>#DIV/0!</v>
      </c>
      <c r="W21" s="84" t="e">
        <f>RIGHT(INDEX($D$9:$D$47,MATCH('EEPROM-Contents'!Y15,$B$9:$B$47,0)),2)</f>
        <v>#DIV/0!</v>
      </c>
      <c r="X21" s="84" t="e">
        <f ca="1">RIGHT(INDEX($D$9:$D$47,MATCH('EEPROM-Contents'!Z15,$B$9:$B$47,0)),2)</f>
        <v>#DIV/0!</v>
      </c>
      <c r="Y21" s="79" t="str">
        <f>RIGHT(INDEX('EEPROM-Contents'!$K$4:'EEPROM-Contents'!$K$141,MATCH('EEPROM-Contents'!AA15,'EEPROM-Contents'!$I$4:'EEPROM-Contents'!$I$141,0)),2)</f>
        <v>04</v>
      </c>
      <c r="Z21" s="84" t="str">
        <f>RIGHT(INDEX($D$9:$D$47,MATCH('EEPROM-Contents'!AB15,$B$9:$B$47,0)),2)</f>
        <v>89</v>
      </c>
      <c r="AA21" s="84" t="str">
        <f ca="1">RIGHT(INDEX($D$9:$D$47,MATCH('EEPROM-Contents'!AC15,$B$9:$B$47,0)),2)</f>
        <v>07</v>
      </c>
      <c r="AB21" s="84" t="str">
        <f ca="1">RIGHT(INDEX($D$9:$D$47,MATCH('EEPROM-Contents'!AD15,$B$9:$B$47,0)),2)</f>
        <v>01</v>
      </c>
      <c r="AC21" s="84" t="str">
        <f ca="1">RIGHT(INDEX($D$9:$D$47,MATCH('EEPROM-Contents'!AE15,$B$9:$B$47,0)),2)</f>
        <v>03</v>
      </c>
      <c r="AD21" s="84" t="str">
        <f>RIGHT(INDEX($D$9:$D$47,MATCH('EEPROM-Contents'!AF15,$B$9:$B$47,0)),2)</f>
        <v>03</v>
      </c>
      <c r="AF21" s="81" t="e">
        <f t="shared" ca="1" si="4"/>
        <v>#DIV/0!</v>
      </c>
    </row>
    <row r="22" spans="2:32" x14ac:dyDescent="0.3">
      <c r="B22" s="85">
        <f>'EEPROM-Contents'!B95</f>
        <v>91</v>
      </c>
      <c r="C22" s="77">
        <f>HEX2DEC(D22)</f>
        <v>0</v>
      </c>
      <c r="D22" s="77" t="str">
        <f>LEFT(RIGHT($E$5,8),2)</f>
        <v>00</v>
      </c>
      <c r="E22" s="69" t="str">
        <f>'EEPROM-Contents'!L95</f>
        <v>Device ID</v>
      </c>
      <c r="F22" s="70"/>
      <c r="G22" s="73"/>
      <c r="I22" s="94" t="s">
        <v>513</v>
      </c>
      <c r="J22" s="230">
        <f>ROUND(I157,0)</f>
        <v>32768</v>
      </c>
      <c r="K22" s="230">
        <f>ROUND(I158,0)</f>
        <v>32768</v>
      </c>
      <c r="L22" s="230">
        <f>ROUND(I159,0)</f>
        <v>32768</v>
      </c>
      <c r="N22" s="78" t="s">
        <v>354</v>
      </c>
      <c r="O22" s="84" t="str">
        <f>RIGHT(INDEX($D$9:$D$47,MATCH('EEPROM-Contents'!Q16,$B$9:$B$47,0)),2)</f>
        <v>F5</v>
      </c>
      <c r="P22" s="84" t="str">
        <f>RIGHT(INDEX($D$9:$D$47,MATCH('EEPROM-Contents'!R16,$B$9:$B$47,0)),2)</f>
        <v>00</v>
      </c>
      <c r="Q22" s="84" t="str">
        <f>RIGHT(INDEX($D$9:$D$47,MATCH('EEPROM-Contents'!S16,$B$9:$B$47,0)),2)</f>
        <v>00</v>
      </c>
      <c r="R22" s="84" t="str">
        <f>RIGHT(INDEX($D$9:$D$47,MATCH('EEPROM-Contents'!T16,$B$9:$B$47,0)),2)</f>
        <v>27</v>
      </c>
      <c r="S22" s="84" t="str">
        <f>RIGHT(INDEX($D$9:$D$47,MATCH('EEPROM-Contents'!U16,$B$9:$B$47,0)),2)</f>
        <v>0F</v>
      </c>
      <c r="T22" s="84" t="str">
        <f>RIGHT(INDEX($D$9:$D$47,MATCH('EEPROM-Contents'!V16,$B$9:$B$47,0)),2)</f>
        <v>80</v>
      </c>
      <c r="U22" s="84" t="str">
        <f>RIGHT(INDEX($D$9:$D$47,MATCH('EEPROM-Contents'!W16,$B$9:$B$47,0)),2)</f>
        <v>00</v>
      </c>
      <c r="V22" s="84" t="str">
        <f>RIGHT(INDEX($D$9:$D$47,MATCH('EEPROM-Contents'!X16,$B$9:$B$47,0)),2)</f>
        <v>80</v>
      </c>
      <c r="W22" s="84" t="str">
        <f>RIGHT(INDEX($D$9:$D$47,MATCH('EEPROM-Contents'!Y16,$B$9:$B$47,0)),2)</f>
        <v>00</v>
      </c>
      <c r="X22" s="84" t="str">
        <f>RIGHT(INDEX($D$9:$D$47,MATCH('EEPROM-Contents'!Z16,$B$9:$B$47,0)),2)</f>
        <v>80</v>
      </c>
      <c r="Y22" s="84" t="str">
        <f>RIGHT(INDEX($D$9:$D$47,MATCH('EEPROM-Contents'!AA16,$B$9:$B$47,0)),2)</f>
        <v>00</v>
      </c>
      <c r="Z22" s="84" t="str">
        <f>RIGHT(INDEX($D$9:$D$47,MATCH('EEPROM-Contents'!AB16,$B$9:$B$47,0)),2)</f>
        <v>00</v>
      </c>
      <c r="AA22" s="84" t="str">
        <f>RIGHT(INDEX($D$9:$D$47,MATCH('EEPROM-Contents'!AC16,$B$9:$B$47,0)),2)</f>
        <v>00</v>
      </c>
      <c r="AB22" s="84" t="str">
        <f>RIGHT(INDEX($D$9:$D$47,MATCH('EEPROM-Contents'!AD16,$B$9:$B$47,0)),2)</f>
        <v>FF</v>
      </c>
      <c r="AC22" s="84" t="e">
        <f>RIGHT(INDEX($D$9:$D$47,MATCH('EEPROM-Contents'!AE16,$B$9:$B$47,0)),2)</f>
        <v>#DIV/0!</v>
      </c>
      <c r="AD22" s="84" t="e">
        <f>RIGHT(INDEX($D$9:$D$47,MATCH('EEPROM-Contents'!AF16,$B$9:$B$47,0)),2)</f>
        <v>#DIV/0!</v>
      </c>
      <c r="AF22" s="81" t="e">
        <f t="shared" si="4"/>
        <v>#DIV/0!</v>
      </c>
    </row>
    <row r="23" spans="2:32" x14ac:dyDescent="0.3">
      <c r="B23" s="85">
        <f>'EEPROM-Contents'!B96</f>
        <v>92</v>
      </c>
      <c r="C23" s="77">
        <f t="shared" ref="C23:C43" si="5">HEX2DEC(D23)</f>
        <v>205</v>
      </c>
      <c r="D23" s="77" t="str">
        <f>LEFT(RIGHT($E$5,6),2)</f>
        <v>CD</v>
      </c>
      <c r="E23" s="69" t="str">
        <f>'EEPROM-Contents'!L96</f>
        <v>Device ID</v>
      </c>
      <c r="F23" s="70"/>
      <c r="G23" s="73"/>
      <c r="I23" s="94" t="s">
        <v>511</v>
      </c>
      <c r="J23" s="230" t="str">
        <f>LEFT(DEC2HEX(J22,4),2)</f>
        <v>80</v>
      </c>
      <c r="K23" s="230" t="str">
        <f t="shared" ref="K23:L23" si="6">LEFT(DEC2HEX(K22,4),2)</f>
        <v>80</v>
      </c>
      <c r="L23" s="230" t="str">
        <f t="shared" si="6"/>
        <v>80</v>
      </c>
      <c r="N23" s="78" t="s">
        <v>355</v>
      </c>
      <c r="O23" s="84" t="e">
        <f ca="1">RIGHT(INDEX($D$9:$D$47,MATCH('EEPROM-Contents'!Q17,$B$9:$B$47,0)),2)</f>
        <v>#DIV/0!</v>
      </c>
      <c r="P23" s="79" t="str">
        <f>RIGHT(INDEX('EEPROM-Contents'!$K$4:'EEPROM-Contents'!$K$141,MATCH('EEPROM-Contents'!R17,'EEPROM-Contents'!$I$4:'EEPROM-Contents'!$I$141,0)),2)</f>
        <v>05</v>
      </c>
      <c r="Q23" s="84" t="str">
        <f>RIGHT(INDEX($D$9:$D$47,MATCH('EEPROM-Contents'!S17,$B$9:$B$47,0)),2)</f>
        <v>89</v>
      </c>
      <c r="R23" s="84" t="str">
        <f ca="1">RIGHT(INDEX($D$9:$D$47,MATCH('EEPROM-Contents'!T17,$B$9:$B$47,0)),2)</f>
        <v>07</v>
      </c>
      <c r="S23" s="84" t="str">
        <f ca="1">RIGHT(INDEX($D$9:$D$47,MATCH('EEPROM-Contents'!U17,$B$9:$B$47,0)),2)</f>
        <v>01</v>
      </c>
      <c r="T23" s="84" t="str">
        <f ca="1">RIGHT(INDEX($D$9:$D$47,MATCH('EEPROM-Contents'!V17,$B$9:$B$47,0)),2)</f>
        <v>03</v>
      </c>
      <c r="U23" s="84" t="str">
        <f>RIGHT(INDEX($D$9:$D$47,MATCH('EEPROM-Contents'!W17,$B$9:$B$47,0)),2)</f>
        <v>03</v>
      </c>
      <c r="V23" s="84" t="str">
        <f>RIGHT(INDEX($D$9:$D$47,MATCH('EEPROM-Contents'!X17,$B$9:$B$47,0)),2)</f>
        <v>F5</v>
      </c>
      <c r="W23" s="84" t="str">
        <f>RIGHT(INDEX($D$9:$D$47,MATCH('EEPROM-Contents'!Y17,$B$9:$B$47,0)),2)</f>
        <v>00</v>
      </c>
      <c r="X23" s="84" t="str">
        <f>RIGHT(INDEX($D$9:$D$47,MATCH('EEPROM-Contents'!Z17,$B$9:$B$47,0)),2)</f>
        <v>00</v>
      </c>
      <c r="Y23" s="84" t="str">
        <f>RIGHT(INDEX($D$9:$D$47,MATCH('EEPROM-Contents'!AA17,$B$9:$B$47,0)),2)</f>
        <v>27</v>
      </c>
      <c r="Z23" s="84" t="str">
        <f>RIGHT(INDEX($D$9:$D$47,MATCH('EEPROM-Contents'!AB17,$B$9:$B$47,0)),2)</f>
        <v>0F</v>
      </c>
      <c r="AA23" s="84" t="str">
        <f>RIGHT(INDEX($D$9:$D$47,MATCH('EEPROM-Contents'!AC17,$B$9:$B$47,0)),2)</f>
        <v>80</v>
      </c>
      <c r="AB23" s="84" t="str">
        <f>RIGHT(INDEX($D$9:$D$47,MATCH('EEPROM-Contents'!AD17,$B$9:$B$47,0)),2)</f>
        <v>00</v>
      </c>
      <c r="AC23" s="84" t="str">
        <f>RIGHT(INDEX($D$9:$D$47,MATCH('EEPROM-Contents'!AE17,$B$9:$B$47,0)),2)</f>
        <v>80</v>
      </c>
      <c r="AD23" s="84" t="str">
        <f>RIGHT(INDEX($D$9:$D$47,MATCH('EEPROM-Contents'!AF17,$B$9:$B$47,0)),2)</f>
        <v>00</v>
      </c>
      <c r="AF23" s="81" t="e">
        <f t="shared" ca="1" si="4"/>
        <v>#DIV/0!</v>
      </c>
    </row>
    <row r="24" spans="2:32" x14ac:dyDescent="0.3">
      <c r="B24" s="85">
        <f>'EEPROM-Contents'!B97</f>
        <v>93</v>
      </c>
      <c r="C24" s="77">
        <f t="shared" si="5"/>
        <v>124</v>
      </c>
      <c r="D24" s="77" t="str">
        <f>LEFT(RIGHT($E$5,4),2)</f>
        <v>7C</v>
      </c>
      <c r="E24" s="69" t="str">
        <f>'EEPROM-Contents'!L97</f>
        <v>Device ID</v>
      </c>
      <c r="F24" s="70"/>
      <c r="G24" s="73"/>
      <c r="I24" s="94" t="s">
        <v>512</v>
      </c>
      <c r="J24" s="230" t="str">
        <f>RIGHT(DEC2HEX(J22,4),2)</f>
        <v>00</v>
      </c>
      <c r="K24" s="230" t="str">
        <f t="shared" ref="K24:L24" si="7">RIGHT(DEC2HEX(K22,4),2)</f>
        <v>00</v>
      </c>
      <c r="L24" s="230" t="str">
        <f t="shared" si="7"/>
        <v>00</v>
      </c>
      <c r="N24" s="78" t="s">
        <v>356</v>
      </c>
      <c r="O24" s="84" t="str">
        <f>RIGHT(INDEX($D$9:$D$47,MATCH('EEPROM-Contents'!Q18,$B$9:$B$47,0)),2)</f>
        <v>80</v>
      </c>
      <c r="P24" s="84" t="str">
        <f>RIGHT(INDEX($D$9:$D$47,MATCH('EEPROM-Contents'!R18,$B$9:$B$47,0)),2)</f>
        <v>00</v>
      </c>
      <c r="Q24" s="84" t="str">
        <f>RIGHT(INDEX($D$9:$D$47,MATCH('EEPROM-Contents'!S18,$B$9:$B$47,0)),2)</f>
        <v>00</v>
      </c>
      <c r="R24" s="84" t="str">
        <f>RIGHT(INDEX($D$9:$D$47,MATCH('EEPROM-Contents'!T18,$B$9:$B$47,0)),2)</f>
        <v>00</v>
      </c>
      <c r="S24" s="84" t="str">
        <f>RIGHT(INDEX($D$9:$D$47,MATCH('EEPROM-Contents'!U18,$B$9:$B$47,0)),2)</f>
        <v>FF</v>
      </c>
      <c r="T24" s="84" t="e">
        <f>RIGHT(INDEX($D$9:$D$47,MATCH('EEPROM-Contents'!V18,$B$9:$B$47,0)),2)</f>
        <v>#DIV/0!</v>
      </c>
      <c r="U24" s="84" t="e">
        <f>RIGHT(INDEX($D$9:$D$47,MATCH('EEPROM-Contents'!W18,$B$9:$B$47,0)),2)</f>
        <v>#DIV/0!</v>
      </c>
      <c r="V24" s="84" t="e">
        <f ca="1">RIGHT(INDEX($D$9:$D$47,MATCH('EEPROM-Contents'!X18,$B$9:$B$47,0)),2)</f>
        <v>#DIV/0!</v>
      </c>
      <c r="W24" s="79" t="str">
        <f>RIGHT(INDEX('EEPROM-Contents'!$K$4:'EEPROM-Contents'!$K$141,MATCH('EEPROM-Contents'!Y18,'EEPROM-Contents'!$I$4:'EEPROM-Contents'!$I$141,0)),2)</f>
        <v>06</v>
      </c>
      <c r="X24" s="84" t="str">
        <f>RIGHT(INDEX($D$9:$D$47,MATCH('EEPROM-Contents'!Z18,$B$9:$B$47,0)),2)</f>
        <v>89</v>
      </c>
      <c r="Y24" s="84" t="str">
        <f ca="1">RIGHT(INDEX($D$9:$D$47,MATCH('EEPROM-Contents'!AA18,$B$9:$B$47,0)),2)</f>
        <v>07</v>
      </c>
      <c r="Z24" s="84" t="str">
        <f ca="1">RIGHT(INDEX($D$9:$D$47,MATCH('EEPROM-Contents'!AB18,$B$9:$B$47,0)),2)</f>
        <v>01</v>
      </c>
      <c r="AA24" s="84" t="str">
        <f ca="1">RIGHT(INDEX($D$9:$D$47,MATCH('EEPROM-Contents'!AC18,$B$9:$B$47,0)),2)</f>
        <v>03</v>
      </c>
      <c r="AB24" s="84" t="str">
        <f>RIGHT(INDEX($D$9:$D$47,MATCH('EEPROM-Contents'!AD18,$B$9:$B$47,0)),2)</f>
        <v>03</v>
      </c>
      <c r="AC24" s="84" t="str">
        <f>RIGHT(INDEX($D$9:$D$47,MATCH('EEPROM-Contents'!AE18,$B$9:$B$47,0)),2)</f>
        <v>F5</v>
      </c>
      <c r="AD24" s="84" t="str">
        <f>RIGHT(INDEX($D$9:$D$47,MATCH('EEPROM-Contents'!AF18,$B$9:$B$47,0)),2)</f>
        <v>00</v>
      </c>
      <c r="AF24" s="81" t="e">
        <f t="shared" ca="1" si="4"/>
        <v>#DIV/0!</v>
      </c>
    </row>
    <row r="25" spans="2:32" x14ac:dyDescent="0.3">
      <c r="B25" s="85">
        <f>'EEPROM-Contents'!B98</f>
        <v>94</v>
      </c>
      <c r="C25" s="77">
        <f t="shared" si="5"/>
        <v>10</v>
      </c>
      <c r="D25" s="77" t="str">
        <f>LEFT(RIGHT($E$5,2),2)</f>
        <v>0A</v>
      </c>
      <c r="E25" s="69" t="str">
        <f>'EEPROM-Contents'!L98</f>
        <v>Device ID</v>
      </c>
      <c r="F25" s="70"/>
      <c r="G25" s="73"/>
      <c r="I25" s="27"/>
      <c r="J25" s="27"/>
      <c r="K25" s="27"/>
      <c r="L25" s="27"/>
      <c r="N25" s="78" t="s">
        <v>357</v>
      </c>
      <c r="O25" s="84" t="str">
        <f>RIGHT(INDEX($D$9:$D$47,MATCH('EEPROM-Contents'!Q19,$B$9:$B$47,0)),2)</f>
        <v>00</v>
      </c>
      <c r="P25" s="84" t="str">
        <f>RIGHT(INDEX($D$9:$D$47,MATCH('EEPROM-Contents'!R19,$B$9:$B$47,0)),2)</f>
        <v>27</v>
      </c>
      <c r="Q25" s="84" t="str">
        <f>RIGHT(INDEX($D$9:$D$47,MATCH('EEPROM-Contents'!S19,$B$9:$B$47,0)),2)</f>
        <v>0F</v>
      </c>
      <c r="R25" s="84" t="str">
        <f>RIGHT(INDEX($D$9:$D$47,MATCH('EEPROM-Contents'!T19,$B$9:$B$47,0)),2)</f>
        <v>80</v>
      </c>
      <c r="S25" s="84" t="str">
        <f>RIGHT(INDEX($D$9:$D$47,MATCH('EEPROM-Contents'!U19,$B$9:$B$47,0)),2)</f>
        <v>00</v>
      </c>
      <c r="T25" s="84" t="str">
        <f>RIGHT(INDEX($D$9:$D$47,MATCH('EEPROM-Contents'!V19,$B$9:$B$47,0)),2)</f>
        <v>80</v>
      </c>
      <c r="U25" s="84" t="str">
        <f>RIGHT(INDEX($D$9:$D$47,MATCH('EEPROM-Contents'!W19,$B$9:$B$47,0)),2)</f>
        <v>00</v>
      </c>
      <c r="V25" s="84" t="str">
        <f>RIGHT(INDEX($D$9:$D$47,MATCH('EEPROM-Contents'!X19,$B$9:$B$47,0)),2)</f>
        <v>80</v>
      </c>
      <c r="W25" s="84" t="str">
        <f>RIGHT(INDEX($D$9:$D$47,MATCH('EEPROM-Contents'!Y19,$B$9:$B$47,0)),2)</f>
        <v>00</v>
      </c>
      <c r="X25" s="84" t="str">
        <f>RIGHT(INDEX($D$9:$D$47,MATCH('EEPROM-Contents'!Z19,$B$9:$B$47,0)),2)</f>
        <v>00</v>
      </c>
      <c r="Y25" s="84" t="str">
        <f>RIGHT(INDEX($D$9:$D$47,MATCH('EEPROM-Contents'!AA19,$B$9:$B$47,0)),2)</f>
        <v>00</v>
      </c>
      <c r="Z25" s="84" t="str">
        <f>RIGHT(INDEX($D$9:$D$47,MATCH('EEPROM-Contents'!AB19,$B$9:$B$47,0)),2)</f>
        <v>FF</v>
      </c>
      <c r="AA25" s="84" t="e">
        <f>RIGHT(INDEX($D$9:$D$47,MATCH('EEPROM-Contents'!AC19,$B$9:$B$47,0)),2)</f>
        <v>#DIV/0!</v>
      </c>
      <c r="AB25" s="84" t="e">
        <f>RIGHT(INDEX($D$9:$D$47,MATCH('EEPROM-Contents'!AD19,$B$9:$B$47,0)),2)</f>
        <v>#DIV/0!</v>
      </c>
      <c r="AC25" s="84" t="e">
        <f ca="1">RIGHT(INDEX($D$9:$D$47,MATCH('EEPROM-Contents'!AE19,$B$9:$B$47,0)),2)</f>
        <v>#DIV/0!</v>
      </c>
      <c r="AD25" s="79" t="str">
        <f>RIGHT(INDEX('EEPROM-Contents'!$K$4:'EEPROM-Contents'!$K$141,MATCH('EEPROM-Contents'!AF19,'EEPROM-Contents'!$I$4:'EEPROM-Contents'!$I$141,0)),2)</f>
        <v>07</v>
      </c>
      <c r="AF25" s="81" t="e">
        <f t="shared" ca="1" si="4"/>
        <v>#DIV/0!</v>
      </c>
    </row>
    <row r="26" spans="2:32" x14ac:dyDescent="0.3">
      <c r="B26" s="85">
        <f>'EEPROM-Contents'!B99</f>
        <v>95</v>
      </c>
      <c r="C26" s="75">
        <f t="shared" si="5"/>
        <v>137</v>
      </c>
      <c r="D26" s="319">
        <f>L5</f>
        <v>89</v>
      </c>
      <c r="E26" s="66" t="str">
        <f>'EEPROM-Contents'!L99</f>
        <v>8X=ASIC 1204, 0X= ASIC 1010</v>
      </c>
      <c r="F26" s="67"/>
      <c r="G26" s="68"/>
      <c r="I26" s="344"/>
      <c r="J26" s="187" t="s">
        <v>569</v>
      </c>
      <c r="K26" s="185"/>
      <c r="L26" s="27"/>
      <c r="N26" s="78" t="s">
        <v>358</v>
      </c>
      <c r="O26" s="84" t="str">
        <f>RIGHT(INDEX($D$9:$D$47,MATCH('EEPROM-Contents'!Q20,$B$9:$B$47,0)),2)</f>
        <v>89</v>
      </c>
      <c r="P26" s="84" t="str">
        <f ca="1">RIGHT(INDEX($D$9:$D$47,MATCH('EEPROM-Contents'!R20,$B$9:$B$47,0)),2)</f>
        <v>07</v>
      </c>
      <c r="Q26" s="84" t="str">
        <f ca="1">RIGHT(INDEX($D$9:$D$47,MATCH('EEPROM-Contents'!S20,$B$9:$B$47,0)),2)</f>
        <v>01</v>
      </c>
      <c r="R26" s="84" t="str">
        <f ca="1">RIGHT(INDEX($D$9:$D$47,MATCH('EEPROM-Contents'!T20,$B$9:$B$47,0)),2)</f>
        <v>03</v>
      </c>
      <c r="S26" s="84" t="str">
        <f>RIGHT(INDEX($D$9:$D$47,MATCH('EEPROM-Contents'!U20,$B$9:$B$47,0)),2)</f>
        <v>03</v>
      </c>
      <c r="T26" s="84" t="str">
        <f>RIGHT(INDEX($D$9:$D$47,MATCH('EEPROM-Contents'!V20,$B$9:$B$47,0)),2)</f>
        <v>F5</v>
      </c>
      <c r="U26" s="84" t="str">
        <f>RIGHT(INDEX($D$9:$D$47,MATCH('EEPROM-Contents'!W20,$B$9:$B$47,0)),2)</f>
        <v>00</v>
      </c>
      <c r="V26" s="84" t="str">
        <f>RIGHT(INDEX($D$9:$D$47,MATCH('EEPROM-Contents'!X20,$B$9:$B$47,0)),2)</f>
        <v>00</v>
      </c>
      <c r="W26" s="84" t="str">
        <f>RIGHT(INDEX($D$9:$D$47,MATCH('EEPROM-Contents'!Y20,$B$9:$B$47,0)),2)</f>
        <v>27</v>
      </c>
      <c r="X26" s="84" t="str">
        <f>RIGHT(INDEX($D$9:$D$47,MATCH('EEPROM-Contents'!Z20,$B$9:$B$47,0)),2)</f>
        <v>0F</v>
      </c>
      <c r="Y26" s="84" t="str">
        <f>RIGHT(INDEX($D$9:$D$47,MATCH('EEPROM-Contents'!AA20,$B$9:$B$47,0)),2)</f>
        <v>80</v>
      </c>
      <c r="Z26" s="84" t="str">
        <f>RIGHT(INDEX($D$9:$D$47,MATCH('EEPROM-Contents'!AB20,$B$9:$B$47,0)),2)</f>
        <v>00</v>
      </c>
      <c r="AA26" s="84" t="str">
        <f>RIGHT(INDEX($D$9:$D$47,MATCH('EEPROM-Contents'!AC20,$B$9:$B$47,0)),2)</f>
        <v>80</v>
      </c>
      <c r="AB26" s="84" t="str">
        <f>RIGHT(INDEX($D$9:$D$47,MATCH('EEPROM-Contents'!AD20,$B$9:$B$47,0)),2)</f>
        <v>00</v>
      </c>
      <c r="AC26" s="84" t="str">
        <f>RIGHT(INDEX($D$9:$D$47,MATCH('EEPROM-Contents'!AE20,$B$9:$B$47,0)),2)</f>
        <v>80</v>
      </c>
      <c r="AD26" s="84" t="str">
        <f>RIGHT(INDEX($D$9:$D$47,MATCH('EEPROM-Contents'!AF20,$B$9:$B$47,0)),2)</f>
        <v>00</v>
      </c>
      <c r="AF26" s="81" t="str">
        <f t="shared" ca="1" si="4"/>
        <v>1200CD7C0A00000000008907010303F50000270F80008000800000</v>
      </c>
    </row>
    <row r="27" spans="2:32" x14ac:dyDescent="0.3">
      <c r="B27" s="85">
        <f>'EEPROM-Contents'!B100</f>
        <v>96</v>
      </c>
      <c r="C27" s="75">
        <f ca="1">HEX2DEC(D27)</f>
        <v>7</v>
      </c>
      <c r="D27" s="319" t="str">
        <f ca="1">F5</f>
        <v>07</v>
      </c>
      <c r="E27" s="66" t="str">
        <f>'EEPROM-Contents'!L100</f>
        <v>Year</v>
      </c>
      <c r="F27" s="67"/>
      <c r="G27" s="68"/>
      <c r="I27" s="27"/>
      <c r="J27" s="94" t="s">
        <v>513</v>
      </c>
      <c r="K27" s="186">
        <f>$L$169</f>
        <v>0</v>
      </c>
      <c r="L27" s="27"/>
      <c r="N27" s="78" t="s">
        <v>359</v>
      </c>
      <c r="O27" s="84" t="str">
        <f>RIGHT(INDEX($D$9:$D$47,MATCH('EEPROM-Contents'!Q21,$B$9:$B$47,0)),2)</f>
        <v>00</v>
      </c>
      <c r="P27" s="84" t="str">
        <f>RIGHT(INDEX($D$9:$D$47,MATCH('EEPROM-Contents'!R21,$B$9:$B$47,0)),2)</f>
        <v>00</v>
      </c>
      <c r="Q27" s="84" t="str">
        <f>RIGHT(INDEX($D$9:$D$47,MATCH('EEPROM-Contents'!S21,$B$9:$B$47,0)),2)</f>
        <v>FF</v>
      </c>
      <c r="R27" s="84" t="e">
        <f>RIGHT(INDEX($D$9:$D$47,MATCH('EEPROM-Contents'!T21,$B$9:$B$47,0)),2)</f>
        <v>#DIV/0!</v>
      </c>
      <c r="S27" s="84" t="e">
        <f>RIGHT(INDEX($D$9:$D$47,MATCH('EEPROM-Contents'!U21,$B$9:$B$47,0)),2)</f>
        <v>#DIV/0!</v>
      </c>
      <c r="T27" s="84" t="e">
        <f ca="1">RIGHT(INDEX($D$9:$D$47,MATCH('EEPROM-Contents'!V21,$B$9:$B$47,0)),2)</f>
        <v>#DIV/0!</v>
      </c>
      <c r="U27" s="79" t="str">
        <f>RIGHT(INDEX('EEPROM-Contents'!$K$4:'EEPROM-Contents'!$K$141,MATCH('EEPROM-Contents'!W21,'EEPROM-Contents'!$I$4:'EEPROM-Contents'!$I$141,0)),2)</f>
        <v>08</v>
      </c>
      <c r="V27" s="84" t="str">
        <f>RIGHT(INDEX($D$9:$D$47,MATCH('EEPROM-Contents'!X21,$B$9:$B$47,0)),2)</f>
        <v>89</v>
      </c>
      <c r="W27" s="84" t="str">
        <f ca="1">RIGHT(INDEX($D$9:$D$47,MATCH('EEPROM-Contents'!Y21,$B$9:$B$47,0)),2)</f>
        <v>07</v>
      </c>
      <c r="X27" s="84" t="str">
        <f ca="1">RIGHT(INDEX($D$9:$D$47,MATCH('EEPROM-Contents'!Z21,$B$9:$B$47,0)),2)</f>
        <v>01</v>
      </c>
      <c r="Y27" s="84" t="str">
        <f ca="1">RIGHT(INDEX($D$9:$D$47,MATCH('EEPROM-Contents'!AA21,$B$9:$B$47,0)),2)</f>
        <v>03</v>
      </c>
      <c r="Z27" s="84" t="str">
        <f>RIGHT(INDEX($D$9:$D$47,MATCH('EEPROM-Contents'!AB21,$B$9:$B$47,0)),2)</f>
        <v>03</v>
      </c>
      <c r="AA27" s="84" t="str">
        <f>RIGHT(INDEX($D$9:$D$47,MATCH('EEPROM-Contents'!AC21,$B$9:$B$47,0)),2)</f>
        <v>F5</v>
      </c>
      <c r="AB27" s="84" t="str">
        <f>RIGHT(INDEX($D$9:$D$47,MATCH('EEPROM-Contents'!AD21,$B$9:$B$47,0)),2)</f>
        <v>00</v>
      </c>
      <c r="AC27" s="84" t="str">
        <f>RIGHT(INDEX($D$9:$D$47,MATCH('EEPROM-Contents'!AE21,$B$9:$B$47,0)),2)</f>
        <v>00</v>
      </c>
      <c r="AD27" s="84" t="str">
        <f>RIGHT(INDEX($D$9:$D$47,MATCH('EEPROM-Contents'!AF21,$B$9:$B$47,0)),2)</f>
        <v>27</v>
      </c>
      <c r="AF27" s="81" t="e">
        <f t="shared" ca="1" si="4"/>
        <v>#DIV/0!</v>
      </c>
    </row>
    <row r="28" spans="2:32" x14ac:dyDescent="0.3">
      <c r="B28" s="85">
        <f>'EEPROM-Contents'!B101</f>
        <v>97</v>
      </c>
      <c r="C28" s="75">
        <f ca="1">HEX2DEC(D28)</f>
        <v>1</v>
      </c>
      <c r="D28" s="319" t="str">
        <f ca="1">G5</f>
        <v>01</v>
      </c>
      <c r="E28" s="66" t="str">
        <f>'EEPROM-Contents'!L101</f>
        <v>Month</v>
      </c>
      <c r="F28" s="67"/>
      <c r="G28" s="68"/>
      <c r="I28" s="27"/>
      <c r="J28" s="94" t="s">
        <v>511</v>
      </c>
      <c r="K28" s="186" t="str">
        <f>LEFT(DEC2HEX(K27,4),2)</f>
        <v>00</v>
      </c>
      <c r="L28" s="27"/>
      <c r="N28" s="78" t="s">
        <v>360</v>
      </c>
      <c r="O28" s="84" t="str">
        <f>RIGHT(INDEX($D$9:$D$47,MATCH('EEPROM-Contents'!Q22,$B$9:$B$47,0)),2)</f>
        <v>0F</v>
      </c>
      <c r="P28" s="84" t="str">
        <f>RIGHT(INDEX($D$9:$D$47,MATCH('EEPROM-Contents'!R22,$B$9:$B$47,0)),2)</f>
        <v>80</v>
      </c>
      <c r="Q28" s="84" t="str">
        <f>RIGHT(INDEX($D$9:$D$47,MATCH('EEPROM-Contents'!S22,$B$9:$B$47,0)),2)</f>
        <v>00</v>
      </c>
      <c r="R28" s="84" t="str">
        <f>RIGHT(INDEX($D$9:$D$47,MATCH('EEPROM-Contents'!T22,$B$9:$B$47,0)),2)</f>
        <v>80</v>
      </c>
      <c r="S28" s="84" t="str">
        <f>RIGHT(INDEX($D$9:$D$47,MATCH('EEPROM-Contents'!U22,$B$9:$B$47,0)),2)</f>
        <v>00</v>
      </c>
      <c r="T28" s="84" t="str">
        <f>RIGHT(INDEX($D$9:$D$47,MATCH('EEPROM-Contents'!V22,$B$9:$B$47,0)),2)</f>
        <v>80</v>
      </c>
      <c r="U28" s="84" t="str">
        <f>RIGHT(INDEX($D$9:$D$47,MATCH('EEPROM-Contents'!W22,$B$9:$B$47,0)),2)</f>
        <v>00</v>
      </c>
      <c r="V28" s="84" t="str">
        <f>RIGHT(INDEX($D$9:$D$47,MATCH('EEPROM-Contents'!X22,$B$9:$B$47,0)),2)</f>
        <v>00</v>
      </c>
      <c r="W28" s="84" t="str">
        <f>RIGHT(INDEX($D$9:$D$47,MATCH('EEPROM-Contents'!Y22,$B$9:$B$47,0)),2)</f>
        <v>00</v>
      </c>
      <c r="X28" s="84" t="str">
        <f>RIGHT(INDEX($D$9:$D$47,MATCH('EEPROM-Contents'!Z22,$B$9:$B$47,0)),2)</f>
        <v>FF</v>
      </c>
      <c r="Y28" s="84" t="e">
        <f>RIGHT(INDEX($D$9:$D$47,MATCH('EEPROM-Contents'!AA22,$B$9:$B$47,0)),2)</f>
        <v>#DIV/0!</v>
      </c>
      <c r="Z28" s="84" t="e">
        <f>RIGHT(INDEX($D$9:$D$47,MATCH('EEPROM-Contents'!AB22,$B$9:$B$47,0)),2)</f>
        <v>#DIV/0!</v>
      </c>
      <c r="AA28" s="84" t="e">
        <f ca="1">RIGHT(INDEX($D$9:$D$47,MATCH('EEPROM-Contents'!AC22,$B$9:$B$47,0)),2)</f>
        <v>#DIV/0!</v>
      </c>
      <c r="AB28" s="79" t="str">
        <f>RIGHT(INDEX('EEPROM-Contents'!$K$4:'EEPROM-Contents'!$K$141,MATCH('EEPROM-Contents'!AD22,'EEPROM-Contents'!$I$4:'EEPROM-Contents'!$I$141,0)),2)</f>
        <v>09</v>
      </c>
      <c r="AC28" s="84" t="str">
        <f>RIGHT(INDEX($D$9:$D$47,MATCH('EEPROM-Contents'!AE22,$B$9:$B$47,0)),2)</f>
        <v>89</v>
      </c>
      <c r="AD28" s="84" t="str">
        <f ca="1">RIGHT(INDEX($D$9:$D$47,MATCH('EEPROM-Contents'!AF22,$B$9:$B$47,0)),2)</f>
        <v>07</v>
      </c>
      <c r="AF28" s="81" t="e">
        <f t="shared" ca="1" si="4"/>
        <v>#DIV/0!</v>
      </c>
    </row>
    <row r="29" spans="2:32" x14ac:dyDescent="0.3">
      <c r="B29" s="85">
        <f>'EEPROM-Contents'!B102</f>
        <v>98</v>
      </c>
      <c r="C29" s="75">
        <f ca="1">HEX2DEC(D29)</f>
        <v>3</v>
      </c>
      <c r="D29" s="319" t="str">
        <f ca="1">H5</f>
        <v>03</v>
      </c>
      <c r="E29" s="66" t="str">
        <f>'EEPROM-Contents'!L102</f>
        <v>Day</v>
      </c>
      <c r="F29" s="67"/>
      <c r="G29" s="68"/>
      <c r="I29" s="27"/>
      <c r="J29" s="94" t="s">
        <v>512</v>
      </c>
      <c r="K29" s="186" t="str">
        <f>RIGHT(DEC2HEX(K27,4),2)</f>
        <v>00</v>
      </c>
      <c r="L29" s="27"/>
      <c r="N29" s="78" t="s">
        <v>361</v>
      </c>
      <c r="O29" s="84" t="str">
        <f ca="1">RIGHT(INDEX($D$9:$D$47,MATCH('EEPROM-Contents'!Q23,$B$9:$B$47,0)),2)</f>
        <v>01</v>
      </c>
      <c r="P29" s="84" t="str">
        <f ca="1">RIGHT(INDEX($D$9:$D$47,MATCH('EEPROM-Contents'!R23,$B$9:$B$47,0)),2)</f>
        <v>03</v>
      </c>
      <c r="Q29" s="84" t="str">
        <f>RIGHT(INDEX($D$9:$D$47,MATCH('EEPROM-Contents'!S23,$B$9:$B$47,0)),2)</f>
        <v>03</v>
      </c>
      <c r="R29" s="84" t="str">
        <f>RIGHT(INDEX($D$9:$D$47,MATCH('EEPROM-Contents'!T23,$B$9:$B$47,0)),2)</f>
        <v>F5</v>
      </c>
      <c r="S29" s="84" t="str">
        <f>RIGHT(INDEX($D$9:$D$47,MATCH('EEPROM-Contents'!U23,$B$9:$B$47,0)),2)</f>
        <v>00</v>
      </c>
      <c r="T29" s="84" t="str">
        <f>RIGHT(INDEX($D$9:$D$47,MATCH('EEPROM-Contents'!V23,$B$9:$B$47,0)),2)</f>
        <v>00</v>
      </c>
      <c r="U29" s="84" t="str">
        <f>RIGHT(INDEX($D$9:$D$47,MATCH('EEPROM-Contents'!W23,$B$9:$B$47,0)),2)</f>
        <v>27</v>
      </c>
      <c r="V29" s="84" t="str">
        <f>RIGHT(INDEX($D$9:$D$47,MATCH('EEPROM-Contents'!X23,$B$9:$B$47,0)),2)</f>
        <v>0F</v>
      </c>
      <c r="W29" s="84" t="str">
        <f>RIGHT(INDEX($D$9:$D$47,MATCH('EEPROM-Contents'!Y23,$B$9:$B$47,0)),2)</f>
        <v>80</v>
      </c>
      <c r="X29" s="84" t="str">
        <f>RIGHT(INDEX($D$9:$D$47,MATCH('EEPROM-Contents'!Z23,$B$9:$B$47,0)),2)</f>
        <v>00</v>
      </c>
      <c r="Y29" s="84" t="str">
        <f>RIGHT(INDEX($D$9:$D$47,MATCH('EEPROM-Contents'!AA23,$B$9:$B$47,0)),2)</f>
        <v>80</v>
      </c>
      <c r="Z29" s="84" t="str">
        <f>RIGHT(INDEX($D$9:$D$47,MATCH('EEPROM-Contents'!AB23,$B$9:$B$47,0)),2)</f>
        <v>00</v>
      </c>
      <c r="AA29" s="84" t="str">
        <f>RIGHT(INDEX($D$9:$D$47,MATCH('EEPROM-Contents'!AC23,$B$9:$B$47,0)),2)</f>
        <v>80</v>
      </c>
      <c r="AB29" s="84" t="str">
        <f>RIGHT(INDEX($D$9:$D$47,MATCH('EEPROM-Contents'!AD23,$B$9:$B$47,0)),2)</f>
        <v>00</v>
      </c>
      <c r="AC29" s="84" t="str">
        <f>RIGHT(INDEX($D$9:$D$47,MATCH('EEPROM-Contents'!AE23,$B$9:$B$47,0)),2)</f>
        <v>00</v>
      </c>
      <c r="AD29" s="84" t="str">
        <f>RIGHT(INDEX($D$9:$D$47,MATCH('EEPROM-Contents'!AF23,$B$9:$B$47,0)),2)</f>
        <v>00</v>
      </c>
      <c r="AF29" s="81" t="str">
        <f t="shared" ca="1" si="4"/>
        <v>1200CD7C0A0000000000010303F50000270F800080008000000000</v>
      </c>
    </row>
    <row r="30" spans="2:32" x14ac:dyDescent="0.3">
      <c r="B30" s="85">
        <f>'EEPROM-Contents'!B103</f>
        <v>99</v>
      </c>
      <c r="C30" s="75">
        <f t="shared" si="5"/>
        <v>3</v>
      </c>
      <c r="D30" s="319" t="str">
        <f>LEFT(RIGHT($B$5,4),2)</f>
        <v>03</v>
      </c>
      <c r="E30" s="66" t="str">
        <f>'EEPROM-Contents'!L103</f>
        <v>Device Type</v>
      </c>
      <c r="F30" s="67"/>
      <c r="G30" s="68"/>
      <c r="I30" s="27"/>
      <c r="J30" s="27"/>
      <c r="K30" s="27"/>
      <c r="L30" s="27"/>
      <c r="N30" s="78" t="s">
        <v>362</v>
      </c>
      <c r="O30" s="84" t="str">
        <f>RIGHT(INDEX($D$9:$D$47,MATCH('EEPROM-Contents'!Q24,$B$9:$B$47,0)),2)</f>
        <v>FF</v>
      </c>
      <c r="P30" s="84" t="e">
        <f>RIGHT(INDEX($D$9:$D$47,MATCH('EEPROM-Contents'!R24,$B$9:$B$47,0)),2)</f>
        <v>#DIV/0!</v>
      </c>
      <c r="Q30" s="84" t="e">
        <f>RIGHT(INDEX($D$9:$D$47,MATCH('EEPROM-Contents'!S24,$B$9:$B$47,0)),2)</f>
        <v>#DIV/0!</v>
      </c>
      <c r="R30" s="84" t="e">
        <f ca="1">RIGHT(INDEX($D$9:$D$47,MATCH('EEPROM-Contents'!T24,$B$9:$B$47,0)),2)</f>
        <v>#DIV/0!</v>
      </c>
      <c r="S30" s="79" t="str">
        <f>RIGHT(INDEX('EEPROM-Contents'!$K$4:'EEPROM-Contents'!$K$141,MATCH('EEPROM-Contents'!U24,'EEPROM-Contents'!$I$4:'EEPROM-Contents'!$I$141,0)),2)</f>
        <v>0A</v>
      </c>
      <c r="T30" s="84" t="str">
        <f>RIGHT(INDEX($D$9:$D$47,MATCH('EEPROM-Contents'!V24,$B$9:$B$47,0)),2)</f>
        <v>89</v>
      </c>
      <c r="U30" s="84" t="str">
        <f ca="1">RIGHT(INDEX($D$9:$D$47,MATCH('EEPROM-Contents'!W24,$B$9:$B$47,0)),2)</f>
        <v>07</v>
      </c>
      <c r="V30" s="84" t="str">
        <f ca="1">RIGHT(INDEX($D$9:$D$47,MATCH('EEPROM-Contents'!X24,$B$9:$B$47,0)),2)</f>
        <v>01</v>
      </c>
      <c r="W30" s="84" t="str">
        <f ca="1">RIGHT(INDEX($D$9:$D$47,MATCH('EEPROM-Contents'!Y24,$B$9:$B$47,0)),2)</f>
        <v>03</v>
      </c>
      <c r="X30" s="84" t="str">
        <f>RIGHT(INDEX($D$9:$D$47,MATCH('EEPROM-Contents'!Z24,$B$9:$B$47,0)),2)</f>
        <v>03</v>
      </c>
      <c r="Y30" s="84" t="str">
        <f>RIGHT(INDEX($D$9:$D$47,MATCH('EEPROM-Contents'!AA24,$B$9:$B$47,0)),2)</f>
        <v>F5</v>
      </c>
      <c r="Z30" s="84" t="str">
        <f>RIGHT(INDEX($D$9:$D$47,MATCH('EEPROM-Contents'!AB24,$B$9:$B$47,0)),2)</f>
        <v>00</v>
      </c>
      <c r="AA30" s="84" t="str">
        <f>RIGHT(INDEX($D$9:$D$47,MATCH('EEPROM-Contents'!AC24,$B$9:$B$47,0)),2)</f>
        <v>00</v>
      </c>
      <c r="AB30" s="84" t="str">
        <f>RIGHT(INDEX($D$9:$D$47,MATCH('EEPROM-Contents'!AD24,$B$9:$B$47,0)),2)</f>
        <v>27</v>
      </c>
      <c r="AC30" s="84" t="str">
        <f>RIGHT(INDEX($D$9:$D$47,MATCH('EEPROM-Contents'!AE24,$B$9:$B$47,0)),2)</f>
        <v>0F</v>
      </c>
      <c r="AD30" s="84" t="str">
        <f>RIGHT(INDEX($D$9:$D$47,MATCH('EEPROM-Contents'!AF24,$B$9:$B$47,0)),2)</f>
        <v>80</v>
      </c>
      <c r="AF30" s="81" t="e">
        <f t="shared" ca="1" si="4"/>
        <v>#DIV/0!</v>
      </c>
    </row>
    <row r="31" spans="2:32" x14ac:dyDescent="0.3">
      <c r="B31" s="85">
        <f>'EEPROM-Contents'!B104</f>
        <v>100</v>
      </c>
      <c r="C31" s="75">
        <f t="shared" si="5"/>
        <v>245</v>
      </c>
      <c r="D31" s="319" t="str">
        <f>LEFT(RIGHT($B$5,2),2)</f>
        <v>F5</v>
      </c>
      <c r="E31" s="66" t="str">
        <f>'EEPROM-Contents'!L104</f>
        <v>Device Type</v>
      </c>
      <c r="F31" s="67"/>
      <c r="G31" s="68"/>
      <c r="I31" s="27"/>
      <c r="J31" s="187" t="s">
        <v>568</v>
      </c>
      <c r="K31" s="185"/>
      <c r="L31" s="27"/>
      <c r="N31" s="78" t="s">
        <v>363</v>
      </c>
      <c r="O31" s="84" t="str">
        <f>RIGHT(INDEX($D$9:$D$47,MATCH('EEPROM-Contents'!Q25,$B$9:$B$47,0)),2)</f>
        <v>00</v>
      </c>
      <c r="P31" s="84" t="str">
        <f>RIGHT(INDEX($D$9:$D$47,MATCH('EEPROM-Contents'!R25,$B$9:$B$47,0)),2)</f>
        <v>80</v>
      </c>
      <c r="Q31" s="84" t="str">
        <f>RIGHT(INDEX($D$9:$D$47,MATCH('EEPROM-Contents'!S25,$B$9:$B$47,0)),2)</f>
        <v>00</v>
      </c>
      <c r="R31" s="84" t="str">
        <f>RIGHT(INDEX($D$9:$D$47,MATCH('EEPROM-Contents'!T25,$B$9:$B$47,0)),2)</f>
        <v>80</v>
      </c>
      <c r="S31" s="84" t="str">
        <f>RIGHT(INDEX($D$9:$D$47,MATCH('EEPROM-Contents'!U25,$B$9:$B$47,0)),2)</f>
        <v>00</v>
      </c>
      <c r="T31" s="84" t="str">
        <f>RIGHT(INDEX($D$9:$D$47,MATCH('EEPROM-Contents'!V25,$B$9:$B$47,0)),2)</f>
        <v>00</v>
      </c>
      <c r="U31" s="84" t="str">
        <f>RIGHT(INDEX($D$9:$D$47,MATCH('EEPROM-Contents'!W25,$B$9:$B$47,0)),2)</f>
        <v>00</v>
      </c>
      <c r="V31" s="84" t="str">
        <f>RIGHT(INDEX($D$9:$D$47,MATCH('EEPROM-Contents'!X25,$B$9:$B$47,0)),2)</f>
        <v>FF</v>
      </c>
      <c r="W31" s="84" t="e">
        <f>RIGHT(INDEX($D$9:$D$47,MATCH('EEPROM-Contents'!Y25,$B$9:$B$47,0)),2)</f>
        <v>#DIV/0!</v>
      </c>
      <c r="X31" s="84" t="e">
        <f>RIGHT(INDEX($D$9:$D$47,MATCH('EEPROM-Contents'!Z25,$B$9:$B$47,0)),2)</f>
        <v>#DIV/0!</v>
      </c>
      <c r="Y31" s="84" t="e">
        <f ca="1">RIGHT(INDEX($D$9:$D$47,MATCH('EEPROM-Contents'!AA25,$B$9:$B$47,0)),2)</f>
        <v>#DIV/0!</v>
      </c>
      <c r="Z31" s="79" t="str">
        <f>RIGHT(INDEX('EEPROM-Contents'!$K$4:'EEPROM-Contents'!$K$141,MATCH('EEPROM-Contents'!AB25,'EEPROM-Contents'!$I$4:'EEPROM-Contents'!$I$141,0)),2)</f>
        <v>0B</v>
      </c>
      <c r="AA31" s="84" t="str">
        <f>RIGHT(INDEX($D$9:$D$47,MATCH('EEPROM-Contents'!AC25,$B$9:$B$47,0)),2)</f>
        <v>89</v>
      </c>
      <c r="AB31" s="84" t="str">
        <f ca="1">RIGHT(INDEX($D$9:$D$47,MATCH('EEPROM-Contents'!AD25,$B$9:$B$47,0)),2)</f>
        <v>07</v>
      </c>
      <c r="AC31" s="84" t="str">
        <f ca="1">RIGHT(INDEX($D$9:$D$47,MATCH('EEPROM-Contents'!AE25,$B$9:$B$47,0)),2)</f>
        <v>01</v>
      </c>
      <c r="AD31" s="84" t="str">
        <f ca="1">RIGHT(INDEX($D$9:$D$47,MATCH('EEPROM-Contents'!AF25,$B$9:$B$47,0)),2)</f>
        <v>03</v>
      </c>
      <c r="AF31" s="81" t="e">
        <f t="shared" ca="1" si="4"/>
        <v>#DIV/0!</v>
      </c>
    </row>
    <row r="32" spans="2:32" x14ac:dyDescent="0.3">
      <c r="B32" s="85">
        <f>'EEPROM-Contents'!B105</f>
        <v>101</v>
      </c>
      <c r="C32" s="75">
        <f t="shared" si="5"/>
        <v>0</v>
      </c>
      <c r="D32" s="319" t="str">
        <f>LEFT(RIGHT($D$5,8),2)</f>
        <v>00</v>
      </c>
      <c r="E32" s="66" t="str">
        <f>'EEPROM-Contents'!L105</f>
        <v>Manufacturer / Lot ID</v>
      </c>
      <c r="F32" s="67"/>
      <c r="G32" s="68"/>
      <c r="I32" s="27"/>
      <c r="J32" s="94" t="s">
        <v>513</v>
      </c>
      <c r="K32" s="186">
        <f>$K$169</f>
        <v>0</v>
      </c>
      <c r="L32" s="27"/>
      <c r="N32" s="78" t="s">
        <v>364</v>
      </c>
      <c r="O32" s="84" t="str">
        <f>RIGHT(INDEX($D$9:$D$47,MATCH('EEPROM-Contents'!Q26,$B$9:$B$47,0)),2)</f>
        <v>03</v>
      </c>
      <c r="P32" s="84" t="str">
        <f>RIGHT(INDEX($D$9:$D$47,MATCH('EEPROM-Contents'!R26,$B$9:$B$47,0)),2)</f>
        <v>F5</v>
      </c>
      <c r="Q32" s="84" t="str">
        <f>RIGHT(INDEX($D$9:$D$47,MATCH('EEPROM-Contents'!S26,$B$9:$B$47,0)),2)</f>
        <v>00</v>
      </c>
      <c r="R32" s="84" t="str">
        <f>RIGHT(INDEX($D$9:$D$47,MATCH('EEPROM-Contents'!T26,$B$9:$B$47,0)),2)</f>
        <v>00</v>
      </c>
      <c r="S32" s="84" t="str">
        <f>RIGHT(INDEX($D$9:$D$47,MATCH('EEPROM-Contents'!U26,$B$9:$B$47,0)),2)</f>
        <v>27</v>
      </c>
      <c r="T32" s="84" t="str">
        <f>RIGHT(INDEX($D$9:$D$47,MATCH('EEPROM-Contents'!V26,$B$9:$B$47,0)),2)</f>
        <v>0F</v>
      </c>
      <c r="U32" s="84" t="str">
        <f>RIGHT(INDEX($D$9:$D$47,MATCH('EEPROM-Contents'!W26,$B$9:$B$47,0)),2)</f>
        <v>80</v>
      </c>
      <c r="V32" s="84" t="str">
        <f>RIGHT(INDEX($D$9:$D$47,MATCH('EEPROM-Contents'!X26,$B$9:$B$47,0)),2)</f>
        <v>00</v>
      </c>
      <c r="W32" s="84" t="str">
        <f>RIGHT(INDEX($D$9:$D$47,MATCH('EEPROM-Contents'!Y26,$B$9:$B$47,0)),2)</f>
        <v>80</v>
      </c>
      <c r="X32" s="84" t="str">
        <f>RIGHT(INDEX($D$9:$D$47,MATCH('EEPROM-Contents'!Z26,$B$9:$B$47,0)),2)</f>
        <v>00</v>
      </c>
      <c r="Y32" s="84" t="str">
        <f>RIGHT(INDEX($D$9:$D$47,MATCH('EEPROM-Contents'!AA26,$B$9:$B$47,0)),2)</f>
        <v>80</v>
      </c>
      <c r="Z32" s="84" t="str">
        <f>RIGHT(INDEX($D$9:$D$47,MATCH('EEPROM-Contents'!AB26,$B$9:$B$47,0)),2)</f>
        <v>00</v>
      </c>
      <c r="AA32" s="84" t="str">
        <f>RIGHT(INDEX($D$9:$D$47,MATCH('EEPROM-Contents'!AC26,$B$9:$B$47,0)),2)</f>
        <v>00</v>
      </c>
      <c r="AB32" s="84" t="str">
        <f>RIGHT(INDEX($D$9:$D$47,MATCH('EEPROM-Contents'!AD26,$B$9:$B$47,0)),2)</f>
        <v>00</v>
      </c>
      <c r="AC32" s="84" t="str">
        <f>RIGHT(INDEX($D$9:$D$47,MATCH('EEPROM-Contents'!AE26,$B$9:$B$47,0)),2)</f>
        <v>FF</v>
      </c>
      <c r="AD32" s="84" t="e">
        <f>RIGHT(INDEX($D$9:$D$47,MATCH('EEPROM-Contents'!AF26,$B$9:$B$47,0)),2)</f>
        <v>#DIV/0!</v>
      </c>
      <c r="AF32" s="81" t="e">
        <f t="shared" si="4"/>
        <v>#DIV/0!</v>
      </c>
    </row>
    <row r="33" spans="2:32" x14ac:dyDescent="0.3">
      <c r="B33" s="85">
        <f>'EEPROM-Contents'!B106</f>
        <v>102</v>
      </c>
      <c r="C33" s="75">
        <f t="shared" si="5"/>
        <v>0</v>
      </c>
      <c r="D33" s="319" t="str">
        <f>LEFT(RIGHT($D$5,6),2)</f>
        <v>00</v>
      </c>
      <c r="E33" s="66" t="str">
        <f>'EEPROM-Contents'!L106</f>
        <v>Manufacturer / Lot ID</v>
      </c>
      <c r="F33" s="67"/>
      <c r="G33" s="68"/>
      <c r="I33" s="27"/>
      <c r="J33" s="94" t="s">
        <v>511</v>
      </c>
      <c r="K33" s="186" t="str">
        <f>LEFT(DEC2HEX(K32,4),2)</f>
        <v>00</v>
      </c>
      <c r="L33" s="27"/>
      <c r="N33" s="78" t="s">
        <v>365</v>
      </c>
      <c r="O33" s="84" t="e">
        <f>RIGHT(INDEX($D$9:$D$47,MATCH('EEPROM-Contents'!Q27,$B$9:$B$47,0)),2)</f>
        <v>#DIV/0!</v>
      </c>
      <c r="P33" s="84" t="e">
        <f ca="1">RIGHT(INDEX($D$9:$D$47,MATCH('EEPROM-Contents'!R27,$B$9:$B$47,0)),2)</f>
        <v>#DIV/0!</v>
      </c>
      <c r="Q33" s="79" t="str">
        <f>RIGHT(INDEX('EEPROM-Contents'!$K$4:'EEPROM-Contents'!$K$141,MATCH('EEPROM-Contents'!S27,'EEPROM-Contents'!$I$4:'EEPROM-Contents'!$I$141,0)),2)</f>
        <v>0C</v>
      </c>
      <c r="R33" s="84" t="str">
        <f>RIGHT(INDEX($D$9:$D$47,MATCH('EEPROM-Contents'!T27,$B$9:$B$47,0)),2)</f>
        <v>89</v>
      </c>
      <c r="S33" s="84" t="str">
        <f ca="1">RIGHT(INDEX($D$9:$D$47,MATCH('EEPROM-Contents'!U27,$B$9:$B$47,0)),2)</f>
        <v>07</v>
      </c>
      <c r="T33" s="84" t="str">
        <f ca="1">RIGHT(INDEX($D$9:$D$47,MATCH('EEPROM-Contents'!V27,$B$9:$B$47,0)),2)</f>
        <v>01</v>
      </c>
      <c r="U33" s="84" t="str">
        <f ca="1">RIGHT(INDEX($D$9:$D$47,MATCH('EEPROM-Contents'!W27,$B$9:$B$47,0)),2)</f>
        <v>03</v>
      </c>
      <c r="V33" s="84" t="str">
        <f>RIGHT(INDEX($D$9:$D$47,MATCH('EEPROM-Contents'!X27,$B$9:$B$47,0)),2)</f>
        <v>03</v>
      </c>
      <c r="W33" s="84" t="str">
        <f>RIGHT(INDEX($D$9:$D$47,MATCH('EEPROM-Contents'!Y27,$B$9:$B$47,0)),2)</f>
        <v>F5</v>
      </c>
      <c r="X33" s="84" t="str">
        <f>RIGHT(INDEX($D$9:$D$47,MATCH('EEPROM-Contents'!Z27,$B$9:$B$47,0)),2)</f>
        <v>00</v>
      </c>
      <c r="Y33" s="84" t="str">
        <f>RIGHT(INDEX($D$9:$D$47,MATCH('EEPROM-Contents'!AA27,$B$9:$B$47,0)),2)</f>
        <v>00</v>
      </c>
      <c r="Z33" s="84" t="str">
        <f>RIGHT(INDEX($D$9:$D$47,MATCH('EEPROM-Contents'!AB27,$B$9:$B$47,0)),2)</f>
        <v>27</v>
      </c>
      <c r="AA33" s="84" t="str">
        <f>RIGHT(INDEX($D$9:$D$47,MATCH('EEPROM-Contents'!AC27,$B$9:$B$47,0)),2)</f>
        <v>0F</v>
      </c>
      <c r="AB33" s="84" t="str">
        <f>RIGHT(INDEX($D$9:$D$47,MATCH('EEPROM-Contents'!AD27,$B$9:$B$47,0)),2)</f>
        <v>80</v>
      </c>
      <c r="AC33" s="84" t="str">
        <f>RIGHT(INDEX($D$9:$D$47,MATCH('EEPROM-Contents'!AE27,$B$9:$B$47,0)),2)</f>
        <v>00</v>
      </c>
      <c r="AD33" s="84" t="str">
        <f>RIGHT(INDEX($D$9:$D$47,MATCH('EEPROM-Contents'!AF27,$B$9:$B$47,0)),2)</f>
        <v>80</v>
      </c>
      <c r="AF33" s="81" t="e">
        <f t="shared" ca="1" si="4"/>
        <v>#DIV/0!</v>
      </c>
    </row>
    <row r="34" spans="2:32" x14ac:dyDescent="0.3">
      <c r="B34" s="85">
        <f>'EEPROM-Contents'!B107</f>
        <v>103</v>
      </c>
      <c r="C34" s="75">
        <f t="shared" si="5"/>
        <v>39</v>
      </c>
      <c r="D34" s="319" t="str">
        <f>LEFT(RIGHT($D$5,4),2)</f>
        <v>27</v>
      </c>
      <c r="E34" s="66" t="str">
        <f>'EEPROM-Contents'!L107</f>
        <v>Manufacturer / Lot ID</v>
      </c>
      <c r="F34" s="67"/>
      <c r="G34" s="68"/>
      <c r="I34" s="27"/>
      <c r="J34" s="94" t="s">
        <v>512</v>
      </c>
      <c r="K34" s="186" t="str">
        <f>RIGHT(DEC2HEX(K32,4),2)</f>
        <v>00</v>
      </c>
      <c r="L34" s="27"/>
      <c r="N34" s="78" t="s">
        <v>366</v>
      </c>
      <c r="O34" s="84" t="str">
        <f>RIGHT(INDEX($D$9:$D$47,MATCH('EEPROM-Contents'!Q28,$B$9:$B$47,0)),2)</f>
        <v>00</v>
      </c>
      <c r="P34" s="84" t="str">
        <f>RIGHT(INDEX($D$9:$D$47,MATCH('EEPROM-Contents'!R28,$B$9:$B$47,0)),2)</f>
        <v>80</v>
      </c>
      <c r="Q34" s="84" t="str">
        <f>RIGHT(INDEX($D$9:$D$47,MATCH('EEPROM-Contents'!S28,$B$9:$B$47,0)),2)</f>
        <v>00</v>
      </c>
      <c r="R34" s="84" t="str">
        <f>RIGHT(INDEX($D$9:$D$47,MATCH('EEPROM-Contents'!T28,$B$9:$B$47,0)),2)</f>
        <v>00</v>
      </c>
      <c r="S34" s="84" t="str">
        <f>RIGHT(INDEX($D$9:$D$47,MATCH('EEPROM-Contents'!U28,$B$9:$B$47,0)),2)</f>
        <v>00</v>
      </c>
      <c r="T34" s="84" t="str">
        <f>RIGHT(INDEX($D$9:$D$47,MATCH('EEPROM-Contents'!V28,$B$9:$B$47,0)),2)</f>
        <v>FF</v>
      </c>
      <c r="U34" s="84" t="e">
        <f>RIGHT(INDEX($D$9:$D$47,MATCH('EEPROM-Contents'!W28,$B$9:$B$47,0)),2)</f>
        <v>#DIV/0!</v>
      </c>
      <c r="V34" s="84" t="e">
        <f>RIGHT(INDEX($D$9:$D$47,MATCH('EEPROM-Contents'!X28,$B$9:$B$47,0)),2)</f>
        <v>#DIV/0!</v>
      </c>
      <c r="W34" s="84" t="e">
        <f ca="1">RIGHT(INDEX($D$9:$D$47,MATCH('EEPROM-Contents'!Y28,$B$9:$B$47,0)),2)</f>
        <v>#DIV/0!</v>
      </c>
      <c r="X34" s="79" t="str">
        <f>RIGHT(INDEX('EEPROM-Contents'!$K$4:'EEPROM-Contents'!$K$141,MATCH('EEPROM-Contents'!Z28,'EEPROM-Contents'!$I$4:'EEPROM-Contents'!$I$141,0)),2)</f>
        <v>0D</v>
      </c>
      <c r="Y34" s="84" t="str">
        <f>RIGHT(INDEX($D$9:$D$47,MATCH('EEPROM-Contents'!AA28,$B$9:$B$47,0)),2)</f>
        <v>89</v>
      </c>
      <c r="Z34" s="84" t="str">
        <f ca="1">RIGHT(INDEX($D$9:$D$47,MATCH('EEPROM-Contents'!AB28,$B$9:$B$47,0)),2)</f>
        <v>07</v>
      </c>
      <c r="AA34" s="84" t="str">
        <f ca="1">RIGHT(INDEX($D$9:$D$47,MATCH('EEPROM-Contents'!AC28,$B$9:$B$47,0)),2)</f>
        <v>01</v>
      </c>
      <c r="AB34" s="84" t="str">
        <f ca="1">RIGHT(INDEX($D$9:$D$47,MATCH('EEPROM-Contents'!AD28,$B$9:$B$47,0)),2)</f>
        <v>03</v>
      </c>
      <c r="AC34" s="84" t="str">
        <f>RIGHT(INDEX($D$9:$D$47,MATCH('EEPROM-Contents'!AE28,$B$9:$B$47,0)),2)</f>
        <v>03</v>
      </c>
      <c r="AD34" s="84" t="str">
        <f>RIGHT(INDEX($D$9:$D$47,MATCH('EEPROM-Contents'!AF28,$B$9:$B$47,0)),2)</f>
        <v>F5</v>
      </c>
      <c r="AF34" s="81" t="e">
        <f t="shared" ca="1" si="4"/>
        <v>#DIV/0!</v>
      </c>
    </row>
    <row r="35" spans="2:32" x14ac:dyDescent="0.3">
      <c r="B35" s="85">
        <f>'EEPROM-Contents'!B108</f>
        <v>104</v>
      </c>
      <c r="C35" s="75">
        <f t="shared" si="5"/>
        <v>15</v>
      </c>
      <c r="D35" s="319" t="str">
        <f>LEFT(RIGHT($D$5,2),2)</f>
        <v>0F</v>
      </c>
      <c r="E35" s="66" t="str">
        <f>'EEPROM-Contents'!L108</f>
        <v>Manufacturer / Lot ID</v>
      </c>
      <c r="F35" s="67"/>
      <c r="G35" s="68"/>
      <c r="N35" s="78" t="s">
        <v>367</v>
      </c>
      <c r="O35" s="84" t="str">
        <f>RIGHT(INDEX($D$9:$D$47,MATCH('EEPROM-Contents'!Q29,$B$9:$B$47,0)),2)</f>
        <v>00</v>
      </c>
      <c r="P35" s="84" t="str">
        <f>RIGHT(INDEX($D$9:$D$47,MATCH('EEPROM-Contents'!R29,$B$9:$B$47,0)),2)</f>
        <v>00</v>
      </c>
      <c r="Q35" s="84" t="str">
        <f>RIGHT(INDEX($D$9:$D$47,MATCH('EEPROM-Contents'!S29,$B$9:$B$47,0)),2)</f>
        <v>27</v>
      </c>
      <c r="R35" s="84" t="str">
        <f>RIGHT(INDEX($D$9:$D$47,MATCH('EEPROM-Contents'!T29,$B$9:$B$47,0)),2)</f>
        <v>0F</v>
      </c>
      <c r="S35" s="84" t="str">
        <f>RIGHT(INDEX($D$9:$D$47,MATCH('EEPROM-Contents'!U29,$B$9:$B$47,0)),2)</f>
        <v>80</v>
      </c>
      <c r="T35" s="84" t="str">
        <f>RIGHT(INDEX($D$9:$D$47,MATCH('EEPROM-Contents'!V29,$B$9:$B$47,0)),2)</f>
        <v>00</v>
      </c>
      <c r="U35" s="84" t="str">
        <f>RIGHT(INDEX($D$9:$D$47,MATCH('EEPROM-Contents'!W29,$B$9:$B$47,0)),2)</f>
        <v>80</v>
      </c>
      <c r="V35" s="84" t="str">
        <f>RIGHT(INDEX($D$9:$D$47,MATCH('EEPROM-Contents'!X29,$B$9:$B$47,0)),2)</f>
        <v>00</v>
      </c>
      <c r="W35" s="84" t="str">
        <f>RIGHT(INDEX($D$9:$D$47,MATCH('EEPROM-Contents'!Y29,$B$9:$B$47,0)),2)</f>
        <v>80</v>
      </c>
      <c r="X35" s="84" t="str">
        <f>RIGHT(INDEX($D$9:$D$47,MATCH('EEPROM-Contents'!Z29,$B$9:$B$47,0)),2)</f>
        <v>00</v>
      </c>
      <c r="Y35" s="84" t="str">
        <f>RIGHT(INDEX($D$9:$D$47,MATCH('EEPROM-Contents'!AA29,$B$9:$B$47,0)),2)</f>
        <v>00</v>
      </c>
      <c r="Z35" s="84" t="str">
        <f>RIGHT(INDEX($D$9:$D$47,MATCH('EEPROM-Contents'!AB29,$B$9:$B$47,0)),2)</f>
        <v>00</v>
      </c>
      <c r="AA35" s="84" t="str">
        <f>RIGHT(INDEX($D$9:$D$47,MATCH('EEPROM-Contents'!AC29,$B$9:$B$47,0)),2)</f>
        <v>FF</v>
      </c>
      <c r="AB35" s="84" t="e">
        <f>RIGHT(INDEX($D$9:$D$47,MATCH('EEPROM-Contents'!AD29,$B$9:$B$47,0)),2)</f>
        <v>#DIV/0!</v>
      </c>
      <c r="AC35" s="84" t="e">
        <f>RIGHT(INDEX($D$9:$D$47,MATCH('EEPROM-Contents'!AE29,$B$9:$B$47,0)),2)</f>
        <v>#DIV/0!</v>
      </c>
      <c r="AD35" s="84" t="e">
        <f ca="1">RIGHT(INDEX($D$9:$D$47,MATCH('EEPROM-Contents'!AF29,$B$9:$B$47,0)),2)</f>
        <v>#DIV/0!</v>
      </c>
      <c r="AF35" s="81" t="e">
        <f t="shared" ca="1" si="4"/>
        <v>#DIV/0!</v>
      </c>
    </row>
    <row r="36" spans="2:32" x14ac:dyDescent="0.3">
      <c r="B36" s="85">
        <f>'EEPROM-Contents'!B109</f>
        <v>105</v>
      </c>
      <c r="C36" s="75">
        <f t="shared" si="5"/>
        <v>128</v>
      </c>
      <c r="D36" s="229" t="str">
        <f>J23</f>
        <v>80</v>
      </c>
      <c r="E36" s="66" t="str">
        <f>'EEPROM-Contents'!L109</f>
        <v>Accelerometer Cal</v>
      </c>
      <c r="F36" s="67"/>
      <c r="G36" s="68"/>
      <c r="N36" s="78" t="s">
        <v>368</v>
      </c>
      <c r="O36" s="79" t="str">
        <f>RIGHT(INDEX('EEPROM-Contents'!$K$4:'EEPROM-Contents'!$K$141,MATCH('EEPROM-Contents'!Q30,'EEPROM-Contents'!$I$4:'EEPROM-Contents'!$I$141,0)),2)</f>
        <v>0E</v>
      </c>
      <c r="P36" s="84" t="str">
        <f>RIGHT(INDEX($D$9:$D$47,MATCH('EEPROM-Contents'!R30,$B$9:$B$47,0)),2)</f>
        <v>89</v>
      </c>
      <c r="Q36" s="84" t="str">
        <f ca="1">RIGHT(INDEX($D$9:$D$47,MATCH('EEPROM-Contents'!S30,$B$9:$B$47,0)),2)</f>
        <v>07</v>
      </c>
      <c r="R36" s="84" t="str">
        <f ca="1">RIGHT(INDEX($D$9:$D$47,MATCH('EEPROM-Contents'!T30,$B$9:$B$47,0)),2)</f>
        <v>01</v>
      </c>
      <c r="S36" s="84" t="str">
        <f ca="1">RIGHT(INDEX($D$9:$D$47,MATCH('EEPROM-Contents'!U30,$B$9:$B$47,0)),2)</f>
        <v>03</v>
      </c>
      <c r="T36" s="84" t="str">
        <f>RIGHT(INDEX($D$9:$D$47,MATCH('EEPROM-Contents'!V30,$B$9:$B$47,0)),2)</f>
        <v>03</v>
      </c>
      <c r="U36" s="84" t="str">
        <f>RIGHT(INDEX($D$9:$D$47,MATCH('EEPROM-Contents'!W30,$B$9:$B$47,0)),2)</f>
        <v>F5</v>
      </c>
      <c r="V36" s="84" t="str">
        <f>RIGHT(INDEX($D$9:$D$47,MATCH('EEPROM-Contents'!X30,$B$9:$B$47,0)),2)</f>
        <v>00</v>
      </c>
      <c r="W36" s="84" t="str">
        <f>RIGHT(INDEX($D$9:$D$47,MATCH('EEPROM-Contents'!Y30,$B$9:$B$47,0)),2)</f>
        <v>00</v>
      </c>
      <c r="X36" s="84" t="str">
        <f>RIGHT(INDEX($D$9:$D$47,MATCH('EEPROM-Contents'!Z30,$B$9:$B$47,0)),2)</f>
        <v>27</v>
      </c>
      <c r="Y36" s="84" t="str">
        <f>RIGHT(INDEX($D$9:$D$47,MATCH('EEPROM-Contents'!AA30,$B$9:$B$47,0)),2)</f>
        <v>0F</v>
      </c>
      <c r="Z36" s="84" t="str">
        <f>RIGHT(INDEX($D$9:$D$47,MATCH('EEPROM-Contents'!AB30,$B$9:$B$47,0)),2)</f>
        <v>80</v>
      </c>
      <c r="AA36" s="84" t="str">
        <f>RIGHT(INDEX($D$9:$D$47,MATCH('EEPROM-Contents'!AC30,$B$9:$B$47,0)),2)</f>
        <v>00</v>
      </c>
      <c r="AB36" s="84" t="str">
        <f>RIGHT(INDEX($D$9:$D$47,MATCH('EEPROM-Contents'!AD30,$B$9:$B$47,0)),2)</f>
        <v>80</v>
      </c>
      <c r="AC36" s="84" t="str">
        <f>RIGHT(INDEX($D$9:$D$47,MATCH('EEPROM-Contents'!AE30,$B$9:$B$47,0)),2)</f>
        <v>00</v>
      </c>
      <c r="AD36" s="84" t="str">
        <f>RIGHT(INDEX($D$9:$D$47,MATCH('EEPROM-Contents'!AF30,$B$9:$B$47,0)),2)</f>
        <v>80</v>
      </c>
      <c r="AF36" s="81" t="str">
        <f t="shared" ca="1" si="4"/>
        <v>1200CD7C0A00000000000E8907010303F50000270F800080008000</v>
      </c>
    </row>
    <row r="37" spans="2:32" x14ac:dyDescent="0.3">
      <c r="B37" s="85">
        <f>'EEPROM-Contents'!B110</f>
        <v>106</v>
      </c>
      <c r="C37" s="75">
        <f t="shared" si="5"/>
        <v>0</v>
      </c>
      <c r="D37" s="229" t="str">
        <f>J24</f>
        <v>00</v>
      </c>
      <c r="E37" s="66" t="str">
        <f>'EEPROM-Contents'!L110</f>
        <v>Accelerometer Cal</v>
      </c>
      <c r="F37" s="67"/>
      <c r="G37" s="68"/>
      <c r="N37" s="78" t="s">
        <v>369</v>
      </c>
      <c r="O37" s="84" t="str">
        <f>RIGHT(INDEX($D$9:$D$47,MATCH('EEPROM-Contents'!Q31,$B$9:$B$47,0)),2)</f>
        <v>00</v>
      </c>
      <c r="P37" s="84" t="str">
        <f>RIGHT(INDEX($D$9:$D$47,MATCH('EEPROM-Contents'!R31,$B$9:$B$47,0)),2)</f>
        <v>00</v>
      </c>
      <c r="Q37" s="84" t="str">
        <f>RIGHT(INDEX($D$9:$D$47,MATCH('EEPROM-Contents'!S31,$B$9:$B$47,0)),2)</f>
        <v>00</v>
      </c>
      <c r="R37" s="84" t="str">
        <f>RIGHT(INDEX($D$9:$D$47,MATCH('EEPROM-Contents'!T31,$B$9:$B$47,0)),2)</f>
        <v>FF</v>
      </c>
      <c r="S37" s="84" t="e">
        <f>RIGHT(INDEX($D$9:$D$47,MATCH('EEPROM-Contents'!U31,$B$9:$B$47,0)),2)</f>
        <v>#DIV/0!</v>
      </c>
      <c r="T37" s="84" t="e">
        <f>RIGHT(INDEX($D$9:$D$47,MATCH('EEPROM-Contents'!V31,$B$9:$B$47,0)),2)</f>
        <v>#DIV/0!</v>
      </c>
      <c r="U37" s="84" t="e">
        <f ca="1">RIGHT(INDEX($D$9:$D$47,MATCH('EEPROM-Contents'!W31,$B$9:$B$47,0)),2)</f>
        <v>#DIV/0!</v>
      </c>
      <c r="V37" s="79" t="str">
        <f>RIGHT(INDEX('EEPROM-Contents'!$K$4:'EEPROM-Contents'!$K$141,MATCH('EEPROM-Contents'!X31,'EEPROM-Contents'!$I$4:'EEPROM-Contents'!$I$141,0)),2)</f>
        <v>0F</v>
      </c>
      <c r="W37" s="84" t="str">
        <f>RIGHT(INDEX($D$9:$D$47,MATCH('EEPROM-Contents'!Y31,$B$9:$B$47,0)),2)</f>
        <v>89</v>
      </c>
      <c r="X37" s="84" t="str">
        <f ca="1">RIGHT(INDEX($D$9:$D$47,MATCH('EEPROM-Contents'!Z31,$B$9:$B$47,0)),2)</f>
        <v>07</v>
      </c>
      <c r="Y37" s="84" t="str">
        <f ca="1">RIGHT(INDEX($D$9:$D$47,MATCH('EEPROM-Contents'!AA31,$B$9:$B$47,0)),2)</f>
        <v>01</v>
      </c>
      <c r="Z37" s="84" t="str">
        <f ca="1">RIGHT(INDEX($D$9:$D$47,MATCH('EEPROM-Contents'!AB31,$B$9:$B$47,0)),2)</f>
        <v>03</v>
      </c>
      <c r="AA37" s="84" t="str">
        <f>RIGHT(INDEX($D$9:$D$47,MATCH('EEPROM-Contents'!AC31,$B$9:$B$47,0)),2)</f>
        <v>03</v>
      </c>
      <c r="AB37" s="84" t="str">
        <f>RIGHT(INDEX($D$9:$D$47,MATCH('EEPROM-Contents'!AD31,$B$9:$B$47,0)),2)</f>
        <v>F5</v>
      </c>
      <c r="AC37" s="84" t="str">
        <f>RIGHT(INDEX($D$9:$D$47,MATCH('EEPROM-Contents'!AE31,$B$9:$B$47,0)),2)</f>
        <v>00</v>
      </c>
      <c r="AD37" s="84" t="str">
        <f>RIGHT(INDEX($D$9:$D$47,MATCH('EEPROM-Contents'!AF31,$B$9:$B$47,0)),2)</f>
        <v>00</v>
      </c>
      <c r="AF37" s="81" t="e">
        <f t="shared" ca="1" si="4"/>
        <v>#DIV/0!</v>
      </c>
    </row>
    <row r="38" spans="2:32" x14ac:dyDescent="0.3">
      <c r="B38" s="85">
        <f>'EEPROM-Contents'!B111</f>
        <v>107</v>
      </c>
      <c r="C38" s="75">
        <f t="shared" si="5"/>
        <v>128</v>
      </c>
      <c r="D38" s="229" t="str">
        <f>K23</f>
        <v>80</v>
      </c>
      <c r="E38" s="66" t="str">
        <f>'EEPROM-Contents'!L111</f>
        <v>Accelerometer Cal</v>
      </c>
      <c r="F38" s="67"/>
      <c r="G38" s="68"/>
      <c r="N38" s="78" t="s">
        <v>370</v>
      </c>
      <c r="O38" s="84" t="str">
        <f>RIGHT(INDEX($D$9:$D$47,MATCH('EEPROM-Contents'!Q32,$B$9:$B$47,0)),2)</f>
        <v>27</v>
      </c>
      <c r="P38" s="84" t="str">
        <f>RIGHT(INDEX($D$9:$D$47,MATCH('EEPROM-Contents'!R32,$B$9:$B$47,0)),2)</f>
        <v>0F</v>
      </c>
      <c r="Q38" s="84" t="str">
        <f>RIGHT(INDEX($D$9:$D$47,MATCH('EEPROM-Contents'!S32,$B$9:$B$47,0)),2)</f>
        <v>80</v>
      </c>
      <c r="R38" s="84" t="str">
        <f>RIGHT(INDEX($D$9:$D$47,MATCH('EEPROM-Contents'!T32,$B$9:$B$47,0)),2)</f>
        <v>00</v>
      </c>
      <c r="S38" s="84" t="str">
        <f>RIGHT(INDEX($D$9:$D$47,MATCH('EEPROM-Contents'!U32,$B$9:$B$47,0)),2)</f>
        <v>80</v>
      </c>
      <c r="T38" s="84" t="str">
        <f>RIGHT(INDEX($D$9:$D$47,MATCH('EEPROM-Contents'!V32,$B$9:$B$47,0)),2)</f>
        <v>00</v>
      </c>
      <c r="U38" s="84" t="str">
        <f>RIGHT(INDEX($D$9:$D$47,MATCH('EEPROM-Contents'!W32,$B$9:$B$47,0)),2)</f>
        <v>80</v>
      </c>
      <c r="V38" s="84" t="str">
        <f>RIGHT(INDEX($D$9:$D$47,MATCH('EEPROM-Contents'!X32,$B$9:$B$47,0)),2)</f>
        <v>00</v>
      </c>
      <c r="W38" s="84" t="str">
        <f>RIGHT(INDEX($D$9:$D$47,MATCH('EEPROM-Contents'!Y32,$B$9:$B$47,0)),2)</f>
        <v>00</v>
      </c>
      <c r="X38" s="84" t="str">
        <f>RIGHT(INDEX($D$9:$D$47,MATCH('EEPROM-Contents'!Z32,$B$9:$B$47,0)),2)</f>
        <v>00</v>
      </c>
      <c r="Y38" s="84" t="str">
        <f>RIGHT(INDEX($D$9:$D$47,MATCH('EEPROM-Contents'!AA32,$B$9:$B$47,0)),2)</f>
        <v>FF</v>
      </c>
      <c r="Z38" s="84" t="e">
        <f>RIGHT(INDEX($D$9:$D$47,MATCH('EEPROM-Contents'!AB32,$B$9:$B$47,0)),2)</f>
        <v>#DIV/0!</v>
      </c>
      <c r="AA38" s="84" t="e">
        <f>RIGHT(INDEX($D$9:$D$47,MATCH('EEPROM-Contents'!AC32,$B$9:$B$47,0)),2)</f>
        <v>#DIV/0!</v>
      </c>
      <c r="AB38" s="84" t="e">
        <f ca="1">RIGHT(INDEX($D$9:$D$47,MATCH('EEPROM-Contents'!AD32,$B$9:$B$47,0)),2)</f>
        <v>#DIV/0!</v>
      </c>
      <c r="AC38" s="79" t="str">
        <f>RIGHT(INDEX('EEPROM-Contents'!$K$4:'EEPROM-Contents'!$K$141,MATCH('EEPROM-Contents'!AE32,'EEPROM-Contents'!$I$4:'EEPROM-Contents'!$I$141,0)),2)</f>
        <v>10</v>
      </c>
      <c r="AD38" s="84" t="str">
        <f>RIGHT(INDEX($D$9:$D$47,MATCH('EEPROM-Contents'!AF32,$B$9:$B$47,0)),2)</f>
        <v>89</v>
      </c>
      <c r="AF38" s="81" t="e">
        <f t="shared" ca="1" si="4"/>
        <v>#DIV/0!</v>
      </c>
    </row>
    <row r="39" spans="2:32" x14ac:dyDescent="0.3">
      <c r="B39" s="85">
        <f>'EEPROM-Contents'!B112</f>
        <v>108</v>
      </c>
      <c r="C39" s="75">
        <f t="shared" si="5"/>
        <v>0</v>
      </c>
      <c r="D39" s="229" t="str">
        <f>K24</f>
        <v>00</v>
      </c>
      <c r="E39" s="66" t="str">
        <f>'EEPROM-Contents'!L112</f>
        <v>Accelerometer Cal</v>
      </c>
      <c r="F39" s="67"/>
      <c r="G39" s="68"/>
      <c r="N39" s="78" t="s">
        <v>371</v>
      </c>
      <c r="O39" s="84" t="str">
        <f ca="1">RIGHT(INDEX($D$9:$D$47,MATCH('EEPROM-Contents'!Q33,$B$9:$B$47,0)),2)</f>
        <v>07</v>
      </c>
      <c r="P39" s="84" t="str">
        <f ca="1">RIGHT(INDEX($D$9:$D$47,MATCH('EEPROM-Contents'!R33,$B$9:$B$47,0)),2)</f>
        <v>01</v>
      </c>
      <c r="Q39" s="84" t="str">
        <f ca="1">RIGHT(INDEX($D$9:$D$47,MATCH('EEPROM-Contents'!S33,$B$9:$B$47,0)),2)</f>
        <v>03</v>
      </c>
      <c r="R39" s="84" t="str">
        <f>RIGHT(INDEX($D$9:$D$47,MATCH('EEPROM-Contents'!T33,$B$9:$B$47,0)),2)</f>
        <v>03</v>
      </c>
      <c r="S39" s="84" t="str">
        <f>RIGHT(INDEX($D$9:$D$47,MATCH('EEPROM-Contents'!U33,$B$9:$B$47,0)),2)</f>
        <v>F5</v>
      </c>
      <c r="T39" s="84" t="str">
        <f>RIGHT(INDEX($D$9:$D$47,MATCH('EEPROM-Contents'!V33,$B$9:$B$47,0)),2)</f>
        <v>00</v>
      </c>
      <c r="U39" s="84" t="str">
        <f>RIGHT(INDEX($D$9:$D$47,MATCH('EEPROM-Contents'!W33,$B$9:$B$47,0)),2)</f>
        <v>00</v>
      </c>
      <c r="V39" s="84" t="str">
        <f>RIGHT(INDEX($D$9:$D$47,MATCH('EEPROM-Contents'!X33,$B$9:$B$47,0)),2)</f>
        <v>27</v>
      </c>
      <c r="W39" s="84" t="str">
        <f>RIGHT(INDEX($D$9:$D$47,MATCH('EEPROM-Contents'!Y33,$B$9:$B$47,0)),2)</f>
        <v>0F</v>
      </c>
      <c r="X39" s="84" t="str">
        <f>RIGHT(INDEX($D$9:$D$47,MATCH('EEPROM-Contents'!Z33,$B$9:$B$47,0)),2)</f>
        <v>80</v>
      </c>
      <c r="Y39" s="84" t="str">
        <f>RIGHT(INDEX($D$9:$D$47,MATCH('EEPROM-Contents'!AA33,$B$9:$B$47,0)),2)</f>
        <v>00</v>
      </c>
      <c r="Z39" s="84" t="str">
        <f>RIGHT(INDEX($D$9:$D$47,MATCH('EEPROM-Contents'!AB33,$B$9:$B$47,0)),2)</f>
        <v>80</v>
      </c>
      <c r="AA39" s="84" t="str">
        <f>RIGHT(INDEX($D$9:$D$47,MATCH('EEPROM-Contents'!AC33,$B$9:$B$47,0)),2)</f>
        <v>00</v>
      </c>
      <c r="AB39" s="84" t="str">
        <f>RIGHT(INDEX($D$9:$D$47,MATCH('EEPROM-Contents'!AD33,$B$9:$B$47,0)),2)</f>
        <v>80</v>
      </c>
      <c r="AC39" s="84" t="str">
        <f>RIGHT(INDEX($D$9:$D$47,MATCH('EEPROM-Contents'!AE33,$B$9:$B$47,0)),2)</f>
        <v>00</v>
      </c>
      <c r="AD39" s="84" t="str">
        <f>RIGHT(INDEX($D$9:$D$47,MATCH('EEPROM-Contents'!AF33,$B$9:$B$47,0)),2)</f>
        <v>00</v>
      </c>
      <c r="AF39" s="81" t="str">
        <f t="shared" ca="1" si="4"/>
        <v>1200CD7C0A000000000007010303F50000270F8000800080000000</v>
      </c>
    </row>
    <row r="40" spans="2:32" x14ac:dyDescent="0.3">
      <c r="B40" s="85">
        <f>'EEPROM-Contents'!B113</f>
        <v>109</v>
      </c>
      <c r="C40" s="75">
        <f t="shared" si="5"/>
        <v>128</v>
      </c>
      <c r="D40" s="229" t="str">
        <f>L23</f>
        <v>80</v>
      </c>
      <c r="E40" s="66" t="str">
        <f>'EEPROM-Contents'!L113</f>
        <v>Cal Factor for CondyleA 16mm</v>
      </c>
      <c r="F40" s="67"/>
      <c r="G40" s="68"/>
      <c r="N40" s="78" t="s">
        <v>372</v>
      </c>
      <c r="O40" s="84" t="str">
        <f>RIGHT(INDEX($D$9:$D$47,MATCH('EEPROM-Contents'!Q34,$B$9:$B$47,0)),2)</f>
        <v>00</v>
      </c>
      <c r="P40" s="84" t="str">
        <f>RIGHT(INDEX($D$9:$D$47,MATCH('EEPROM-Contents'!R34,$B$9:$B$47,0)),2)</f>
        <v>FF</v>
      </c>
      <c r="Q40" s="84" t="e">
        <f>RIGHT(INDEX($D$9:$D$47,MATCH('EEPROM-Contents'!S34,$B$9:$B$47,0)),2)</f>
        <v>#DIV/0!</v>
      </c>
      <c r="R40" s="84" t="e">
        <f>RIGHT(INDEX($D$9:$D$47,MATCH('EEPROM-Contents'!T34,$B$9:$B$47,0)),2)</f>
        <v>#DIV/0!</v>
      </c>
      <c r="S40" s="84" t="e">
        <f ca="1">RIGHT(INDEX($D$9:$D$47,MATCH('EEPROM-Contents'!U34,$B$9:$B$47,0)),2)</f>
        <v>#DIV/0!</v>
      </c>
      <c r="T40" s="79" t="str">
        <f>RIGHT(INDEX('EEPROM-Contents'!$K$4:'EEPROM-Contents'!$K$141,MATCH('EEPROM-Contents'!V34,'EEPROM-Contents'!$I$4:'EEPROM-Contents'!$I$141,0)),2)</f>
        <v>11</v>
      </c>
      <c r="U40" s="84" t="str">
        <f>RIGHT(INDEX($D$9:$D$47,MATCH('EEPROM-Contents'!W34,$B$9:$B$47,0)),2)</f>
        <v>89</v>
      </c>
      <c r="V40" s="84" t="str">
        <f ca="1">RIGHT(INDEX($D$9:$D$47,MATCH('EEPROM-Contents'!X34,$B$9:$B$47,0)),2)</f>
        <v>07</v>
      </c>
      <c r="W40" s="84" t="str">
        <f ca="1">RIGHT(INDEX($D$9:$D$47,MATCH('EEPROM-Contents'!Y34,$B$9:$B$47,0)),2)</f>
        <v>01</v>
      </c>
      <c r="X40" s="84" t="str">
        <f ca="1">RIGHT(INDEX($D$9:$D$47,MATCH('EEPROM-Contents'!Z34,$B$9:$B$47,0)),2)</f>
        <v>03</v>
      </c>
      <c r="Y40" s="84" t="str">
        <f>RIGHT(INDEX($D$9:$D$47,MATCH('EEPROM-Contents'!AA34,$B$9:$B$47,0)),2)</f>
        <v>03</v>
      </c>
      <c r="Z40" s="84" t="str">
        <f>RIGHT(INDEX($D$9:$D$47,MATCH('EEPROM-Contents'!AB34,$B$9:$B$47,0)),2)</f>
        <v>F5</v>
      </c>
      <c r="AA40" s="84" t="str">
        <f>RIGHT(INDEX($D$9:$D$47,MATCH('EEPROM-Contents'!AC34,$B$9:$B$47,0)),2)</f>
        <v>00</v>
      </c>
      <c r="AB40" s="84" t="str">
        <f>RIGHT(INDEX($D$9:$D$47,MATCH('EEPROM-Contents'!AD34,$B$9:$B$47,0)),2)</f>
        <v>00</v>
      </c>
      <c r="AC40" s="84" t="str">
        <f>RIGHT(INDEX($D$9:$D$47,MATCH('EEPROM-Contents'!AE34,$B$9:$B$47,0)),2)</f>
        <v>27</v>
      </c>
      <c r="AD40" s="84" t="str">
        <f>RIGHT(INDEX($D$9:$D$47,MATCH('EEPROM-Contents'!AF34,$B$9:$B$47,0)),2)</f>
        <v>0F</v>
      </c>
      <c r="AF40" s="81" t="e">
        <f t="shared" ca="1" si="4"/>
        <v>#DIV/0!</v>
      </c>
    </row>
    <row r="41" spans="2:32" ht="15" thickBot="1" x14ac:dyDescent="0.35">
      <c r="B41" s="85">
        <f>'EEPROM-Contents'!B114</f>
        <v>110</v>
      </c>
      <c r="C41" s="75">
        <f t="shared" si="5"/>
        <v>0</v>
      </c>
      <c r="D41" s="229" t="str">
        <f>L24</f>
        <v>00</v>
      </c>
      <c r="E41" s="66" t="str">
        <f>'EEPROM-Contents'!L114</f>
        <v>Cal Factor for CondyleB 16mm</v>
      </c>
      <c r="F41" s="67"/>
      <c r="G41" s="68"/>
      <c r="N41" s="78" t="s">
        <v>373</v>
      </c>
      <c r="O41" s="84" t="str">
        <f>RIGHT(INDEX($D$9:$D$47,MATCH('EEPROM-Contents'!Q35,$B$9:$B$47,0)),2)</f>
        <v>80</v>
      </c>
      <c r="P41" s="84" t="str">
        <f>RIGHT(INDEX($D$9:$D$47,MATCH('EEPROM-Contents'!R35,$B$9:$B$47,0)),2)</f>
        <v>00</v>
      </c>
      <c r="Q41" s="84" t="str">
        <f>RIGHT(INDEX($D$9:$D$47,MATCH('EEPROM-Contents'!S35,$B$9:$B$47,0)),2)</f>
        <v>80</v>
      </c>
      <c r="R41" s="84" t="str">
        <f>RIGHT(INDEX($D$9:$D$47,MATCH('EEPROM-Contents'!T35,$B$9:$B$47,0)),2)</f>
        <v>00</v>
      </c>
      <c r="S41" s="84" t="str">
        <f>RIGHT(INDEX($D$9:$D$47,MATCH('EEPROM-Contents'!U35,$B$9:$B$47,0)),2)</f>
        <v>80</v>
      </c>
      <c r="T41" s="84" t="str">
        <f>RIGHT(INDEX($D$9:$D$47,MATCH('EEPROM-Contents'!V35,$B$9:$B$47,0)),2)</f>
        <v>00</v>
      </c>
      <c r="U41" s="84" t="str">
        <f>RIGHT(INDEX($D$9:$D$47,MATCH('EEPROM-Contents'!W35,$B$9:$B$47,0)),2)</f>
        <v>00</v>
      </c>
      <c r="V41" s="84" t="str">
        <f>RIGHT(INDEX($D$9:$D$47,MATCH('EEPROM-Contents'!X35,$B$9:$B$47,0)),2)</f>
        <v>00</v>
      </c>
      <c r="W41" s="84" t="str">
        <f>RIGHT(INDEX($D$9:$D$47,MATCH('EEPROM-Contents'!Y35,$B$9:$B$47,0)),2)</f>
        <v>FF</v>
      </c>
      <c r="X41" s="84" t="e">
        <f>RIGHT(INDEX($D$9:$D$47,MATCH('EEPROM-Contents'!Z35,$B$9:$B$47,0)),2)</f>
        <v>#DIV/0!</v>
      </c>
      <c r="Y41" s="84" t="e">
        <f>RIGHT(INDEX($D$9:$D$47,MATCH('EEPROM-Contents'!AA35,$B$9:$B$47,0)),2)</f>
        <v>#DIV/0!</v>
      </c>
      <c r="Z41" s="84" t="e">
        <f ca="1">RIGHT(INDEX($D$9:$D$47,MATCH('EEPROM-Contents'!AB35,$B$9:$B$47,0)),2)</f>
        <v>#DIV/0!</v>
      </c>
      <c r="AA41" s="79" t="str">
        <f>RIGHT(INDEX('EEPROM-Contents'!$K$4:'EEPROM-Contents'!$K$141,MATCH('EEPROM-Contents'!AC35,'EEPROM-Contents'!$I$4:'EEPROM-Contents'!$I$141,0)),2)</f>
        <v>12</v>
      </c>
      <c r="AB41" s="79" t="str">
        <f>RIGHT(INDEX('EEPROM-Contents'!$K$4:'EEPROM-Contents'!$K$141,MATCH('EEPROM-Contents'!AD35,'EEPROM-Contents'!$I$4:'EEPROM-Contents'!$I$141,0)),2)</f>
        <v>80</v>
      </c>
      <c r="AC41" s="79" t="str">
        <f>RIGHT(INDEX('EEPROM-Contents'!$K$4:'EEPROM-Contents'!$K$141,MATCH('EEPROM-Contents'!AE35,'EEPROM-Contents'!$I$4:'EEPROM-Contents'!$I$141,0)),2)</f>
        <v>00</v>
      </c>
      <c r="AD41" s="79" t="str">
        <f>RIGHT(INDEX('EEPROM-Contents'!$K$4:'EEPROM-Contents'!$K$141,MATCH('EEPROM-Contents'!AF35,'EEPROM-Contents'!$I$4:'EEPROM-Contents'!$I$141,0)),2)</f>
        <v>00</v>
      </c>
      <c r="AF41" s="82" t="e">
        <f t="shared" ca="1" si="4"/>
        <v>#DIV/0!</v>
      </c>
    </row>
    <row r="42" spans="2:32" x14ac:dyDescent="0.3">
      <c r="B42" s="85">
        <f>'EEPROM-Contents'!B115</f>
        <v>111</v>
      </c>
      <c r="C42" s="75">
        <f t="shared" si="5"/>
        <v>0</v>
      </c>
      <c r="D42" s="229" t="str">
        <f>K28</f>
        <v>00</v>
      </c>
      <c r="E42" s="66" t="str">
        <f>'EEPROM-Contents'!L115</f>
        <v>Voltage H Cal 3.1V</v>
      </c>
      <c r="F42" s="67"/>
      <c r="G42" s="68"/>
    </row>
    <row r="43" spans="2:32" x14ac:dyDescent="0.3">
      <c r="B43" s="85">
        <f>'EEPROM-Contents'!B116</f>
        <v>112</v>
      </c>
      <c r="C43" s="75">
        <f t="shared" si="5"/>
        <v>0</v>
      </c>
      <c r="D43" s="229" t="str">
        <f>K29</f>
        <v>00</v>
      </c>
      <c r="E43" s="66" t="str">
        <f>'EEPROM-Contents'!L116</f>
        <v>Voltage L Cal 3.1V</v>
      </c>
      <c r="F43" s="67"/>
      <c r="G43" s="68"/>
    </row>
    <row r="44" spans="2:32" ht="15" customHeight="1" thickBot="1" x14ac:dyDescent="0.35">
      <c r="B44" s="85">
        <f>'EEPROM-Contents'!B117</f>
        <v>113</v>
      </c>
      <c r="C44" s="75">
        <f>HEX2DEC(D44)</f>
        <v>255</v>
      </c>
      <c r="D44" s="319" t="str">
        <f>F4</f>
        <v>FF</v>
      </c>
      <c r="E44" s="66" t="str">
        <f>'EEPROM-Contents'!L117</f>
        <v>Operating Side</v>
      </c>
      <c r="F44" s="67"/>
      <c r="G44" s="68"/>
      <c r="S44" s="356" t="s">
        <v>722</v>
      </c>
    </row>
    <row r="45" spans="2:32" ht="15" customHeight="1" thickBot="1" x14ac:dyDescent="0.35">
      <c r="B45" s="85">
        <f>'EEPROM-Contents'!B118</f>
        <v>114</v>
      </c>
      <c r="C45" s="75" t="e">
        <f>K10</f>
        <v>#DIV/0!</v>
      </c>
      <c r="D45" s="319" t="e">
        <f>DEC2HEX(C45,2)</f>
        <v>#DIV/0!</v>
      </c>
      <c r="E45" s="66" t="str">
        <f>'EEPROM-Contents'!L118</f>
        <v>Cal Factor for CondyleA 10mm</v>
      </c>
      <c r="F45" s="67"/>
      <c r="G45" s="68"/>
      <c r="S45" s="307">
        <f>B26</f>
        <v>95</v>
      </c>
      <c r="T45" s="343" t="e">
        <f>#REF!</f>
        <v>#REF!</v>
      </c>
      <c r="U45" s="343" t="e">
        <f>HEX2DEC(T45)</f>
        <v>#REF!</v>
      </c>
      <c r="V45" s="469" t="s">
        <v>791</v>
      </c>
      <c r="W45" s="469"/>
      <c r="X45" s="469"/>
      <c r="Y45" s="470"/>
      <c r="AA45" s="317" t="s">
        <v>742</v>
      </c>
      <c r="AB45" s="317" t="s">
        <v>743</v>
      </c>
      <c r="AC45" s="484" t="s">
        <v>744</v>
      </c>
      <c r="AD45" s="485"/>
      <c r="AE45" s="486"/>
    </row>
    <row r="46" spans="2:32" ht="15" customHeight="1" thickBot="1" x14ac:dyDescent="0.35">
      <c r="B46" s="85">
        <f>'EEPROM-Contents'!B119</f>
        <v>115</v>
      </c>
      <c r="C46" s="75" t="e">
        <f>L10</f>
        <v>#DIV/0!</v>
      </c>
      <c r="D46" s="319" t="e">
        <f>DEC2HEX(C46,2)</f>
        <v>#DIV/0!</v>
      </c>
      <c r="E46" s="66" t="str">
        <f>'EEPROM-Contents'!L119</f>
        <v>Cal Factor for CondyleB 10mm</v>
      </c>
      <c r="F46" s="67"/>
      <c r="G46" s="68"/>
      <c r="S46" s="307">
        <f t="shared" ref="S46:U66" si="8">B27</f>
        <v>96</v>
      </c>
      <c r="T46" s="343" t="e">
        <f>#REF!</f>
        <v>#REF!</v>
      </c>
      <c r="U46" s="343" t="e">
        <f>HEX2DEC(T46)</f>
        <v>#REF!</v>
      </c>
      <c r="V46" s="469" t="s">
        <v>792</v>
      </c>
      <c r="W46" s="469"/>
      <c r="X46" s="469"/>
      <c r="Y46" s="470"/>
      <c r="AA46" s="314" t="e">
        <f>F70</f>
        <v>#DIV/0!</v>
      </c>
      <c r="AB46" s="317" t="e">
        <f>DEC2HEX(AA46)</f>
        <v>#DIV/0!</v>
      </c>
      <c r="AC46" s="317" t="s">
        <v>745</v>
      </c>
      <c r="AD46" s="315"/>
      <c r="AE46" s="315"/>
    </row>
    <row r="47" spans="2:32" ht="15" customHeight="1" thickBot="1" x14ac:dyDescent="0.35">
      <c r="B47" s="85">
        <f>'EEPROM-Contents'!B120</f>
        <v>116</v>
      </c>
      <c r="C47" s="75" t="e">
        <f ca="1">255-HEX2DEC(RIGHT(DEC2HEX(SUM(C22:C46)),2))</f>
        <v>#DIV/0!</v>
      </c>
      <c r="D47" s="319" t="e">
        <f ca="1">DEC2HEX($C$47,2)</f>
        <v>#DIV/0!</v>
      </c>
      <c r="E47" s="66" t="str">
        <f>'EEPROM-Contents'!L120</f>
        <v>Checksum</v>
      </c>
      <c r="F47" s="67"/>
      <c r="G47" s="68"/>
      <c r="S47" s="307">
        <f t="shared" si="8"/>
        <v>97</v>
      </c>
      <c r="T47" s="491" t="e">
        <f>AA52</f>
        <v>#DIV/0!</v>
      </c>
      <c r="U47" s="321" t="e">
        <f>LEFT(AB52,2)</f>
        <v>#VALUE!</v>
      </c>
      <c r="V47" s="469" t="s">
        <v>724</v>
      </c>
      <c r="W47" s="469"/>
      <c r="X47" s="469"/>
      <c r="Y47" s="470"/>
      <c r="AA47" s="314" t="e">
        <f>G70</f>
        <v>#DIV/0!</v>
      </c>
      <c r="AB47" s="317" t="e">
        <f>DEC2HEX(AA47)</f>
        <v>#DIV/0!</v>
      </c>
      <c r="AC47" s="317" t="s">
        <v>723</v>
      </c>
      <c r="AD47" s="315"/>
      <c r="AE47" s="315"/>
    </row>
    <row r="48" spans="2:32" ht="15" thickBot="1" x14ac:dyDescent="0.35">
      <c r="S48" s="307">
        <f t="shared" si="8"/>
        <v>98</v>
      </c>
      <c r="T48" s="472"/>
      <c r="U48" s="319" t="e">
        <f>MID(AB52,4,2)</f>
        <v>#VALUE!</v>
      </c>
      <c r="V48" s="463" t="s">
        <v>725</v>
      </c>
      <c r="W48" s="463"/>
      <c r="X48" s="463"/>
      <c r="Y48" s="464"/>
    </row>
    <row r="49" spans="2:32" ht="15" customHeight="1" thickBot="1" x14ac:dyDescent="0.35">
      <c r="B49" s="439" t="s">
        <v>221</v>
      </c>
      <c r="C49" s="440"/>
      <c r="D49" s="440"/>
      <c r="E49" s="440"/>
      <c r="F49" s="440"/>
      <c r="G49" s="440"/>
      <c r="H49" s="440"/>
      <c r="I49" s="440"/>
      <c r="J49" s="440"/>
      <c r="K49" s="441"/>
      <c r="M49" s="356" t="s">
        <v>712</v>
      </c>
      <c r="S49" s="307">
        <f t="shared" si="8"/>
        <v>99</v>
      </c>
      <c r="T49" s="472"/>
      <c r="U49" s="319" t="e">
        <f>MID(AB52,7,2)</f>
        <v>#VALUE!</v>
      </c>
      <c r="V49" s="463" t="s">
        <v>726</v>
      </c>
      <c r="W49" s="463"/>
      <c r="X49" s="463"/>
      <c r="Y49" s="464"/>
    </row>
    <row r="50" spans="2:32" ht="15" thickBot="1" x14ac:dyDescent="0.35">
      <c r="B50" s="346" t="s">
        <v>222</v>
      </c>
      <c r="C50" s="346" t="s">
        <v>779</v>
      </c>
      <c r="D50" s="346" t="s">
        <v>223</v>
      </c>
      <c r="E50" s="346" t="s">
        <v>224</v>
      </c>
      <c r="F50" s="346" t="s">
        <v>225</v>
      </c>
      <c r="G50" s="346" t="s">
        <v>226</v>
      </c>
      <c r="H50" s="346" t="s">
        <v>227</v>
      </c>
      <c r="I50" s="346" t="s">
        <v>777</v>
      </c>
      <c r="J50" s="346" t="s">
        <v>778</v>
      </c>
      <c r="K50" s="346" t="s">
        <v>230</v>
      </c>
      <c r="M50" s="293" t="s">
        <v>708</v>
      </c>
      <c r="N50" s="293" t="s">
        <v>709</v>
      </c>
      <c r="O50" s="293" t="s">
        <v>711</v>
      </c>
      <c r="P50" s="293" t="s">
        <v>710</v>
      </c>
      <c r="S50" s="307">
        <f t="shared" si="8"/>
        <v>100</v>
      </c>
      <c r="T50" s="492"/>
      <c r="U50" s="322" t="e">
        <f>RIGHT(AB52,2)</f>
        <v>#VALUE!</v>
      </c>
      <c r="V50" s="465" t="s">
        <v>727</v>
      </c>
      <c r="W50" s="465"/>
      <c r="X50" s="465"/>
      <c r="Y50" s="466"/>
    </row>
    <row r="51" spans="2:32" ht="15" customHeight="1" thickTop="1" thickBot="1" x14ac:dyDescent="0.35">
      <c r="B51" s="324">
        <v>70</v>
      </c>
      <c r="C51" s="325"/>
      <c r="D51" s="325"/>
      <c r="E51" s="325"/>
      <c r="F51" s="325"/>
      <c r="G51" s="325"/>
      <c r="H51" s="325"/>
      <c r="I51" s="325"/>
      <c r="J51" s="325"/>
      <c r="K51" s="325"/>
      <c r="M51" s="292"/>
      <c r="N51" s="292"/>
      <c r="O51" s="292"/>
      <c r="P51" s="294">
        <f t="shared" ref="P51:P61" si="9">O51-N51</f>
        <v>0</v>
      </c>
      <c r="S51" s="307">
        <f t="shared" si="8"/>
        <v>101</v>
      </c>
      <c r="T51" s="460" t="e">
        <f>AA54</f>
        <v>#DIV/0!</v>
      </c>
      <c r="U51" s="312" t="e">
        <f>LEFT(AB54,2)</f>
        <v>#VALUE!</v>
      </c>
      <c r="V51" s="467" t="s">
        <v>728</v>
      </c>
      <c r="W51" s="467"/>
      <c r="X51" s="467"/>
      <c r="Y51" s="468"/>
      <c r="AA51" s="317" t="s">
        <v>742</v>
      </c>
      <c r="AB51" s="488" t="s">
        <v>743</v>
      </c>
      <c r="AC51" s="488"/>
      <c r="AD51" s="488"/>
      <c r="AE51" s="487" t="s">
        <v>744</v>
      </c>
      <c r="AF51" s="487"/>
    </row>
    <row r="52" spans="2:32" ht="15" customHeight="1" thickBot="1" x14ac:dyDescent="0.35">
      <c r="B52" s="324">
        <v>140</v>
      </c>
      <c r="C52" s="325"/>
      <c r="D52" s="325"/>
      <c r="E52" s="325"/>
      <c r="F52" s="325"/>
      <c r="G52" s="325"/>
      <c r="H52" s="325"/>
      <c r="I52" s="325"/>
      <c r="J52" s="325"/>
      <c r="K52" s="325"/>
      <c r="M52" s="292"/>
      <c r="N52" s="292"/>
      <c r="O52" s="292"/>
      <c r="P52" s="294">
        <f t="shared" si="9"/>
        <v>0</v>
      </c>
      <c r="S52" s="307">
        <f t="shared" si="8"/>
        <v>102</v>
      </c>
      <c r="T52" s="461"/>
      <c r="U52" s="319" t="e">
        <f>MID(AB54,4,2)</f>
        <v>#VALUE!</v>
      </c>
      <c r="V52" s="463" t="s">
        <v>729</v>
      </c>
      <c r="W52" s="463"/>
      <c r="X52" s="463"/>
      <c r="Y52" s="464"/>
      <c r="AA52" s="318" t="e">
        <f>I70</f>
        <v>#DIV/0!</v>
      </c>
      <c r="AB52" s="484" t="e">
        <f>sng2hex(AA52)</f>
        <v>#VALUE!</v>
      </c>
      <c r="AC52" s="485"/>
      <c r="AD52" s="486"/>
      <c r="AE52" s="355" t="s">
        <v>746</v>
      </c>
      <c r="AF52" s="355"/>
    </row>
    <row r="53" spans="2:32" ht="15" customHeight="1" thickBot="1" x14ac:dyDescent="0.35">
      <c r="B53" s="324">
        <v>0</v>
      </c>
      <c r="C53" s="325"/>
      <c r="D53" s="325"/>
      <c r="E53" s="325"/>
      <c r="F53" s="325"/>
      <c r="G53" s="325"/>
      <c r="H53" s="325"/>
      <c r="I53" s="325"/>
      <c r="J53" s="325"/>
      <c r="K53" s="325"/>
      <c r="M53" s="292"/>
      <c r="N53" s="292"/>
      <c r="O53" s="292"/>
      <c r="P53" s="294">
        <f t="shared" si="9"/>
        <v>0</v>
      </c>
      <c r="S53" s="307">
        <f t="shared" si="8"/>
        <v>103</v>
      </c>
      <c r="T53" s="461"/>
      <c r="U53" s="319" t="e">
        <f>MID(AB54,7,2)</f>
        <v>#VALUE!</v>
      </c>
      <c r="V53" s="463" t="s">
        <v>730</v>
      </c>
      <c r="W53" s="463"/>
      <c r="X53" s="463"/>
      <c r="Y53" s="464"/>
      <c r="AA53" s="318" t="e">
        <f>J70</f>
        <v>#DIV/0!</v>
      </c>
      <c r="AB53" s="484" t="e">
        <f>sng2hex(AA53)</f>
        <v>#VALUE!</v>
      </c>
      <c r="AC53" s="485"/>
      <c r="AD53" s="486"/>
      <c r="AE53" s="355" t="s">
        <v>747</v>
      </c>
      <c r="AF53" s="355"/>
    </row>
    <row r="54" spans="2:32" ht="15" customHeight="1" thickBot="1" x14ac:dyDescent="0.35">
      <c r="B54" s="324">
        <v>70</v>
      </c>
      <c r="C54" s="325"/>
      <c r="D54" s="325"/>
      <c r="E54" s="325"/>
      <c r="F54" s="325"/>
      <c r="G54" s="325"/>
      <c r="H54" s="325"/>
      <c r="I54" s="325"/>
      <c r="J54" s="325"/>
      <c r="K54" s="325"/>
      <c r="M54" s="292"/>
      <c r="N54" s="292"/>
      <c r="O54" s="292"/>
      <c r="P54" s="294">
        <f t="shared" si="9"/>
        <v>0</v>
      </c>
      <c r="S54" s="307">
        <f t="shared" si="8"/>
        <v>104</v>
      </c>
      <c r="T54" s="462"/>
      <c r="U54" s="322" t="e">
        <f>RIGHT(AB54,2)</f>
        <v>#VALUE!</v>
      </c>
      <c r="V54" s="465" t="s">
        <v>731</v>
      </c>
      <c r="W54" s="465"/>
      <c r="X54" s="465"/>
      <c r="Y54" s="466"/>
      <c r="AA54" s="318" t="e">
        <f>I71</f>
        <v>#DIV/0!</v>
      </c>
      <c r="AB54" s="484" t="e">
        <f>sng2hex(AA54)</f>
        <v>#VALUE!</v>
      </c>
      <c r="AC54" s="485"/>
      <c r="AD54" s="486"/>
      <c r="AE54" s="355" t="s">
        <v>748</v>
      </c>
      <c r="AF54" s="355"/>
    </row>
    <row r="55" spans="2:32" ht="15" customHeight="1" thickTop="1" thickBot="1" x14ac:dyDescent="0.35">
      <c r="B55" s="324">
        <v>140</v>
      </c>
      <c r="C55" s="325"/>
      <c r="D55" s="325"/>
      <c r="E55" s="325"/>
      <c r="F55" s="325"/>
      <c r="G55" s="325"/>
      <c r="H55" s="325"/>
      <c r="I55" s="325"/>
      <c r="J55" s="325"/>
      <c r="K55" s="325"/>
      <c r="M55" s="292"/>
      <c r="N55" s="292"/>
      <c r="O55" s="292"/>
      <c r="P55" s="294">
        <f t="shared" si="9"/>
        <v>0</v>
      </c>
      <c r="S55" s="307">
        <f t="shared" si="8"/>
        <v>105</v>
      </c>
      <c r="T55" s="460" t="e">
        <f>AA53</f>
        <v>#DIV/0!</v>
      </c>
      <c r="U55" s="312" t="e">
        <f>LEFT(AB53,2)</f>
        <v>#VALUE!</v>
      </c>
      <c r="V55" s="467" t="s">
        <v>732</v>
      </c>
      <c r="W55" s="467"/>
      <c r="X55" s="467"/>
      <c r="Y55" s="468"/>
      <c r="AA55" s="318" t="e">
        <f>J71</f>
        <v>#DIV/0!</v>
      </c>
      <c r="AB55" s="484" t="e">
        <f>sng2hex(AA55)</f>
        <v>#VALUE!</v>
      </c>
      <c r="AC55" s="485"/>
      <c r="AD55" s="486"/>
      <c r="AE55" s="355" t="s">
        <v>749</v>
      </c>
      <c r="AF55" s="355"/>
    </row>
    <row r="56" spans="2:32" ht="15" customHeight="1" thickBot="1" x14ac:dyDescent="0.35">
      <c r="B56" s="324">
        <v>0</v>
      </c>
      <c r="C56" s="325">
        <v>1000</v>
      </c>
      <c r="D56" s="325">
        <v>1000</v>
      </c>
      <c r="E56" s="325">
        <v>1000</v>
      </c>
      <c r="F56" s="325">
        <v>1000</v>
      </c>
      <c r="G56" s="325">
        <v>1000</v>
      </c>
      <c r="H56" s="325">
        <v>1000</v>
      </c>
      <c r="I56" s="325">
        <v>1000</v>
      </c>
      <c r="J56" s="325">
        <v>1000</v>
      </c>
      <c r="K56" s="325">
        <v>20000</v>
      </c>
      <c r="M56" s="292"/>
      <c r="N56" s="292"/>
      <c r="O56" s="292"/>
      <c r="P56" s="294">
        <f t="shared" si="9"/>
        <v>0</v>
      </c>
      <c r="S56" s="307">
        <f t="shared" si="8"/>
        <v>106</v>
      </c>
      <c r="T56" s="461"/>
      <c r="U56" s="319" t="e">
        <f>MID(AB53,4,2)</f>
        <v>#VALUE!</v>
      </c>
      <c r="V56" s="463" t="s">
        <v>733</v>
      </c>
      <c r="W56" s="463"/>
      <c r="X56" s="463"/>
      <c r="Y56" s="464"/>
    </row>
    <row r="57" spans="2:32" ht="15" customHeight="1" thickBot="1" x14ac:dyDescent="0.35">
      <c r="B57" s="324">
        <v>10</v>
      </c>
      <c r="C57" s="325"/>
      <c r="D57" s="325"/>
      <c r="E57" s="325"/>
      <c r="F57" s="325"/>
      <c r="G57" s="325"/>
      <c r="H57" s="325"/>
      <c r="I57" s="325"/>
      <c r="J57" s="325"/>
      <c r="K57" s="325"/>
      <c r="M57" s="292"/>
      <c r="N57" s="292"/>
      <c r="O57" s="292"/>
      <c r="P57" s="294">
        <f t="shared" si="9"/>
        <v>0</v>
      </c>
      <c r="S57" s="307">
        <f t="shared" si="8"/>
        <v>107</v>
      </c>
      <c r="T57" s="461"/>
      <c r="U57" s="319" t="e">
        <f>MID(AB53,7,2)</f>
        <v>#VALUE!</v>
      </c>
      <c r="V57" s="463" t="s">
        <v>734</v>
      </c>
      <c r="W57" s="463"/>
      <c r="X57" s="463"/>
      <c r="Y57" s="464"/>
    </row>
    <row r="58" spans="2:32" ht="15" customHeight="1" thickBot="1" x14ac:dyDescent="0.35">
      <c r="B58" s="357">
        <v>20</v>
      </c>
      <c r="C58" s="325"/>
      <c r="D58" s="325"/>
      <c r="E58" s="325"/>
      <c r="F58" s="325"/>
      <c r="G58" s="325"/>
      <c r="H58" s="325"/>
      <c r="I58" s="325"/>
      <c r="J58" s="325"/>
      <c r="K58" s="325"/>
      <c r="M58" s="292"/>
      <c r="N58" s="292"/>
      <c r="O58" s="292"/>
      <c r="P58" s="294">
        <f t="shared" si="9"/>
        <v>0</v>
      </c>
      <c r="S58" s="307">
        <f t="shared" si="8"/>
        <v>108</v>
      </c>
      <c r="T58" s="462"/>
      <c r="U58" s="322" t="e">
        <f>RIGHT(AB53,2)</f>
        <v>#VALUE!</v>
      </c>
      <c r="V58" s="465" t="s">
        <v>735</v>
      </c>
      <c r="W58" s="465"/>
      <c r="X58" s="465"/>
      <c r="Y58" s="466"/>
    </row>
    <row r="59" spans="2:32" ht="15" customHeight="1" thickTop="1" thickBot="1" x14ac:dyDescent="0.35">
      <c r="B59" s="324">
        <v>40</v>
      </c>
      <c r="C59" s="325"/>
      <c r="D59" s="325"/>
      <c r="E59" s="325"/>
      <c r="F59" s="325"/>
      <c r="G59" s="325"/>
      <c r="H59" s="325"/>
      <c r="I59" s="325"/>
      <c r="J59" s="325"/>
      <c r="K59" s="325"/>
      <c r="M59" s="292"/>
      <c r="N59" s="292"/>
      <c r="O59" s="292"/>
      <c r="P59" s="294">
        <f t="shared" si="9"/>
        <v>0</v>
      </c>
      <c r="S59" s="307">
        <f t="shared" si="8"/>
        <v>109</v>
      </c>
      <c r="T59" s="471" t="e">
        <f>AA55</f>
        <v>#DIV/0!</v>
      </c>
      <c r="U59" s="310" t="e">
        <f>LEFT(AB55,2)</f>
        <v>#VALUE!</v>
      </c>
      <c r="V59" s="489" t="s">
        <v>736</v>
      </c>
      <c r="W59" s="489"/>
      <c r="X59" s="489"/>
      <c r="Y59" s="490"/>
    </row>
    <row r="60" spans="2:32" ht="15" customHeight="1" thickBot="1" x14ac:dyDescent="0.35">
      <c r="B60" s="324">
        <v>60</v>
      </c>
      <c r="C60" s="325"/>
      <c r="D60" s="325"/>
      <c r="E60" s="325"/>
      <c r="F60" s="325"/>
      <c r="G60" s="325"/>
      <c r="H60" s="325"/>
      <c r="I60" s="325"/>
      <c r="J60" s="325"/>
      <c r="K60" s="325"/>
      <c r="M60" s="292"/>
      <c r="N60" s="292"/>
      <c r="O60" s="292"/>
      <c r="P60" s="294">
        <f t="shared" si="9"/>
        <v>0</v>
      </c>
      <c r="S60" s="307">
        <f t="shared" si="8"/>
        <v>110</v>
      </c>
      <c r="T60" s="472"/>
      <c r="U60" s="319" t="e">
        <f>MID(AB55,4,2)</f>
        <v>#VALUE!</v>
      </c>
      <c r="V60" s="463" t="s">
        <v>737</v>
      </c>
      <c r="W60" s="463"/>
      <c r="X60" s="463"/>
      <c r="Y60" s="464"/>
    </row>
    <row r="61" spans="2:32" ht="15" customHeight="1" thickBot="1" x14ac:dyDescent="0.35">
      <c r="B61" s="324">
        <v>80</v>
      </c>
      <c r="C61" s="325"/>
      <c r="D61" s="325"/>
      <c r="E61" s="325"/>
      <c r="F61" s="325"/>
      <c r="G61" s="325"/>
      <c r="H61" s="325"/>
      <c r="I61" s="325"/>
      <c r="J61" s="325"/>
      <c r="K61" s="325"/>
      <c r="M61" s="292"/>
      <c r="N61" s="292"/>
      <c r="O61" s="292"/>
      <c r="P61" s="294">
        <f t="shared" si="9"/>
        <v>0</v>
      </c>
      <c r="S61" s="307">
        <f t="shared" si="8"/>
        <v>111</v>
      </c>
      <c r="T61" s="472"/>
      <c r="U61" s="319" t="e">
        <f>MID(AB55,7,2)</f>
        <v>#VALUE!</v>
      </c>
      <c r="V61" s="463" t="s">
        <v>738</v>
      </c>
      <c r="W61" s="463"/>
      <c r="X61" s="463"/>
      <c r="Y61" s="464"/>
    </row>
    <row r="62" spans="2:32" ht="15" customHeight="1" thickBot="1" x14ac:dyDescent="0.35">
      <c r="B62" s="222" t="s">
        <v>645</v>
      </c>
      <c r="C62" s="223" t="e">
        <f t="shared" ref="C62:H62" si="10">(N112-N107)/(($M$112-$M$107)/6)</f>
        <v>#DIV/0!</v>
      </c>
      <c r="D62" s="223" t="e">
        <f t="shared" si="10"/>
        <v>#DIV/0!</v>
      </c>
      <c r="E62" s="223" t="e">
        <f t="shared" si="10"/>
        <v>#DIV/0!</v>
      </c>
      <c r="F62" s="223" t="e">
        <f t="shared" si="10"/>
        <v>#DIV/0!</v>
      </c>
      <c r="G62" s="223" t="e">
        <f t="shared" si="10"/>
        <v>#DIV/0!</v>
      </c>
      <c r="H62" s="223" t="e">
        <f t="shared" si="10"/>
        <v>#DIV/0!</v>
      </c>
      <c r="S62" s="307">
        <f t="shared" si="8"/>
        <v>112</v>
      </c>
      <c r="T62" s="473"/>
      <c r="U62" s="309" t="e">
        <f>RIGHT(AB55,2)</f>
        <v>#VALUE!</v>
      </c>
      <c r="V62" s="479" t="s">
        <v>739</v>
      </c>
      <c r="W62" s="479"/>
      <c r="X62" s="479"/>
      <c r="Y62" s="480"/>
    </row>
    <row r="63" spans="2:32" ht="15" customHeight="1" thickBot="1" x14ac:dyDescent="0.35">
      <c r="B63" s="439" t="s">
        <v>404</v>
      </c>
      <c r="C63" s="440"/>
      <c r="D63" s="440"/>
      <c r="E63" s="440"/>
      <c r="F63" s="440"/>
      <c r="G63" s="351" t="s">
        <v>409</v>
      </c>
      <c r="H63" s="351">
        <f>'FTS-Initialization'!$AE$27</f>
        <v>15000</v>
      </c>
      <c r="I63" s="351" t="s">
        <v>410</v>
      </c>
      <c r="J63" s="351">
        <f>'FTS-Initialization'!$AE$26</f>
        <v>52000</v>
      </c>
      <c r="L63" s="167" t="s">
        <v>413</v>
      </c>
      <c r="S63" s="307">
        <f t="shared" si="8"/>
        <v>113</v>
      </c>
      <c r="T63" s="321">
        <f>C44</f>
        <v>255</v>
      </c>
      <c r="U63" s="321" t="str">
        <f>D44</f>
        <v>FF</v>
      </c>
      <c r="V63" s="469" t="s">
        <v>584</v>
      </c>
      <c r="W63" s="469"/>
      <c r="X63" s="469"/>
      <c r="Y63" s="470"/>
    </row>
    <row r="64" spans="2:32" ht="15" customHeight="1" thickBot="1" x14ac:dyDescent="0.35">
      <c r="B64" s="346" t="s">
        <v>439</v>
      </c>
      <c r="C64" s="346">
        <f>MAX(K51:K61)</f>
        <v>20000</v>
      </c>
      <c r="D64" s="346" t="s">
        <v>440</v>
      </c>
      <c r="E64" s="346">
        <f>MIN(K51:K61)</f>
        <v>20000</v>
      </c>
      <c r="I64" s="346" t="s">
        <v>406</v>
      </c>
      <c r="J64" s="346" t="b">
        <f>IF(AND(E64&gt;=H63,C64&lt;=J63),TRUE,FALSE)</f>
        <v>1</v>
      </c>
      <c r="L64" s="167">
        <f>IF(J64,0,IF(C64&gt;J63,'FTS-Initialization'!$N$90,IF(E64&lt;H63,'FTS-Initialization'!$N$89,0)))</f>
        <v>0</v>
      </c>
      <c r="S64" s="307">
        <f t="shared" si="8"/>
        <v>114</v>
      </c>
      <c r="T64" s="321" t="e">
        <f t="shared" si="8"/>
        <v>#DIV/0!</v>
      </c>
      <c r="U64" s="321" t="e">
        <f t="shared" si="8"/>
        <v>#DIV/0!</v>
      </c>
      <c r="V64" s="477" t="s">
        <v>740</v>
      </c>
      <c r="W64" s="477"/>
      <c r="X64" s="477"/>
      <c r="Y64" s="478"/>
    </row>
    <row r="65" spans="2:27" ht="15" thickBot="1" x14ac:dyDescent="0.35">
      <c r="S65" s="307">
        <f t="shared" si="8"/>
        <v>115</v>
      </c>
      <c r="T65" s="321" t="e">
        <f t="shared" si="8"/>
        <v>#DIV/0!</v>
      </c>
      <c r="U65" s="321" t="e">
        <f t="shared" si="8"/>
        <v>#DIV/0!</v>
      </c>
      <c r="V65" s="463" t="s">
        <v>741</v>
      </c>
      <c r="W65" s="463"/>
      <c r="X65" s="463"/>
      <c r="Y65" s="464"/>
    </row>
    <row r="66" spans="2:27" ht="15" thickBot="1" x14ac:dyDescent="0.35">
      <c r="B66" s="439" t="s">
        <v>521</v>
      </c>
      <c r="C66" s="440"/>
      <c r="D66" s="440"/>
      <c r="E66" s="440"/>
      <c r="F66" s="440"/>
      <c r="G66" s="351" t="s">
        <v>409</v>
      </c>
      <c r="H66" s="351">
        <f>'FTS-Initialization'!$AE$29</f>
        <v>5000</v>
      </c>
      <c r="I66" s="351" t="s">
        <v>410</v>
      </c>
      <c r="J66" s="351">
        <f>'FTS-Initialization'!$AE$28</f>
        <v>64500</v>
      </c>
      <c r="L66" s="167" t="s">
        <v>413</v>
      </c>
      <c r="S66" s="307">
        <f t="shared" si="8"/>
        <v>116</v>
      </c>
      <c r="T66" s="321" t="e">
        <f t="shared" ca="1" si="8"/>
        <v>#DIV/0!</v>
      </c>
      <c r="U66" s="321" t="e">
        <f t="shared" ca="1" si="8"/>
        <v>#DIV/0!</v>
      </c>
      <c r="V66" s="479" t="s">
        <v>191</v>
      </c>
      <c r="W66" s="479"/>
      <c r="X66" s="479"/>
      <c r="Y66" s="480"/>
    </row>
    <row r="67" spans="2:27" x14ac:dyDescent="0.3">
      <c r="B67" s="346" t="s">
        <v>487</v>
      </c>
      <c r="C67" s="346">
        <f>MAX(C51:J61)</f>
        <v>1000</v>
      </c>
      <c r="D67" s="346" t="s">
        <v>488</v>
      </c>
      <c r="E67" s="346">
        <f>MIN(C51:J61)</f>
        <v>1000</v>
      </c>
      <c r="I67" s="346" t="s">
        <v>406</v>
      </c>
      <c r="J67" s="346" t="b">
        <f>IF(AND(E67&gt;=H66,C67&lt;=J66),TRUE,FALSE)</f>
        <v>0</v>
      </c>
      <c r="L67" s="167">
        <f>IF(J67,0,IF(C67&gt;J66,'FTS-Initialization'!$N$99,IF(E67&lt;H66,'FTS-Initialization'!$N$100,0)))</f>
        <v>63</v>
      </c>
    </row>
    <row r="69" spans="2:27" x14ac:dyDescent="0.3">
      <c r="F69" s="302" t="s">
        <v>437</v>
      </c>
      <c r="G69" s="302" t="s">
        <v>438</v>
      </c>
      <c r="I69" s="302" t="s">
        <v>437</v>
      </c>
      <c r="J69" s="302" t="s">
        <v>438</v>
      </c>
    </row>
    <row r="70" spans="2:27" x14ac:dyDescent="0.3">
      <c r="B70" s="481" t="s">
        <v>713</v>
      </c>
      <c r="C70" s="482"/>
      <c r="D70" s="482"/>
      <c r="E70" s="483"/>
      <c r="F70" s="300" t="e">
        <f>ROUND((((Q96/R96)/(($J$17)/(I17)))*100),0)</f>
        <v>#DIV/0!</v>
      </c>
      <c r="G70" s="300" t="e">
        <f>ROUND((((S96/T96)/(($J$17)/(I17)))*100),0)</f>
        <v>#DIV/0!</v>
      </c>
      <c r="H70" s="299" t="s">
        <v>714</v>
      </c>
      <c r="I70" s="299" t="e">
        <f>SLOPE(I75:I79,$B88:$B92)</f>
        <v>#DIV/0!</v>
      </c>
      <c r="J70" s="299" t="e">
        <f>SLOPE(J75:J79,$B88:$B92)</f>
        <v>#DIV/0!</v>
      </c>
      <c r="M70" s="105" t="e">
        <f>SLOPE(M74:M79,$L$74:$L$79)</f>
        <v>#DIV/0!</v>
      </c>
      <c r="N70" s="105" t="e">
        <f>SLOPE(N74:N79,$L$74:$L$79)</f>
        <v>#DIV/0!</v>
      </c>
    </row>
    <row r="71" spans="2:27" x14ac:dyDescent="0.3">
      <c r="B71" s="481"/>
      <c r="C71" s="482"/>
      <c r="D71" s="482"/>
      <c r="E71" s="483"/>
      <c r="F71" s="301" t="e">
        <f>(I16/J16)/(F70/100)</f>
        <v>#DIV/0!</v>
      </c>
      <c r="G71" s="301" t="e">
        <f>(I16/J16)/(G70/100)</f>
        <v>#DIV/0!</v>
      </c>
      <c r="H71" s="298" t="s">
        <v>715</v>
      </c>
      <c r="I71" s="299" t="e">
        <f>INTERCEPT(I75:I79,B88:B92)</f>
        <v>#DIV/0!</v>
      </c>
      <c r="J71" s="299" t="e">
        <f>INTERCEPT(J75:J79,B88:B92)</f>
        <v>#DIV/0!</v>
      </c>
      <c r="M71" s="101" t="str">
        <f t="shared" ref="M71:N79" si="11">K9</f>
        <v>ScaleA</v>
      </c>
      <c r="N71" s="101" t="str">
        <f t="shared" si="11"/>
        <v>ScaleB</v>
      </c>
    </row>
    <row r="72" spans="2:27" x14ac:dyDescent="0.3">
      <c r="B72" s="442" t="s">
        <v>517</v>
      </c>
      <c r="C72" s="443"/>
      <c r="D72" s="443"/>
      <c r="E72" s="443"/>
      <c r="F72" s="443"/>
      <c r="G72" s="443"/>
      <c r="H72" s="443"/>
      <c r="I72" s="443"/>
      <c r="J72" s="444"/>
      <c r="M72" s="101" t="e">
        <f>K10</f>
        <v>#DIV/0!</v>
      </c>
      <c r="N72" s="101" t="e">
        <f>L10</f>
        <v>#DIV/0!</v>
      </c>
      <c r="P72" s="161" t="s">
        <v>566</v>
      </c>
      <c r="Q72" s="162"/>
      <c r="R72" s="162"/>
      <c r="S72" s="213"/>
    </row>
    <row r="73" spans="2:27" x14ac:dyDescent="0.3">
      <c r="B73" s="346" t="s">
        <v>222</v>
      </c>
      <c r="C73" s="346" t="s">
        <v>779</v>
      </c>
      <c r="D73" s="346" t="s">
        <v>223</v>
      </c>
      <c r="E73" s="346" t="s">
        <v>224</v>
      </c>
      <c r="F73" s="346" t="s">
        <v>225</v>
      </c>
      <c r="G73" s="346" t="s">
        <v>226</v>
      </c>
      <c r="H73" s="346" t="s">
        <v>227</v>
      </c>
      <c r="I73" s="346" t="s">
        <v>437</v>
      </c>
      <c r="J73" s="346" t="s">
        <v>438</v>
      </c>
      <c r="L73" s="101" t="str">
        <f t="shared" ref="L73:L79" si="12">I11</f>
        <v>F/Cond [lb]</v>
      </c>
      <c r="M73" s="101" t="str">
        <f t="shared" si="11"/>
        <v>CalA</v>
      </c>
      <c r="N73" s="101" t="str">
        <f t="shared" si="11"/>
        <v>CalB</v>
      </c>
      <c r="P73" s="160" t="s">
        <v>563</v>
      </c>
      <c r="Q73" s="160" t="s">
        <v>564</v>
      </c>
      <c r="R73" s="160" t="s">
        <v>565</v>
      </c>
      <c r="S73" s="160" t="s">
        <v>406</v>
      </c>
      <c r="U73" s="353"/>
      <c r="V73" s="354"/>
      <c r="W73" s="211"/>
      <c r="X73" s="354" t="s">
        <v>617</v>
      </c>
      <c r="Y73" s="354"/>
      <c r="Z73" s="354"/>
      <c r="AA73" s="213"/>
    </row>
    <row r="74" spans="2:27" ht="19.2" customHeight="1" x14ac:dyDescent="0.3">
      <c r="B74" s="346">
        <f t="shared" ref="B74:B79" si="13">M107</f>
        <v>0</v>
      </c>
      <c r="C74" s="296" t="e">
        <f>C62*$B$74/6</f>
        <v>#DIV/0!</v>
      </c>
      <c r="D74" s="296" t="e">
        <f t="shared" ref="D74:H74" si="14">D62*$B$74/6</f>
        <v>#DIV/0!</v>
      </c>
      <c r="E74" s="296" t="e">
        <f t="shared" si="14"/>
        <v>#DIV/0!</v>
      </c>
      <c r="F74" s="296" t="e">
        <f t="shared" si="14"/>
        <v>#DIV/0!</v>
      </c>
      <c r="G74" s="296" t="e">
        <f t="shared" si="14"/>
        <v>#DIV/0!</v>
      </c>
      <c r="H74" s="296" t="e">
        <f t="shared" si="14"/>
        <v>#DIV/0!</v>
      </c>
      <c r="I74" s="296" t="e">
        <f>SUM(C74:E74)</f>
        <v>#DIV/0!</v>
      </c>
      <c r="J74" s="296" t="e">
        <f>SUM(F74:H74)</f>
        <v>#DIV/0!</v>
      </c>
      <c r="L74" s="101">
        <f t="shared" si="12"/>
        <v>0</v>
      </c>
      <c r="M74" s="103" t="e">
        <f t="shared" si="11"/>
        <v>#DIV/0!</v>
      </c>
      <c r="N74" s="103" t="e">
        <f t="shared" si="11"/>
        <v>#DIV/0!</v>
      </c>
      <c r="P74" s="164" t="e">
        <f>I74/($E$137/2)</f>
        <v>#DIV/0!</v>
      </c>
      <c r="Q74" s="164" t="e">
        <f>J74/($G$137/2)</f>
        <v>#DIV/0!</v>
      </c>
      <c r="R74" s="160" t="e">
        <f>P74+Q74</f>
        <v>#DIV/0!</v>
      </c>
      <c r="S74" s="160" t="e">
        <f>IF(ABS(R74-B74)&gt;$J$94,'FTS-Initialization'!$N$99,0)</f>
        <v>#DIV/0!</v>
      </c>
      <c r="U74" s="212" t="s">
        <v>223</v>
      </c>
      <c r="V74" s="212" t="s">
        <v>224</v>
      </c>
      <c r="W74" s="212" t="s">
        <v>225</v>
      </c>
      <c r="X74" s="212" t="s">
        <v>226</v>
      </c>
      <c r="Y74" s="212" t="s">
        <v>227</v>
      </c>
      <c r="Z74" s="212" t="s">
        <v>228</v>
      </c>
      <c r="AA74" s="212" t="s">
        <v>644</v>
      </c>
    </row>
    <row r="75" spans="2:27" x14ac:dyDescent="0.3">
      <c r="B75" s="346">
        <f t="shared" si="13"/>
        <v>10</v>
      </c>
      <c r="C75" s="107" t="e">
        <f>IF(((N108-N$107)+$C$74)&gt;0,((N108-N$107)+$C$74),0)</f>
        <v>#DIV/0!</v>
      </c>
      <c r="D75" s="107" t="e">
        <f>IF(((O108-O$107)+$D$74)&gt;0,((O108-O$107)+$D$74),0)</f>
        <v>#DIV/0!</v>
      </c>
      <c r="E75" s="107" t="e">
        <f>IF(((P108-P$107)+$C$74)&gt;0,((P108-P$107)+$C$74),0)</f>
        <v>#DIV/0!</v>
      </c>
      <c r="F75" s="107" t="e">
        <f>IF(((Q108-Q$107)+$D$74)&gt;0,((Q108-Q$107)+$D$74),0)</f>
        <v>#DIV/0!</v>
      </c>
      <c r="G75" s="107" t="e">
        <f>IF(((R108-R$107)+$C$74)&gt;0,((R108-R$107)+$C$74),0)</f>
        <v>#DIV/0!</v>
      </c>
      <c r="H75" s="107" t="e">
        <f>IF(((S108-S$107)+$D$74)&gt;0,((S108-S$107)+$D$74),0)</f>
        <v>#DIV/0!</v>
      </c>
      <c r="I75" s="107" t="e">
        <f t="shared" ref="I75:I79" si="15">SUM(C75:E75)</f>
        <v>#DIV/0!</v>
      </c>
      <c r="J75" s="107" t="e">
        <f t="shared" ref="J75:J79" si="16">SUM(F75:H75)</f>
        <v>#DIV/0!</v>
      </c>
      <c r="L75" s="101">
        <f t="shared" si="12"/>
        <v>5</v>
      </c>
      <c r="M75" s="103" t="e">
        <f t="shared" si="11"/>
        <v>#DIV/0!</v>
      </c>
      <c r="N75" s="103" t="e">
        <f t="shared" si="11"/>
        <v>#DIV/0!</v>
      </c>
      <c r="P75" s="164" t="e">
        <f>($L$80/((4000*$E$137)/100))*I75</f>
        <v>#DIV/0!</v>
      </c>
      <c r="Q75" s="164" t="e">
        <f>($L$80/((4000*$G$137)/100))*J75</f>
        <v>#DIV/0!</v>
      </c>
      <c r="R75" s="160" t="e">
        <f t="shared" ref="R75:R79" si="17">P75+Q75</f>
        <v>#DIV/0!</v>
      </c>
      <c r="S75" s="160" t="e">
        <f>IF(ABS(R75-B75)&gt;($J$94*2),'FTS-Initialization'!$N$99,0)</f>
        <v>#DIV/0!</v>
      </c>
      <c r="U75" s="212" t="e">
        <f>IF((C75)&lt;(C74+$AA75),'FTS-Initialization'!$N$99,0)</f>
        <v>#DIV/0!</v>
      </c>
      <c r="V75" s="212" t="e">
        <f>IF((D75)&lt;(D74+$AA75),'FTS-Initialization'!$N$99,0)</f>
        <v>#DIV/0!</v>
      </c>
      <c r="W75" s="212" t="e">
        <f>IF((E75)&lt;(E74+$AA75),'FTS-Initialization'!$N$99,0)</f>
        <v>#DIV/0!</v>
      </c>
      <c r="X75" s="212" t="e">
        <f>IF((F75)&lt;(F74+$AA75),'FTS-Initialization'!$N$99,0)</f>
        <v>#DIV/0!</v>
      </c>
      <c r="Y75" s="212" t="e">
        <f>IF((G75)&lt;(G74+$AA75),'FTS-Initialization'!$N$99,0)</f>
        <v>#DIV/0!</v>
      </c>
      <c r="Z75" s="212" t="e">
        <f>IF((H75)&lt;(H74+$AA75),'FTS-Initialization'!$N$99,0)</f>
        <v>#DIV/0!</v>
      </c>
      <c r="AA75" s="212">
        <v>4</v>
      </c>
    </row>
    <row r="76" spans="2:27" x14ac:dyDescent="0.3">
      <c r="B76" s="346">
        <f t="shared" si="13"/>
        <v>20</v>
      </c>
      <c r="C76" s="107" t="e">
        <f>IF(((N109-N$107)+$C$74)&gt;0,((N109-N$107)+$C$74),0)</f>
        <v>#DIV/0!</v>
      </c>
      <c r="D76" s="107" t="e">
        <f>IF(((O109-O$107)+$D$74)&gt;0,((O109-O$107)+$D$74),0)</f>
        <v>#DIV/0!</v>
      </c>
      <c r="E76" s="107" t="e">
        <f>IF(((P109-P$107)+$C$74)&gt;0,((P109-P$107)+$C$74),0)</f>
        <v>#DIV/0!</v>
      </c>
      <c r="F76" s="107" t="e">
        <f>IF(((Q109-Q$107)+$D$74)&gt;0,((Q109-Q$107)+$D$74),0)</f>
        <v>#DIV/0!</v>
      </c>
      <c r="G76" s="107" t="e">
        <f>IF(((R109-R$107)+$C$74)&gt;0,((R109-R$107)+$C$74),0)</f>
        <v>#DIV/0!</v>
      </c>
      <c r="H76" s="107" t="e">
        <f>IF(((S109-S$107)+$D$74)&gt;0,((S109-S$107)+$D$74),0)</f>
        <v>#DIV/0!</v>
      </c>
      <c r="I76" s="107" t="e">
        <f t="shared" si="15"/>
        <v>#DIV/0!</v>
      </c>
      <c r="J76" s="107" t="e">
        <f t="shared" si="16"/>
        <v>#DIV/0!</v>
      </c>
      <c r="L76" s="101">
        <f t="shared" si="12"/>
        <v>10</v>
      </c>
      <c r="M76" s="103" t="e">
        <f t="shared" si="11"/>
        <v>#DIV/0!</v>
      </c>
      <c r="N76" s="103" t="e">
        <f t="shared" si="11"/>
        <v>#DIV/0!</v>
      </c>
      <c r="P76" s="164" t="e">
        <f>($L$80/((4000*$E$137)/100))*I76</f>
        <v>#DIV/0!</v>
      </c>
      <c r="Q76" s="164" t="e">
        <f>($L$80/((4000*$G$137)/100))*J76</f>
        <v>#DIV/0!</v>
      </c>
      <c r="R76" s="160" t="e">
        <f t="shared" si="17"/>
        <v>#DIV/0!</v>
      </c>
      <c r="S76" s="160" t="e">
        <f>IF(ABS(R76-B76)&gt;($J$94*2),'FTS-Initialization'!$N$99,0)</f>
        <v>#DIV/0!</v>
      </c>
      <c r="U76" s="212" t="e">
        <f>IF((C76)&lt;(C75+$AA76),'FTS-Initialization'!$N$99,0)</f>
        <v>#DIV/0!</v>
      </c>
      <c r="V76" s="212" t="e">
        <f>IF((D76)&lt;(D75+$AA76),'FTS-Initialization'!$N$99,0)</f>
        <v>#DIV/0!</v>
      </c>
      <c r="W76" s="212" t="e">
        <f>IF((E76)&lt;(E75+$AA76),'FTS-Initialization'!$N$99,0)</f>
        <v>#DIV/0!</v>
      </c>
      <c r="X76" s="212" t="e">
        <f>IF((F76)&lt;(F75+$AA76),'FTS-Initialization'!$N$99,0)</f>
        <v>#DIV/0!</v>
      </c>
      <c r="Y76" s="212" t="e">
        <f>IF((G76)&lt;(G75+$AA76),'FTS-Initialization'!$N$99,0)</f>
        <v>#DIV/0!</v>
      </c>
      <c r="Z76" s="212" t="e">
        <f>IF((H76)&lt;(H75+$AA76),'FTS-Initialization'!$N$99,0)</f>
        <v>#DIV/0!</v>
      </c>
      <c r="AA76" s="212">
        <v>9</v>
      </c>
    </row>
    <row r="77" spans="2:27" x14ac:dyDescent="0.3">
      <c r="B77" s="346">
        <f t="shared" si="13"/>
        <v>40</v>
      </c>
      <c r="C77" s="107" t="e">
        <f>IF(((N110-N$107)+$C$74)&gt;0,((N110-N$107)+$C$74),0)</f>
        <v>#DIV/0!</v>
      </c>
      <c r="D77" s="107" t="e">
        <f>IF(((O110-O$107)+$D$74)&gt;0,((O110-O$107)+$D$74),0)</f>
        <v>#DIV/0!</v>
      </c>
      <c r="E77" s="107" t="e">
        <f>IF(((P110-P$107)+$C$74)&gt;0,((P110-P$107)+$C$74),0)</f>
        <v>#DIV/0!</v>
      </c>
      <c r="F77" s="107" t="e">
        <f>IF(((Q110-Q$107)+$D$74)&gt;0,((Q110-Q$107)+$D$74),0)</f>
        <v>#DIV/0!</v>
      </c>
      <c r="G77" s="107" t="e">
        <f>IF(((R110-R$107)+$C$74)&gt;0,((R110-R$107)+$C$74),0)</f>
        <v>#DIV/0!</v>
      </c>
      <c r="H77" s="107" t="e">
        <f>IF(((S110-S$107)+$D$74)&gt;0,((S110-S$107)+$D$74),0)</f>
        <v>#DIV/0!</v>
      </c>
      <c r="I77" s="107" t="e">
        <f t="shared" si="15"/>
        <v>#DIV/0!</v>
      </c>
      <c r="J77" s="107" t="e">
        <f t="shared" si="16"/>
        <v>#DIV/0!</v>
      </c>
      <c r="L77" s="101">
        <f t="shared" si="12"/>
        <v>20</v>
      </c>
      <c r="M77" s="103" t="e">
        <f t="shared" si="11"/>
        <v>#DIV/0!</v>
      </c>
      <c r="N77" s="103" t="e">
        <f t="shared" si="11"/>
        <v>#DIV/0!</v>
      </c>
      <c r="P77" s="164" t="e">
        <f>($L$80/((4000*$E$137)/100))*I77</f>
        <v>#DIV/0!</v>
      </c>
      <c r="Q77" s="164" t="e">
        <f>($L$80/((4000*$G$137)/100))*J77</f>
        <v>#DIV/0!</v>
      </c>
      <c r="R77" s="160" t="e">
        <f t="shared" si="17"/>
        <v>#DIV/0!</v>
      </c>
      <c r="S77" s="160" t="e">
        <f>IF(ABS(R77-B77)&gt;($J$94*2),'FTS-Initialization'!$N$99,0)</f>
        <v>#DIV/0!</v>
      </c>
      <c r="U77" s="212" t="e">
        <f>IF((C77)&lt;(C76+$AA77),'FTS-Initialization'!$N$99,0)</f>
        <v>#DIV/0!</v>
      </c>
      <c r="V77" s="212" t="e">
        <f>IF((D77)&lt;(D76+$AA77),'FTS-Initialization'!$N$99,0)</f>
        <v>#DIV/0!</v>
      </c>
      <c r="W77" s="212" t="e">
        <f>IF((E77)&lt;(E76+$AA77),'FTS-Initialization'!$N$99,0)</f>
        <v>#DIV/0!</v>
      </c>
      <c r="X77" s="212" t="e">
        <f>IF((F77)&lt;(F76+$AA77),'FTS-Initialization'!$N$99,0)</f>
        <v>#DIV/0!</v>
      </c>
      <c r="Y77" s="212" t="e">
        <f>IF((G77)&lt;(G76+$AA77),'FTS-Initialization'!$N$99,0)</f>
        <v>#DIV/0!</v>
      </c>
      <c r="Z77" s="212" t="e">
        <f>IF((H77)&lt;(H76+$AA77),'FTS-Initialization'!$N$99,0)</f>
        <v>#DIV/0!</v>
      </c>
      <c r="AA77" s="212">
        <v>19</v>
      </c>
    </row>
    <row r="78" spans="2:27" x14ac:dyDescent="0.3">
      <c r="B78" s="346">
        <f t="shared" si="13"/>
        <v>60</v>
      </c>
      <c r="C78" s="107" t="e">
        <f>IF(((N111-N$107)+$C$74)&gt;0,((N111-N$107)+$C$74),0)</f>
        <v>#DIV/0!</v>
      </c>
      <c r="D78" s="107" t="e">
        <f>IF(((O111-O$107)+$D$74)&gt;0,((O111-O$107)+$D$74),0)</f>
        <v>#DIV/0!</v>
      </c>
      <c r="E78" s="107" t="e">
        <f>IF(((P111-P$107)+$C$74)&gt;0,((P111-P$107)+$C$74),0)</f>
        <v>#DIV/0!</v>
      </c>
      <c r="F78" s="107" t="e">
        <f>IF(((Q111-Q$107)+$D$74)&gt;0,((Q111-Q$107)+$D$74),0)</f>
        <v>#DIV/0!</v>
      </c>
      <c r="G78" s="107" t="e">
        <f>IF(((R111-R$107)+$C$74)&gt;0,((R111-R$107)+$C$74),0)</f>
        <v>#DIV/0!</v>
      </c>
      <c r="H78" s="107" t="e">
        <f>IF(((S111-S$107)+$D$74)&gt;0,((S111-S$107)+$D$74),0)</f>
        <v>#DIV/0!</v>
      </c>
      <c r="I78" s="107" t="e">
        <f t="shared" si="15"/>
        <v>#DIV/0!</v>
      </c>
      <c r="J78" s="107" t="e">
        <f t="shared" si="16"/>
        <v>#DIV/0!</v>
      </c>
      <c r="L78" s="101">
        <f t="shared" si="12"/>
        <v>30</v>
      </c>
      <c r="M78" s="103" t="e">
        <f t="shared" si="11"/>
        <v>#DIV/0!</v>
      </c>
      <c r="N78" s="103" t="e">
        <f t="shared" si="11"/>
        <v>#DIV/0!</v>
      </c>
      <c r="P78" s="164" t="e">
        <f>($L$80/((4000*$E$137)/100))*I78</f>
        <v>#DIV/0!</v>
      </c>
      <c r="Q78" s="164" t="e">
        <f>($L$80/((4000*$G$137)/100))*J78</f>
        <v>#DIV/0!</v>
      </c>
      <c r="R78" s="160" t="e">
        <f t="shared" si="17"/>
        <v>#DIV/0!</v>
      </c>
      <c r="S78" s="160" t="e">
        <f>IF(ABS(R78-B78)&gt;($J$94*2),'FTS-Initialization'!$N$99,0)</f>
        <v>#DIV/0!</v>
      </c>
      <c r="U78" s="212" t="e">
        <f>IF((C78)&lt;(C77+$AA78),'FTS-Initialization'!$N$99,0)</f>
        <v>#DIV/0!</v>
      </c>
      <c r="V78" s="212" t="e">
        <f>IF((D78)&lt;(D77+$AA78),'FTS-Initialization'!$N$99,0)</f>
        <v>#DIV/0!</v>
      </c>
      <c r="W78" s="212" t="e">
        <f>IF((E78)&lt;(E77+$AA78),'FTS-Initialization'!$N$99,0)</f>
        <v>#DIV/0!</v>
      </c>
      <c r="X78" s="212" t="e">
        <f>IF((F78)&lt;(F77+$AA78),'FTS-Initialization'!$N$99,0)</f>
        <v>#DIV/0!</v>
      </c>
      <c r="Y78" s="212" t="e">
        <f>IF((G78)&lt;(G77+$AA78),'FTS-Initialization'!$N$99,0)</f>
        <v>#DIV/0!</v>
      </c>
      <c r="Z78" s="212" t="e">
        <f>IF((H78)&lt;(H77+$AA78),'FTS-Initialization'!$N$99,0)</f>
        <v>#DIV/0!</v>
      </c>
      <c r="AA78" s="212">
        <v>29</v>
      </c>
    </row>
    <row r="79" spans="2:27" x14ac:dyDescent="0.3">
      <c r="B79" s="346">
        <f t="shared" si="13"/>
        <v>80</v>
      </c>
      <c r="C79" s="107" t="e">
        <f>IF(((N112-N$107)+$C$74)&gt;0,((N112-N$107)+$C$74),0)</f>
        <v>#DIV/0!</v>
      </c>
      <c r="D79" s="107" t="e">
        <f>IF(((O112-O$107)+$D$74)&gt;0,((O112-O$107)+$D$74),0)</f>
        <v>#DIV/0!</v>
      </c>
      <c r="E79" s="107" t="e">
        <f>IF(((P112-P$107)+$C$74)&gt;0,((P112-P$107)+$C$74),0)</f>
        <v>#DIV/0!</v>
      </c>
      <c r="F79" s="107" t="e">
        <f>IF(((Q112-Q$107)+$D$74)&gt;0,((Q112-Q$107)+$D$74),0)</f>
        <v>#DIV/0!</v>
      </c>
      <c r="G79" s="107" t="e">
        <f>IF(((R112-R$107)+$C$74)&gt;0,((R112-R$107)+$C$74),0)</f>
        <v>#DIV/0!</v>
      </c>
      <c r="H79" s="107" t="e">
        <f>IF(((S112-S$107)+$D$74)&gt;0,((S112-S$107)+$D$74),0)</f>
        <v>#DIV/0!</v>
      </c>
      <c r="I79" s="107" t="e">
        <f t="shared" si="15"/>
        <v>#DIV/0!</v>
      </c>
      <c r="J79" s="107" t="e">
        <f t="shared" si="16"/>
        <v>#DIV/0!</v>
      </c>
      <c r="L79" s="101">
        <f t="shared" si="12"/>
        <v>40</v>
      </c>
      <c r="M79" s="103" t="e">
        <f t="shared" si="11"/>
        <v>#DIV/0!</v>
      </c>
      <c r="N79" s="103" t="e">
        <f t="shared" si="11"/>
        <v>#DIV/0!</v>
      </c>
      <c r="P79" s="164" t="e">
        <f>($L$80/((4000*$E$137)/100))*I79</f>
        <v>#DIV/0!</v>
      </c>
      <c r="Q79" s="164" t="e">
        <f>($L$80/((4000*$G$137)/100))*J79</f>
        <v>#DIV/0!</v>
      </c>
      <c r="R79" s="160" t="e">
        <f t="shared" si="17"/>
        <v>#DIV/0!</v>
      </c>
      <c r="S79" s="160" t="e">
        <f>IF(ABS(R79-B79)&gt;($J$94*2),'FTS-Initialization'!$N$99,0)</f>
        <v>#DIV/0!</v>
      </c>
      <c r="U79" s="212" t="e">
        <f>IF((C79)&lt;(C78+$AA79),'FTS-Initialization'!$N$99,0)</f>
        <v>#DIV/0!</v>
      </c>
      <c r="V79" s="212" t="e">
        <f>IF((D79)&lt;(D78+$AA79),'FTS-Initialization'!$N$99,0)</f>
        <v>#DIV/0!</v>
      </c>
      <c r="W79" s="212" t="e">
        <f>IF((E79)&lt;(E78+$AA79),'FTS-Initialization'!$N$99,0)</f>
        <v>#DIV/0!</v>
      </c>
      <c r="X79" s="212" t="e">
        <f>IF((F79)&lt;(F78+$AA79),'FTS-Initialization'!$N$99,0)</f>
        <v>#DIV/0!</v>
      </c>
      <c r="Y79" s="212" t="e">
        <f>IF((G79)&lt;(G78+$AA79),'FTS-Initialization'!$N$99,0)</f>
        <v>#DIV/0!</v>
      </c>
      <c r="Z79" s="212" t="e">
        <f>IF((H79)&lt;(H78+$AA79),'FTS-Initialization'!$N$99,0)</f>
        <v>#DIV/0!</v>
      </c>
      <c r="AA79" s="212">
        <v>39</v>
      </c>
    </row>
    <row r="80" spans="2:27" x14ac:dyDescent="0.3">
      <c r="L80" s="101">
        <v>80</v>
      </c>
      <c r="M80" s="103" t="e">
        <f>2*M79</f>
        <v>#DIV/0!</v>
      </c>
      <c r="N80" s="103" t="e">
        <f>2*N79</f>
        <v>#DIV/0!</v>
      </c>
      <c r="P80" s="163"/>
      <c r="Q80" s="163"/>
      <c r="R80" s="163"/>
      <c r="S80" s="167" t="s">
        <v>413</v>
      </c>
      <c r="U80" s="167" t="s">
        <v>413</v>
      </c>
      <c r="V80" s="167" t="s">
        <v>413</v>
      </c>
      <c r="W80" s="167" t="s">
        <v>413</v>
      </c>
      <c r="X80" s="167" t="s">
        <v>413</v>
      </c>
      <c r="Y80" s="167" t="s">
        <v>413</v>
      </c>
      <c r="Z80" s="167" t="s">
        <v>413</v>
      </c>
    </row>
    <row r="81" spans="2:26" x14ac:dyDescent="0.3">
      <c r="B81" s="493" t="s">
        <v>643</v>
      </c>
      <c r="C81" s="494"/>
      <c r="D81" s="494"/>
      <c r="E81" s="494"/>
      <c r="F81" s="494"/>
      <c r="G81" s="141" t="s">
        <v>532</v>
      </c>
      <c r="H81" s="141">
        <f>'FTS-Initialization'!$AE$32</f>
        <v>1000</v>
      </c>
      <c r="I81" s="348" t="s">
        <v>451</v>
      </c>
      <c r="J81" s="348">
        <f>'FTS-Initialization'!$AE$21</f>
        <v>0</v>
      </c>
      <c r="S81" s="167">
        <v>0</v>
      </c>
      <c r="U81" s="167">
        <v>0</v>
      </c>
      <c r="V81" s="167">
        <v>0</v>
      </c>
      <c r="W81" s="167">
        <v>0</v>
      </c>
      <c r="X81" s="167">
        <v>0</v>
      </c>
      <c r="Y81" s="167">
        <v>0</v>
      </c>
      <c r="Z81" s="167">
        <v>0</v>
      </c>
    </row>
    <row r="82" spans="2:26" x14ac:dyDescent="0.3">
      <c r="B82" s="348" t="s">
        <v>450</v>
      </c>
      <c r="C82" s="348" t="s">
        <v>437</v>
      </c>
      <c r="D82" s="348" t="s">
        <v>438</v>
      </c>
      <c r="E82" s="348" t="s">
        <v>199</v>
      </c>
      <c r="F82" s="348" t="s">
        <v>200</v>
      </c>
      <c r="J82" s="348" t="s">
        <v>406</v>
      </c>
      <c r="L82" s="167" t="s">
        <v>413</v>
      </c>
      <c r="S82" s="284" t="e">
        <f>MAX(S74:S79)</f>
        <v>#DIV/0!</v>
      </c>
      <c r="U82" s="167" t="e">
        <f>IF(MAX(U75:U79)=0,0,'FTS-Initialization'!$N103)</f>
        <v>#DIV/0!</v>
      </c>
      <c r="V82" s="167" t="e">
        <f>IF(MAX(V75:V79)=0,0,'FTS-Initialization'!$N104)</f>
        <v>#DIV/0!</v>
      </c>
      <c r="W82" s="167" t="e">
        <f>IF(MAX(W75:W79)=0,0,'FTS-Initialization'!$N105)</f>
        <v>#DIV/0!</v>
      </c>
      <c r="X82" s="167" t="e">
        <f>IF(MAX(X75:X79)=0,0,'FTS-Initialization'!$N106)</f>
        <v>#DIV/0!</v>
      </c>
      <c r="Y82" s="167" t="e">
        <f>IF(MAX(Y75:Y79)=0,0,'FTS-Initialization'!$N107)</f>
        <v>#DIV/0!</v>
      </c>
      <c r="Z82" s="167" t="e">
        <f>IF(MAX(Z75:Z79)=0,0,'FTS-Initialization'!$N108)</f>
        <v>#DIV/0!</v>
      </c>
    </row>
    <row r="83" spans="2:26" x14ac:dyDescent="0.3">
      <c r="B83" s="348">
        <f>($J$17)/(I17)*(B61/2)</f>
        <v>2000</v>
      </c>
      <c r="C83" s="108" t="e">
        <f>I79</f>
        <v>#DIV/0!</v>
      </c>
      <c r="D83" s="108" t="e">
        <f>J79</f>
        <v>#DIV/0!</v>
      </c>
      <c r="E83" s="348" t="e">
        <f>IF((ROUND(C83/$B$83*100,0))=0,1,(ROUND(C83/$B$83*100,0)))</f>
        <v>#DIV/0!</v>
      </c>
      <c r="F83" s="348" t="e">
        <f>IF((ROUND(D83/$B$83*100,0))=0,1,(ROUND(D83/$B$83*100,0)))</f>
        <v>#DIV/0!</v>
      </c>
      <c r="J83" s="348" t="e">
        <f>IF(AND(AND(E83&gt;=J81,F83&gt;=J81),AND(E83&lt;=H81,F83&lt;=H81)),TRUE,FALSE)</f>
        <v>#DIV/0!</v>
      </c>
      <c r="L83" s="167" t="e">
        <f>IF(J83,0,'FTS-Initialization'!$N$94)</f>
        <v>#DIV/0!</v>
      </c>
      <c r="U83" s="209"/>
      <c r="V83" s="210"/>
      <c r="W83" s="354" t="s">
        <v>630</v>
      </c>
      <c r="X83" s="210"/>
      <c r="Y83" s="210"/>
      <c r="Z83" s="213"/>
    </row>
    <row r="84" spans="2:26" x14ac:dyDescent="0.3">
      <c r="E84" s="216" t="e">
        <f>I16/J16/(E83/100)</f>
        <v>#DIV/0!</v>
      </c>
      <c r="F84" s="216" t="e">
        <f>I16/J16/(F83/100)</f>
        <v>#DIV/0!</v>
      </c>
      <c r="U84" s="212" t="s">
        <v>223</v>
      </c>
      <c r="V84" s="212" t="s">
        <v>224</v>
      </c>
      <c r="W84" s="212" t="s">
        <v>225</v>
      </c>
      <c r="X84" s="212" t="s">
        <v>226</v>
      </c>
      <c r="Y84" s="212" t="s">
        <v>227</v>
      </c>
      <c r="Z84" s="212" t="s">
        <v>228</v>
      </c>
    </row>
    <row r="85" spans="2:26" x14ac:dyDescent="0.3">
      <c r="B85" s="442" t="s">
        <v>453</v>
      </c>
      <c r="C85" s="443"/>
      <c r="D85" s="443"/>
      <c r="E85" s="443"/>
      <c r="F85" s="443"/>
      <c r="G85" s="443"/>
      <c r="H85" s="443"/>
      <c r="I85" s="443"/>
      <c r="J85" s="444"/>
      <c r="U85" s="167" t="s">
        <v>413</v>
      </c>
      <c r="V85" s="167" t="s">
        <v>413</v>
      </c>
      <c r="W85" s="167" t="s">
        <v>413</v>
      </c>
      <c r="X85" s="167" t="s">
        <v>413</v>
      </c>
      <c r="Y85" s="167" t="s">
        <v>413</v>
      </c>
      <c r="Z85" s="167" t="s">
        <v>413</v>
      </c>
    </row>
    <row r="86" spans="2:26" x14ac:dyDescent="0.3">
      <c r="B86" s="346" t="s">
        <v>454</v>
      </c>
      <c r="C86" s="346" t="s">
        <v>779</v>
      </c>
      <c r="D86" s="346" t="s">
        <v>223</v>
      </c>
      <c r="E86" s="346" t="s">
        <v>224</v>
      </c>
      <c r="F86" s="346" t="s">
        <v>225</v>
      </c>
      <c r="G86" s="346" t="s">
        <v>226</v>
      </c>
      <c r="H86" s="346" t="s">
        <v>227</v>
      </c>
      <c r="I86" s="346" t="s">
        <v>437</v>
      </c>
      <c r="J86" s="346" t="s">
        <v>438</v>
      </c>
      <c r="L86" s="101" t="str">
        <f>B86</f>
        <v>F/Cond [lb]</v>
      </c>
      <c r="M86" s="101" t="str">
        <f t="shared" ref="M86:N92" si="18">I86</f>
        <v>Left</v>
      </c>
      <c r="N86" s="101" t="str">
        <f t="shared" si="18"/>
        <v>Right</v>
      </c>
      <c r="U86" s="167" t="e">
        <f>IF(MIN(C79)&gt;100,0,'FTS-Initialization'!N109)</f>
        <v>#DIV/0!</v>
      </c>
      <c r="V86" s="167" t="e">
        <f>IF(MIN(D79)&gt;100,0,'FTS-Initialization'!N110)</f>
        <v>#DIV/0!</v>
      </c>
      <c r="W86" s="167" t="e">
        <f>IF(MIN(E79)&gt;100,0,'FTS-Initialization'!N111)</f>
        <v>#DIV/0!</v>
      </c>
      <c r="X86" s="167" t="e">
        <f>IF(MIN(F79)&gt;100,0,'FTS-Initialization'!N112)</f>
        <v>#DIV/0!</v>
      </c>
      <c r="Y86" s="167" t="e">
        <f>IF(MIN(G79)&gt;100,0,'FTS-Initialization'!N113)</f>
        <v>#DIV/0!</v>
      </c>
      <c r="Z86" s="167" t="e">
        <f>IF(MIN(H79)&gt;100,0,'FTS-Initialization'!N114)</f>
        <v>#DIV/0!</v>
      </c>
    </row>
    <row r="87" spans="2:26" x14ac:dyDescent="0.3">
      <c r="B87" s="351">
        <f>B74/2</f>
        <v>0</v>
      </c>
      <c r="C87" s="295" t="e">
        <f t="shared" ref="C87:E92" si="19">C74*$F$71</f>
        <v>#DIV/0!</v>
      </c>
      <c r="D87" s="295" t="e">
        <f t="shared" si="19"/>
        <v>#DIV/0!</v>
      </c>
      <c r="E87" s="295" t="e">
        <f t="shared" si="19"/>
        <v>#DIV/0!</v>
      </c>
      <c r="F87" s="295" t="e">
        <f t="shared" ref="F87:H92" si="20">F74*$G$71</f>
        <v>#DIV/0!</v>
      </c>
      <c r="G87" s="295" t="e">
        <f t="shared" si="20"/>
        <v>#DIV/0!</v>
      </c>
      <c r="H87" s="295" t="e">
        <f t="shared" si="20"/>
        <v>#DIV/0!</v>
      </c>
      <c r="I87" s="295" t="e">
        <f t="shared" ref="I87:I92" si="21">SUM(C87:E87)</f>
        <v>#DIV/0!</v>
      </c>
      <c r="J87" s="295" t="e">
        <f t="shared" ref="J87:J92" si="22">SUM(F87:H87)</f>
        <v>#DIV/0!</v>
      </c>
      <c r="L87" s="101">
        <f>B87</f>
        <v>0</v>
      </c>
      <c r="M87" s="103" t="e">
        <f t="shared" si="18"/>
        <v>#DIV/0!</v>
      </c>
      <c r="N87" s="103" t="e">
        <f t="shared" si="18"/>
        <v>#DIV/0!</v>
      </c>
    </row>
    <row r="88" spans="2:26" x14ac:dyDescent="0.3">
      <c r="B88" s="351">
        <f>B75/2</f>
        <v>5</v>
      </c>
      <c r="C88" s="295" t="e">
        <f t="shared" si="19"/>
        <v>#DIV/0!</v>
      </c>
      <c r="D88" s="295" t="e">
        <f t="shared" si="19"/>
        <v>#DIV/0!</v>
      </c>
      <c r="E88" s="295" t="e">
        <f t="shared" si="19"/>
        <v>#DIV/0!</v>
      </c>
      <c r="F88" s="295" t="e">
        <f t="shared" si="20"/>
        <v>#DIV/0!</v>
      </c>
      <c r="G88" s="295" t="e">
        <f t="shared" si="20"/>
        <v>#DIV/0!</v>
      </c>
      <c r="H88" s="295" t="e">
        <f t="shared" si="20"/>
        <v>#DIV/0!</v>
      </c>
      <c r="I88" s="295" t="e">
        <f t="shared" si="21"/>
        <v>#DIV/0!</v>
      </c>
      <c r="J88" s="295" t="e">
        <f t="shared" si="22"/>
        <v>#DIV/0!</v>
      </c>
      <c r="L88" s="101">
        <f t="shared" ref="L88:L92" si="23">B88</f>
        <v>5</v>
      </c>
      <c r="M88" s="103" t="e">
        <f t="shared" si="18"/>
        <v>#DIV/0!</v>
      </c>
      <c r="N88" s="103" t="e">
        <f t="shared" si="18"/>
        <v>#DIV/0!</v>
      </c>
      <c r="P88" s="474" t="s">
        <v>716</v>
      </c>
      <c r="Q88" s="475"/>
      <c r="R88" s="475"/>
      <c r="S88" s="475"/>
      <c r="T88" s="476"/>
    </row>
    <row r="89" spans="2:26" x14ac:dyDescent="0.3">
      <c r="B89" s="351">
        <f t="shared" ref="B89:B92" si="24">B76/2</f>
        <v>10</v>
      </c>
      <c r="C89" s="295" t="e">
        <f t="shared" si="19"/>
        <v>#DIV/0!</v>
      </c>
      <c r="D89" s="295" t="e">
        <f t="shared" si="19"/>
        <v>#DIV/0!</v>
      </c>
      <c r="E89" s="295" t="e">
        <f t="shared" si="19"/>
        <v>#DIV/0!</v>
      </c>
      <c r="F89" s="295" t="e">
        <f t="shared" si="20"/>
        <v>#DIV/0!</v>
      </c>
      <c r="G89" s="295" t="e">
        <f t="shared" si="20"/>
        <v>#DIV/0!</v>
      </c>
      <c r="H89" s="295" t="e">
        <f t="shared" si="20"/>
        <v>#DIV/0!</v>
      </c>
      <c r="I89" s="295" t="e">
        <f t="shared" si="21"/>
        <v>#DIV/0!</v>
      </c>
      <c r="J89" s="295" t="e">
        <f t="shared" si="22"/>
        <v>#DIV/0!</v>
      </c>
      <c r="L89" s="101">
        <f t="shared" si="23"/>
        <v>10</v>
      </c>
      <c r="M89" s="103" t="e">
        <f t="shared" si="18"/>
        <v>#DIV/0!</v>
      </c>
      <c r="N89" s="103" t="e">
        <f t="shared" si="18"/>
        <v>#DIV/0!</v>
      </c>
      <c r="P89" s="304" t="s">
        <v>717</v>
      </c>
      <c r="Q89" s="474" t="s">
        <v>437</v>
      </c>
      <c r="R89" s="476"/>
      <c r="S89" s="474" t="s">
        <v>438</v>
      </c>
      <c r="T89" s="476"/>
    </row>
    <row r="90" spans="2:26" x14ac:dyDescent="0.3">
      <c r="B90" s="351">
        <f t="shared" si="24"/>
        <v>20</v>
      </c>
      <c r="C90" s="295" t="e">
        <f t="shared" si="19"/>
        <v>#DIV/0!</v>
      </c>
      <c r="D90" s="295" t="e">
        <f t="shared" si="19"/>
        <v>#DIV/0!</v>
      </c>
      <c r="E90" s="295" t="e">
        <f t="shared" si="19"/>
        <v>#DIV/0!</v>
      </c>
      <c r="F90" s="295" t="e">
        <f t="shared" si="20"/>
        <v>#DIV/0!</v>
      </c>
      <c r="G90" s="295" t="e">
        <f t="shared" si="20"/>
        <v>#DIV/0!</v>
      </c>
      <c r="H90" s="295" t="e">
        <f t="shared" si="20"/>
        <v>#DIV/0!</v>
      </c>
      <c r="I90" s="295" t="e">
        <f t="shared" si="21"/>
        <v>#DIV/0!</v>
      </c>
      <c r="J90" s="295" t="e">
        <f t="shared" si="22"/>
        <v>#DIV/0!</v>
      </c>
      <c r="L90" s="101">
        <f t="shared" si="23"/>
        <v>20</v>
      </c>
      <c r="M90" s="103" t="e">
        <f t="shared" si="18"/>
        <v>#DIV/0!</v>
      </c>
      <c r="N90" s="103" t="e">
        <f t="shared" si="18"/>
        <v>#DIV/0!</v>
      </c>
      <c r="P90" s="453" t="s">
        <v>718</v>
      </c>
      <c r="Q90" s="304" t="s">
        <v>719</v>
      </c>
      <c r="R90" s="304" t="s">
        <v>720</v>
      </c>
      <c r="S90" s="304" t="s">
        <v>719</v>
      </c>
      <c r="T90" s="304" t="s">
        <v>720</v>
      </c>
    </row>
    <row r="91" spans="2:26" x14ac:dyDescent="0.3">
      <c r="B91" s="351">
        <f t="shared" si="24"/>
        <v>30</v>
      </c>
      <c r="C91" s="295" t="e">
        <f t="shared" si="19"/>
        <v>#DIV/0!</v>
      </c>
      <c r="D91" s="295" t="e">
        <f t="shared" si="19"/>
        <v>#DIV/0!</v>
      </c>
      <c r="E91" s="295" t="e">
        <f t="shared" si="19"/>
        <v>#DIV/0!</v>
      </c>
      <c r="F91" s="295" t="e">
        <f t="shared" si="20"/>
        <v>#DIV/0!</v>
      </c>
      <c r="G91" s="295" t="e">
        <f t="shared" si="20"/>
        <v>#DIV/0!</v>
      </c>
      <c r="H91" s="295" t="e">
        <f t="shared" si="20"/>
        <v>#DIV/0!</v>
      </c>
      <c r="I91" s="295" t="e">
        <f t="shared" si="21"/>
        <v>#DIV/0!</v>
      </c>
      <c r="J91" s="295" t="e">
        <f t="shared" si="22"/>
        <v>#DIV/0!</v>
      </c>
      <c r="L91" s="101">
        <f t="shared" si="23"/>
        <v>30</v>
      </c>
      <c r="M91" s="103" t="e">
        <f t="shared" si="18"/>
        <v>#DIV/0!</v>
      </c>
      <c r="N91" s="103" t="e">
        <f t="shared" si="18"/>
        <v>#DIV/0!</v>
      </c>
      <c r="P91" s="454"/>
      <c r="Q91" s="304" t="e">
        <f>I124*$B124</f>
        <v>#DIV/0!</v>
      </c>
      <c r="R91" s="304">
        <f>$B124^2</f>
        <v>25</v>
      </c>
      <c r="S91" s="304" t="e">
        <f>J124*$B124</f>
        <v>#DIV/0!</v>
      </c>
      <c r="T91" s="304">
        <f>$B124^2</f>
        <v>25</v>
      </c>
    </row>
    <row r="92" spans="2:26" x14ac:dyDescent="0.3">
      <c r="B92" s="351">
        <f t="shared" si="24"/>
        <v>40</v>
      </c>
      <c r="C92" s="295" t="e">
        <f t="shared" si="19"/>
        <v>#DIV/0!</v>
      </c>
      <c r="D92" s="295" t="e">
        <f t="shared" si="19"/>
        <v>#DIV/0!</v>
      </c>
      <c r="E92" s="295" t="e">
        <f t="shared" si="19"/>
        <v>#DIV/0!</v>
      </c>
      <c r="F92" s="295" t="e">
        <f t="shared" si="20"/>
        <v>#DIV/0!</v>
      </c>
      <c r="G92" s="295" t="e">
        <f t="shared" si="20"/>
        <v>#DIV/0!</v>
      </c>
      <c r="H92" s="295" t="e">
        <f t="shared" si="20"/>
        <v>#DIV/0!</v>
      </c>
      <c r="I92" s="295" t="e">
        <f t="shared" si="21"/>
        <v>#DIV/0!</v>
      </c>
      <c r="J92" s="295" t="e">
        <f t="shared" si="22"/>
        <v>#DIV/0!</v>
      </c>
      <c r="L92" s="101">
        <f t="shared" si="23"/>
        <v>40</v>
      </c>
      <c r="M92" s="103" t="e">
        <f t="shared" si="18"/>
        <v>#DIV/0!</v>
      </c>
      <c r="N92" s="103" t="e">
        <f t="shared" si="18"/>
        <v>#DIV/0!</v>
      </c>
      <c r="P92" s="454"/>
      <c r="Q92" s="304" t="e">
        <f>I125*$B125</f>
        <v>#DIV/0!</v>
      </c>
      <c r="R92" s="304">
        <f>$B125^2</f>
        <v>100</v>
      </c>
      <c r="S92" s="304" t="e">
        <f>J125*$B125</f>
        <v>#DIV/0!</v>
      </c>
      <c r="T92" s="304">
        <f>$B125^2</f>
        <v>100</v>
      </c>
    </row>
    <row r="93" spans="2:26" x14ac:dyDescent="0.3">
      <c r="P93" s="454"/>
      <c r="Q93" s="304" t="e">
        <f>I126*$B126</f>
        <v>#DIV/0!</v>
      </c>
      <c r="R93" s="304">
        <f>$B126^2</f>
        <v>400</v>
      </c>
      <c r="S93" s="304" t="e">
        <f>J126*$B126</f>
        <v>#DIV/0!</v>
      </c>
      <c r="T93" s="304">
        <f>$B126^2</f>
        <v>400</v>
      </c>
    </row>
    <row r="94" spans="2:26" x14ac:dyDescent="0.3">
      <c r="B94" s="449" t="s">
        <v>455</v>
      </c>
      <c r="C94" s="449"/>
      <c r="D94" s="449"/>
      <c r="E94" s="449"/>
      <c r="F94" s="449"/>
      <c r="G94" s="449"/>
      <c r="H94" s="449"/>
      <c r="I94" s="109" t="s">
        <v>206</v>
      </c>
      <c r="J94" s="109">
        <v>3.5</v>
      </c>
      <c r="L94" s="167" t="s">
        <v>413</v>
      </c>
      <c r="P94" s="454"/>
      <c r="Q94" s="304" t="e">
        <f>I127*$B127</f>
        <v>#DIV/0!</v>
      </c>
      <c r="R94" s="304">
        <f>$B127^2</f>
        <v>900</v>
      </c>
      <c r="S94" s="304" t="e">
        <f>J127*$B127</f>
        <v>#DIV/0!</v>
      </c>
      <c r="T94" s="304">
        <f>$B127^2</f>
        <v>900</v>
      </c>
    </row>
    <row r="95" spans="2:26" x14ac:dyDescent="0.3">
      <c r="B95" s="351" t="s">
        <v>454</v>
      </c>
      <c r="C95" s="351" t="s">
        <v>456</v>
      </c>
      <c r="D95" s="351" t="s">
        <v>457</v>
      </c>
      <c r="E95" s="351" t="s">
        <v>543</v>
      </c>
      <c r="F95" s="351" t="s">
        <v>544</v>
      </c>
      <c r="I95" s="351" t="s">
        <v>406</v>
      </c>
      <c r="J95" s="351" t="e">
        <f>IF(MAX(C96:D101)&lt;=J94,TRUE, FALSE)</f>
        <v>#DIV/0!</v>
      </c>
      <c r="L95" s="167" t="e">
        <f>IF(J95,0,IF(MAX($C$96:$D$101)&lt;$J$94*1.2,'FTS-Initialization'!$N$101,'FTS-Initialization'!$N$91))</f>
        <v>#DIV/0!</v>
      </c>
      <c r="P95" s="455"/>
      <c r="Q95" s="304" t="e">
        <f>I128*$B128</f>
        <v>#DIV/0!</v>
      </c>
      <c r="R95" s="304">
        <f>$B128^2</f>
        <v>1600</v>
      </c>
      <c r="S95" s="304" t="e">
        <f>J128*$B128</f>
        <v>#DIV/0!</v>
      </c>
      <c r="T95" s="304">
        <f>$B128^2</f>
        <v>1600</v>
      </c>
    </row>
    <row r="96" spans="2:26" x14ac:dyDescent="0.3">
      <c r="B96" s="351">
        <f>B74/2</f>
        <v>0</v>
      </c>
      <c r="C96" s="295">
        <f>0</f>
        <v>0</v>
      </c>
      <c r="D96" s="295">
        <f>0</f>
        <v>0</v>
      </c>
      <c r="E96" s="153"/>
      <c r="F96" s="153"/>
      <c r="P96" s="304" t="s">
        <v>721</v>
      </c>
      <c r="Q96" s="304" t="e">
        <f>SUM(Q91:Q95)</f>
        <v>#DIV/0!</v>
      </c>
      <c r="R96" s="304">
        <f>SUM(R91:R95)</f>
        <v>3025</v>
      </c>
      <c r="S96" s="304" t="e">
        <f>SUM(S91:S95)</f>
        <v>#DIV/0!</v>
      </c>
      <c r="T96" s="304">
        <f>SUM(T91:T95)</f>
        <v>3025</v>
      </c>
    </row>
    <row r="97" spans="2:19" x14ac:dyDescent="0.3">
      <c r="B97" s="351">
        <f>B75/2</f>
        <v>5</v>
      </c>
      <c r="C97" s="295" t="e">
        <f>ABS(B97-I88)</f>
        <v>#DIV/0!</v>
      </c>
      <c r="D97" s="295" t="e">
        <f>ABS(B97-J88)</f>
        <v>#DIV/0!</v>
      </c>
      <c r="E97" s="153" t="e">
        <f>AVERAGE(C97:C101)</f>
        <v>#DIV/0!</v>
      </c>
      <c r="F97" s="153" t="e">
        <f>AVERAGE(D97:D101)</f>
        <v>#DIV/0!</v>
      </c>
      <c r="G97" s="154" t="s">
        <v>545</v>
      </c>
      <c r="H97" s="154">
        <v>-2</v>
      </c>
      <c r="I97" s="154" t="s">
        <v>11</v>
      </c>
    </row>
    <row r="98" spans="2:19" x14ac:dyDescent="0.3">
      <c r="B98" s="351">
        <f t="shared" ref="B98:B101" si="25">B76/2</f>
        <v>10</v>
      </c>
      <c r="C98" s="295" t="e">
        <f>ABS(B98-I89)</f>
        <v>#DIV/0!</v>
      </c>
      <c r="D98" s="295" t="e">
        <f>ABS(B98-J89)</f>
        <v>#DIV/0!</v>
      </c>
      <c r="E98" s="153" t="e">
        <f>STDEV(C97:C101)</f>
        <v>#DIV/0!</v>
      </c>
      <c r="F98" s="153" t="e">
        <f>STDEV(D97:D101)</f>
        <v>#DIV/0!</v>
      </c>
      <c r="G98" s="154" t="s">
        <v>546</v>
      </c>
      <c r="H98" s="154">
        <v>1</v>
      </c>
      <c r="I98" s="154">
        <v>2</v>
      </c>
    </row>
    <row r="99" spans="2:19" x14ac:dyDescent="0.3">
      <c r="B99" s="351">
        <f t="shared" si="25"/>
        <v>20</v>
      </c>
      <c r="C99" s="295" t="e">
        <f>ABS(B99-I90)</f>
        <v>#DIV/0!</v>
      </c>
      <c r="D99" s="295" t="e">
        <f>ABS(B99-J90)</f>
        <v>#DIV/0!</v>
      </c>
      <c r="E99" s="153" t="e">
        <f>ABS(SLOPE(C97:C101,$B$97:$B$101))</f>
        <v>#DIV/0!</v>
      </c>
      <c r="F99" s="153" t="e">
        <f>ABS(SLOPE(D97:D101,$B$97:$B$101))</f>
        <v>#DIV/0!</v>
      </c>
      <c r="G99" s="154" t="s">
        <v>547</v>
      </c>
      <c r="H99" s="154">
        <v>0.05</v>
      </c>
      <c r="I99" s="154" t="s">
        <v>11</v>
      </c>
    </row>
    <row r="100" spans="2:19" x14ac:dyDescent="0.3">
      <c r="B100" s="351">
        <f t="shared" si="25"/>
        <v>30</v>
      </c>
      <c r="C100" s="295" t="e">
        <f>ABS(B100-I91)</f>
        <v>#DIV/0!</v>
      </c>
      <c r="D100" s="295" t="e">
        <f>ABS(B100-J91)</f>
        <v>#DIV/0!</v>
      </c>
      <c r="E100" s="153" t="e">
        <f>IF(E98&gt;$I$98,TRUE,FALSE)</f>
        <v>#DIV/0!</v>
      </c>
      <c r="F100" s="153" t="e">
        <f>IF(F98&gt;$I$98,TRUE,FALSE)</f>
        <v>#DIV/0!</v>
      </c>
      <c r="G100" s="356" t="s">
        <v>549</v>
      </c>
      <c r="L100" s="275" t="s">
        <v>681</v>
      </c>
    </row>
    <row r="101" spans="2:19" x14ac:dyDescent="0.3">
      <c r="B101" s="351">
        <f t="shared" si="25"/>
        <v>40</v>
      </c>
      <c r="C101" s="295" t="e">
        <f>ABS(B101-I92)</f>
        <v>#DIV/0!</v>
      </c>
      <c r="D101" s="295" t="e">
        <f>ABS(B101-J92)</f>
        <v>#DIV/0!</v>
      </c>
      <c r="E101" s="153" t="e">
        <f>IF(AND(E97&lt;$H$97,E98&lt;$H$98,E99&gt;$H$99),TRUE,FALSE)</f>
        <v>#DIV/0!</v>
      </c>
      <c r="F101" s="153" t="e">
        <f>IF(AND(F97&lt;$H$97,F98&lt;$H$98,F99&gt;$H$99),TRUE,FALSE)</f>
        <v>#DIV/0!</v>
      </c>
      <c r="G101" s="356" t="s">
        <v>548</v>
      </c>
      <c r="L101" s="275">
        <v>0</v>
      </c>
    </row>
    <row r="105" spans="2:19" x14ac:dyDescent="0.3">
      <c r="B105" s="439" t="s">
        <v>759</v>
      </c>
      <c r="C105" s="440"/>
      <c r="D105" s="440"/>
      <c r="E105" s="440"/>
      <c r="F105" s="440"/>
      <c r="G105" s="440"/>
      <c r="H105" s="440"/>
      <c r="I105" s="440"/>
      <c r="J105" s="440"/>
      <c r="K105" s="441"/>
      <c r="M105" s="439" t="s">
        <v>759</v>
      </c>
      <c r="N105" s="440"/>
      <c r="O105" s="440"/>
      <c r="P105" s="440"/>
      <c r="Q105" s="440"/>
      <c r="R105" s="440"/>
      <c r="S105" s="440"/>
    </row>
    <row r="106" spans="2:19" x14ac:dyDescent="0.3">
      <c r="B106" s="346" t="s">
        <v>222</v>
      </c>
      <c r="C106" s="346" t="s">
        <v>779</v>
      </c>
      <c r="D106" s="346" t="s">
        <v>223</v>
      </c>
      <c r="E106" s="346" t="s">
        <v>224</v>
      </c>
      <c r="F106" s="346" t="s">
        <v>225</v>
      </c>
      <c r="G106" s="346" t="s">
        <v>226</v>
      </c>
      <c r="H106" s="346" t="s">
        <v>227</v>
      </c>
      <c r="I106" s="346" t="s">
        <v>777</v>
      </c>
      <c r="J106" s="346" t="s">
        <v>778</v>
      </c>
      <c r="K106" s="346" t="s">
        <v>230</v>
      </c>
      <c r="M106" s="346" t="s">
        <v>222</v>
      </c>
      <c r="N106" s="346" t="s">
        <v>779</v>
      </c>
      <c r="O106" s="346" t="s">
        <v>223</v>
      </c>
      <c r="P106" s="346" t="s">
        <v>224</v>
      </c>
      <c r="Q106" s="346" t="s">
        <v>587</v>
      </c>
      <c r="R106" s="346" t="s">
        <v>226</v>
      </c>
      <c r="S106" s="346" t="s">
        <v>227</v>
      </c>
    </row>
    <row r="107" spans="2:19" x14ac:dyDescent="0.3">
      <c r="B107" s="23">
        <v>0</v>
      </c>
      <c r="C107" s="23"/>
      <c r="D107" s="23"/>
      <c r="E107" s="23"/>
      <c r="F107" s="23"/>
      <c r="G107" s="23"/>
      <c r="H107" s="23"/>
      <c r="I107" s="23"/>
      <c r="J107" s="23"/>
      <c r="K107" s="23"/>
      <c r="M107" s="23">
        <f t="shared" ref="M107:S107" si="26">AVERAGE(B107,B119)</f>
        <v>0</v>
      </c>
      <c r="N107" s="23" t="e">
        <f t="shared" si="26"/>
        <v>#DIV/0!</v>
      </c>
      <c r="O107" s="23" t="e">
        <f t="shared" si="26"/>
        <v>#DIV/0!</v>
      </c>
      <c r="P107" s="23" t="e">
        <f t="shared" si="26"/>
        <v>#DIV/0!</v>
      </c>
      <c r="Q107" s="23" t="e">
        <f t="shared" si="26"/>
        <v>#DIV/0!</v>
      </c>
      <c r="R107" s="23" t="e">
        <f t="shared" si="26"/>
        <v>#DIV/0!</v>
      </c>
      <c r="S107" s="23" t="e">
        <f t="shared" si="26"/>
        <v>#DIV/0!</v>
      </c>
    </row>
    <row r="108" spans="2:19" x14ac:dyDescent="0.3">
      <c r="B108" s="23">
        <v>10</v>
      </c>
      <c r="C108" s="23"/>
      <c r="D108" s="23"/>
      <c r="E108" s="23"/>
      <c r="F108" s="23"/>
      <c r="G108" s="23"/>
      <c r="H108" s="23"/>
      <c r="I108" s="23"/>
      <c r="J108" s="23"/>
      <c r="K108" s="23"/>
      <c r="M108" s="23">
        <f t="shared" ref="M108:S108" si="27">AVERAGE(B108,B118)</f>
        <v>10</v>
      </c>
      <c r="N108" s="23" t="e">
        <f t="shared" si="27"/>
        <v>#DIV/0!</v>
      </c>
      <c r="O108" s="23" t="e">
        <f t="shared" si="27"/>
        <v>#DIV/0!</v>
      </c>
      <c r="P108" s="23" t="e">
        <f t="shared" si="27"/>
        <v>#DIV/0!</v>
      </c>
      <c r="Q108" s="23" t="e">
        <f t="shared" si="27"/>
        <v>#DIV/0!</v>
      </c>
      <c r="R108" s="23" t="e">
        <f t="shared" si="27"/>
        <v>#DIV/0!</v>
      </c>
      <c r="S108" s="23" t="e">
        <f t="shared" si="27"/>
        <v>#DIV/0!</v>
      </c>
    </row>
    <row r="109" spans="2:19" x14ac:dyDescent="0.3">
      <c r="B109" s="23">
        <v>20</v>
      </c>
      <c r="C109" s="23"/>
      <c r="D109" s="23"/>
      <c r="E109" s="23"/>
      <c r="F109" s="23"/>
      <c r="G109" s="23"/>
      <c r="H109" s="23"/>
      <c r="I109" s="23"/>
      <c r="J109" s="23"/>
      <c r="K109" s="23"/>
      <c r="M109" s="23">
        <f t="shared" ref="M109:S109" si="28">AVERAGE(B109,B117)</f>
        <v>20</v>
      </c>
      <c r="N109" s="23" t="e">
        <f t="shared" si="28"/>
        <v>#DIV/0!</v>
      </c>
      <c r="O109" s="23" t="e">
        <f t="shared" si="28"/>
        <v>#DIV/0!</v>
      </c>
      <c r="P109" s="23" t="e">
        <f t="shared" si="28"/>
        <v>#DIV/0!</v>
      </c>
      <c r="Q109" s="23" t="e">
        <f t="shared" si="28"/>
        <v>#DIV/0!</v>
      </c>
      <c r="R109" s="23" t="e">
        <f t="shared" si="28"/>
        <v>#DIV/0!</v>
      </c>
      <c r="S109" s="23" t="e">
        <f t="shared" si="28"/>
        <v>#DIV/0!</v>
      </c>
    </row>
    <row r="110" spans="2:19" x14ac:dyDescent="0.3">
      <c r="B110" s="23">
        <v>40</v>
      </c>
      <c r="C110" s="23"/>
      <c r="D110" s="23"/>
      <c r="E110" s="23"/>
      <c r="F110" s="23"/>
      <c r="G110" s="23"/>
      <c r="H110" s="23"/>
      <c r="I110" s="23"/>
      <c r="J110" s="23"/>
      <c r="K110" s="23"/>
      <c r="M110" s="23">
        <f t="shared" ref="M110:S110" si="29">AVERAGE(B110,B116)</f>
        <v>40</v>
      </c>
      <c r="N110" s="23" t="e">
        <f t="shared" si="29"/>
        <v>#DIV/0!</v>
      </c>
      <c r="O110" s="23" t="e">
        <f t="shared" si="29"/>
        <v>#DIV/0!</v>
      </c>
      <c r="P110" s="23" t="e">
        <f t="shared" si="29"/>
        <v>#DIV/0!</v>
      </c>
      <c r="Q110" s="23" t="e">
        <f t="shared" si="29"/>
        <v>#DIV/0!</v>
      </c>
      <c r="R110" s="23" t="e">
        <f t="shared" si="29"/>
        <v>#DIV/0!</v>
      </c>
      <c r="S110" s="23" t="e">
        <f t="shared" si="29"/>
        <v>#DIV/0!</v>
      </c>
    </row>
    <row r="111" spans="2:19" x14ac:dyDescent="0.3">
      <c r="B111" s="231">
        <v>60</v>
      </c>
      <c r="C111" s="231"/>
      <c r="D111" s="231"/>
      <c r="E111" s="231"/>
      <c r="F111" s="231"/>
      <c r="G111" s="231"/>
      <c r="H111" s="231"/>
      <c r="I111" s="231"/>
      <c r="J111" s="231"/>
      <c r="K111" s="231"/>
      <c r="M111" s="231">
        <f t="shared" ref="M111:S111" si="30">AVERAGE(B111,B115)</f>
        <v>60</v>
      </c>
      <c r="N111" s="231" t="e">
        <f t="shared" si="30"/>
        <v>#DIV/0!</v>
      </c>
      <c r="O111" s="231" t="e">
        <f t="shared" si="30"/>
        <v>#DIV/0!</v>
      </c>
      <c r="P111" s="231" t="e">
        <f t="shared" si="30"/>
        <v>#DIV/0!</v>
      </c>
      <c r="Q111" s="231" t="e">
        <f t="shared" si="30"/>
        <v>#DIV/0!</v>
      </c>
      <c r="R111" s="231" t="e">
        <f t="shared" si="30"/>
        <v>#DIV/0!</v>
      </c>
      <c r="S111" s="231" t="e">
        <f t="shared" si="30"/>
        <v>#DIV/0!</v>
      </c>
    </row>
    <row r="112" spans="2:19" x14ac:dyDescent="0.3">
      <c r="B112" s="231">
        <v>80</v>
      </c>
      <c r="C112" s="231"/>
      <c r="D112" s="231"/>
      <c r="E112" s="231"/>
      <c r="F112" s="231"/>
      <c r="G112" s="231"/>
      <c r="H112" s="231"/>
      <c r="I112" s="231"/>
      <c r="J112" s="231"/>
      <c r="K112" s="231"/>
      <c r="M112" s="231">
        <f t="shared" ref="M112:S112" si="31">AVERAGE(B112,B114)</f>
        <v>80</v>
      </c>
      <c r="N112" s="231" t="e">
        <f t="shared" si="31"/>
        <v>#DIV/0!</v>
      </c>
      <c r="O112" s="231" t="e">
        <f t="shared" si="31"/>
        <v>#DIV/0!</v>
      </c>
      <c r="P112" s="231" t="e">
        <f t="shared" si="31"/>
        <v>#DIV/0!</v>
      </c>
      <c r="Q112" s="231" t="e">
        <f t="shared" si="31"/>
        <v>#DIV/0!</v>
      </c>
      <c r="R112" s="231" t="e">
        <f t="shared" si="31"/>
        <v>#DIV/0!</v>
      </c>
      <c r="S112" s="231" t="e">
        <f t="shared" si="31"/>
        <v>#DIV/0!</v>
      </c>
    </row>
    <row r="113" spans="2:11" x14ac:dyDescent="0.3">
      <c r="B113" s="231">
        <v>90</v>
      </c>
      <c r="C113" s="231"/>
      <c r="D113" s="231"/>
      <c r="E113" s="231"/>
      <c r="F113" s="231"/>
      <c r="G113" s="231"/>
      <c r="H113" s="231"/>
      <c r="I113" s="231"/>
      <c r="J113" s="231"/>
      <c r="K113" s="231"/>
    </row>
    <row r="114" spans="2:11" x14ac:dyDescent="0.3">
      <c r="B114" s="231">
        <v>80</v>
      </c>
      <c r="C114" s="231"/>
      <c r="D114" s="231"/>
      <c r="E114" s="231"/>
      <c r="F114" s="231"/>
      <c r="G114" s="231"/>
      <c r="H114" s="231"/>
      <c r="I114" s="231"/>
      <c r="J114" s="231"/>
      <c r="K114" s="231"/>
    </row>
    <row r="115" spans="2:11" x14ac:dyDescent="0.3">
      <c r="B115" s="231">
        <v>60</v>
      </c>
      <c r="C115" s="231"/>
      <c r="D115" s="231"/>
      <c r="E115" s="231"/>
      <c r="F115" s="231"/>
      <c r="G115" s="231"/>
      <c r="H115" s="231"/>
      <c r="I115" s="231"/>
      <c r="J115" s="231"/>
      <c r="K115" s="231"/>
    </row>
    <row r="116" spans="2:11" x14ac:dyDescent="0.3">
      <c r="B116" s="231">
        <v>40</v>
      </c>
      <c r="C116" s="231"/>
      <c r="D116" s="231"/>
      <c r="E116" s="231"/>
      <c r="F116" s="231"/>
      <c r="G116" s="231"/>
      <c r="H116" s="231"/>
      <c r="I116" s="231"/>
      <c r="J116" s="231"/>
      <c r="K116" s="231"/>
    </row>
    <row r="117" spans="2:11" x14ac:dyDescent="0.3">
      <c r="B117" s="231">
        <v>20</v>
      </c>
      <c r="C117" s="231"/>
      <c r="D117" s="231"/>
      <c r="E117" s="231"/>
      <c r="F117" s="231"/>
      <c r="G117" s="231"/>
      <c r="H117" s="231"/>
      <c r="I117" s="231"/>
      <c r="J117" s="231"/>
      <c r="K117" s="231"/>
    </row>
    <row r="118" spans="2:11" x14ac:dyDescent="0.3">
      <c r="B118" s="231">
        <v>10</v>
      </c>
      <c r="C118" s="231"/>
      <c r="D118" s="231"/>
      <c r="E118" s="231"/>
      <c r="F118" s="231"/>
      <c r="G118" s="231"/>
      <c r="H118" s="231"/>
      <c r="I118" s="231"/>
      <c r="J118" s="231"/>
      <c r="K118" s="231"/>
    </row>
    <row r="119" spans="2:11" x14ac:dyDescent="0.3">
      <c r="B119" s="231">
        <v>0</v>
      </c>
      <c r="C119" s="231"/>
      <c r="D119" s="231"/>
      <c r="E119" s="231"/>
      <c r="F119" s="231"/>
      <c r="G119" s="231"/>
      <c r="H119" s="231"/>
      <c r="I119" s="231"/>
      <c r="J119" s="231"/>
      <c r="K119" s="231"/>
    </row>
    <row r="121" spans="2:11" x14ac:dyDescent="0.3">
      <c r="B121" s="439" t="s">
        <v>760</v>
      </c>
      <c r="C121" s="440"/>
      <c r="D121" s="440"/>
      <c r="E121" s="440"/>
      <c r="F121" s="440"/>
      <c r="G121" s="440"/>
      <c r="H121" s="440"/>
      <c r="I121" s="440"/>
      <c r="J121" s="441"/>
    </row>
    <row r="122" spans="2:11" x14ac:dyDescent="0.3">
      <c r="B122" s="346" t="s">
        <v>758</v>
      </c>
      <c r="C122" s="346" t="s">
        <v>779</v>
      </c>
      <c r="D122" s="346" t="s">
        <v>223</v>
      </c>
      <c r="E122" s="346" t="s">
        <v>224</v>
      </c>
      <c r="F122" s="346" t="s">
        <v>225</v>
      </c>
      <c r="G122" s="346" t="s">
        <v>226</v>
      </c>
      <c r="H122" s="346" t="s">
        <v>227</v>
      </c>
      <c r="I122" s="346" t="s">
        <v>437</v>
      </c>
      <c r="J122" s="346" t="s">
        <v>438</v>
      </c>
    </row>
    <row r="123" spans="2:11" x14ac:dyDescent="0.3">
      <c r="B123" s="23">
        <v>0</v>
      </c>
      <c r="C123" s="23">
        <v>0</v>
      </c>
      <c r="D123" s="23">
        <v>0</v>
      </c>
      <c r="E123" s="23">
        <v>0</v>
      </c>
      <c r="F123" s="23">
        <v>0</v>
      </c>
      <c r="G123" s="23">
        <v>0</v>
      </c>
      <c r="H123" s="23">
        <v>0</v>
      </c>
      <c r="I123" s="23">
        <v>0</v>
      </c>
      <c r="J123" s="23">
        <v>0</v>
      </c>
    </row>
    <row r="124" spans="2:11" x14ac:dyDescent="0.3">
      <c r="B124" s="23">
        <f>(M108-M$107)/2</f>
        <v>5</v>
      </c>
      <c r="C124" s="23" t="e">
        <f t="shared" ref="C124:H128" si="32">IF((N108-N$107)&gt;0,(N108-N$107),0)</f>
        <v>#DIV/0!</v>
      </c>
      <c r="D124" s="23" t="e">
        <f t="shared" si="32"/>
        <v>#DIV/0!</v>
      </c>
      <c r="E124" s="23" t="e">
        <f t="shared" si="32"/>
        <v>#DIV/0!</v>
      </c>
      <c r="F124" s="23" t="e">
        <f t="shared" si="32"/>
        <v>#DIV/0!</v>
      </c>
      <c r="G124" s="23" t="e">
        <f t="shared" si="32"/>
        <v>#DIV/0!</v>
      </c>
      <c r="H124" s="23" t="e">
        <f t="shared" si="32"/>
        <v>#DIV/0!</v>
      </c>
      <c r="I124" s="23" t="e">
        <f>SUM(C124:E124)</f>
        <v>#DIV/0!</v>
      </c>
      <c r="J124" s="23" t="e">
        <f>SUM(F124:H124)</f>
        <v>#DIV/0!</v>
      </c>
    </row>
    <row r="125" spans="2:11" x14ac:dyDescent="0.3">
      <c r="B125" s="23">
        <f>(M109-M$107)/2</f>
        <v>10</v>
      </c>
      <c r="C125" s="23" t="e">
        <f t="shared" si="32"/>
        <v>#DIV/0!</v>
      </c>
      <c r="D125" s="23" t="e">
        <f t="shared" si="32"/>
        <v>#DIV/0!</v>
      </c>
      <c r="E125" s="23" t="e">
        <f t="shared" si="32"/>
        <v>#DIV/0!</v>
      </c>
      <c r="F125" s="23" t="e">
        <f t="shared" si="32"/>
        <v>#DIV/0!</v>
      </c>
      <c r="G125" s="23" t="e">
        <f t="shared" si="32"/>
        <v>#DIV/0!</v>
      </c>
      <c r="H125" s="23" t="e">
        <f t="shared" si="32"/>
        <v>#DIV/0!</v>
      </c>
      <c r="I125" s="23" t="e">
        <f>SUM(C125:E125)</f>
        <v>#DIV/0!</v>
      </c>
      <c r="J125" s="23" t="e">
        <f>SUM(F125:H125)</f>
        <v>#DIV/0!</v>
      </c>
    </row>
    <row r="126" spans="2:11" x14ac:dyDescent="0.3">
      <c r="B126" s="23">
        <f>(M110-M$107)/2</f>
        <v>20</v>
      </c>
      <c r="C126" s="23" t="e">
        <f t="shared" si="32"/>
        <v>#DIV/0!</v>
      </c>
      <c r="D126" s="23" t="e">
        <f t="shared" si="32"/>
        <v>#DIV/0!</v>
      </c>
      <c r="E126" s="23" t="e">
        <f t="shared" si="32"/>
        <v>#DIV/0!</v>
      </c>
      <c r="F126" s="23" t="e">
        <f t="shared" si="32"/>
        <v>#DIV/0!</v>
      </c>
      <c r="G126" s="23" t="e">
        <f t="shared" si="32"/>
        <v>#DIV/0!</v>
      </c>
      <c r="H126" s="23" t="e">
        <f t="shared" si="32"/>
        <v>#DIV/0!</v>
      </c>
      <c r="I126" s="23" t="e">
        <f t="shared" ref="I126:I128" si="33">SUM(C126:E126)</f>
        <v>#DIV/0!</v>
      </c>
      <c r="J126" s="23" t="e">
        <f t="shared" ref="J126:J128" si="34">SUM(F126:H126)</f>
        <v>#DIV/0!</v>
      </c>
    </row>
    <row r="127" spans="2:11" x14ac:dyDescent="0.3">
      <c r="B127" s="23">
        <f>(M111-M$107)/2</f>
        <v>30</v>
      </c>
      <c r="C127" s="23" t="e">
        <f t="shared" si="32"/>
        <v>#DIV/0!</v>
      </c>
      <c r="D127" s="23" t="e">
        <f t="shared" si="32"/>
        <v>#DIV/0!</v>
      </c>
      <c r="E127" s="23" t="e">
        <f t="shared" si="32"/>
        <v>#DIV/0!</v>
      </c>
      <c r="F127" s="23" t="e">
        <f t="shared" si="32"/>
        <v>#DIV/0!</v>
      </c>
      <c r="G127" s="23" t="e">
        <f t="shared" si="32"/>
        <v>#DIV/0!</v>
      </c>
      <c r="H127" s="23" t="e">
        <f t="shared" si="32"/>
        <v>#DIV/0!</v>
      </c>
      <c r="I127" s="23" t="e">
        <f t="shared" si="33"/>
        <v>#DIV/0!</v>
      </c>
      <c r="J127" s="23" t="e">
        <f t="shared" si="34"/>
        <v>#DIV/0!</v>
      </c>
    </row>
    <row r="128" spans="2:11" x14ac:dyDescent="0.3">
      <c r="B128" s="23">
        <f>(M112-M$107)/2</f>
        <v>40</v>
      </c>
      <c r="C128" s="23" t="e">
        <f t="shared" si="32"/>
        <v>#DIV/0!</v>
      </c>
      <c r="D128" s="23" t="e">
        <f t="shared" si="32"/>
        <v>#DIV/0!</v>
      </c>
      <c r="E128" s="23" t="e">
        <f t="shared" si="32"/>
        <v>#DIV/0!</v>
      </c>
      <c r="F128" s="23" t="e">
        <f t="shared" si="32"/>
        <v>#DIV/0!</v>
      </c>
      <c r="G128" s="23" t="e">
        <f t="shared" si="32"/>
        <v>#DIV/0!</v>
      </c>
      <c r="H128" s="23" t="e">
        <f t="shared" si="32"/>
        <v>#DIV/0!</v>
      </c>
      <c r="I128" s="23" t="e">
        <f t="shared" si="33"/>
        <v>#DIV/0!</v>
      </c>
      <c r="J128" s="23" t="e">
        <f t="shared" si="34"/>
        <v>#DIV/0!</v>
      </c>
    </row>
    <row r="136" spans="2:12" x14ac:dyDescent="0.3">
      <c r="B136" s="446" t="s">
        <v>414</v>
      </c>
      <c r="C136" s="447"/>
      <c r="D136" s="447"/>
      <c r="E136" s="447"/>
      <c r="F136" s="447"/>
      <c r="G136" s="448"/>
      <c r="H136" s="196"/>
      <c r="I136" s="349" t="s">
        <v>414</v>
      </c>
      <c r="J136" s="350"/>
    </row>
    <row r="137" spans="2:12" x14ac:dyDescent="0.3">
      <c r="B137" s="104" t="s">
        <v>415</v>
      </c>
      <c r="C137" s="46" t="e">
        <f>IF(MAX(L157:M159,L64,L67,L83,L95,S81,U81,U86,V81,V86,W81,W86,X81,X86,Y81,Y86,Z81,Z86)=0,MAX(L157:M159,L64,L67,L83,L95,L208:M208,L171,O211,U86,V86,W86,X86,Y86,Z86),IF(MAX(L157:M159)=0,MAX(L157:M159,L64,L67,L83,L95,S81,U81,U86,V81,V86,W81,W86,X81,X86,Y81,Y86,Z81,Z86),MAX(L157:M159)))</f>
        <v>#DIV/0!</v>
      </c>
      <c r="D137" s="104" t="s">
        <v>199</v>
      </c>
      <c r="E137" s="326" t="e">
        <f>F70</f>
        <v>#DIV/0!</v>
      </c>
      <c r="F137" s="104" t="s">
        <v>200</v>
      </c>
      <c r="G137" s="327" t="e">
        <f>G70</f>
        <v>#DIV/0!</v>
      </c>
      <c r="H137" s="196"/>
      <c r="I137" s="104" t="s">
        <v>415</v>
      </c>
      <c r="J137" s="46" t="e">
        <f>IF(MAX(L157:M159,L64,L67,L83,L95,S81,U81,U86,V81,V86,W81,W86,X81,X86,Y81,Y86,Z81,Z86)=0,MAX(L157:M159,L64,L67,L83,L95,L207:M208,L171,O211,U86,V86,W86,X86,Y86,Z86),IF(MAX(L157:M159)=0,MAX(L157:M159,L64,L67,L83,L95,S81,U81,U86,V81,V86,W81,W86,X81,X86,Y81,Y86,Z81,Z86),MAX(L157:M159)))</f>
        <v>#DIV/0!</v>
      </c>
    </row>
    <row r="139" spans="2:12" x14ac:dyDescent="0.3">
      <c r="B139" s="446" t="s">
        <v>453</v>
      </c>
      <c r="C139" s="447"/>
      <c r="D139" s="447"/>
      <c r="E139" s="447"/>
      <c r="F139" s="447"/>
      <c r="G139" s="447"/>
      <c r="H139" s="447"/>
      <c r="I139" s="447"/>
      <c r="J139" s="447"/>
      <c r="K139" s="447"/>
      <c r="L139" s="448"/>
    </row>
    <row r="140" spans="2:12" x14ac:dyDescent="0.3">
      <c r="B140" s="347" t="s">
        <v>454</v>
      </c>
      <c r="C140" s="347" t="s">
        <v>780</v>
      </c>
      <c r="D140" s="347" t="s">
        <v>463</v>
      </c>
      <c r="E140" s="347" t="s">
        <v>464</v>
      </c>
      <c r="F140" s="347" t="s">
        <v>465</v>
      </c>
      <c r="G140" s="347" t="s">
        <v>466</v>
      </c>
      <c r="H140" s="347" t="s">
        <v>467</v>
      </c>
      <c r="I140" s="347" t="s">
        <v>470</v>
      </c>
      <c r="J140" s="347" t="s">
        <v>515</v>
      </c>
      <c r="K140" s="347" t="s">
        <v>471</v>
      </c>
      <c r="L140" s="347" t="s">
        <v>472</v>
      </c>
    </row>
    <row r="141" spans="2:12" x14ac:dyDescent="0.3">
      <c r="B141" s="78">
        <f>B87</f>
        <v>0</v>
      </c>
      <c r="C141" s="126" t="e">
        <f>C87</f>
        <v>#DIV/0!</v>
      </c>
      <c r="D141" s="78" t="e">
        <f t="shared" ref="D141:H142" si="35">D87</f>
        <v>#DIV/0!</v>
      </c>
      <c r="E141" s="126" t="e">
        <f t="shared" si="35"/>
        <v>#DIV/0!</v>
      </c>
      <c r="F141" s="78" t="e">
        <f t="shared" si="35"/>
        <v>#DIV/0!</v>
      </c>
      <c r="G141" s="126" t="e">
        <f t="shared" si="35"/>
        <v>#DIV/0!</v>
      </c>
      <c r="H141" s="78" t="e">
        <f t="shared" si="35"/>
        <v>#DIV/0!</v>
      </c>
      <c r="I141" s="117" t="e">
        <f t="shared" ref="I141:I146" si="36">SUM(C141:E141)</f>
        <v>#DIV/0!</v>
      </c>
      <c r="J141" s="117" t="e">
        <f t="shared" ref="J141:J146" si="37">SUM(F141:H141)</f>
        <v>#DIV/0!</v>
      </c>
      <c r="K141" s="117" t="e">
        <f t="shared" ref="K141:L146" si="38">I141-$B141</f>
        <v>#DIV/0!</v>
      </c>
      <c r="L141" s="117" t="e">
        <f t="shared" si="38"/>
        <v>#DIV/0!</v>
      </c>
    </row>
    <row r="142" spans="2:12" x14ac:dyDescent="0.3">
      <c r="B142" s="78">
        <f>B88</f>
        <v>5</v>
      </c>
      <c r="C142" s="126" t="e">
        <f>C88</f>
        <v>#DIV/0!</v>
      </c>
      <c r="D142" s="78" t="e">
        <f t="shared" si="35"/>
        <v>#DIV/0!</v>
      </c>
      <c r="E142" s="126" t="e">
        <f t="shared" si="35"/>
        <v>#DIV/0!</v>
      </c>
      <c r="F142" s="78" t="e">
        <f t="shared" si="35"/>
        <v>#DIV/0!</v>
      </c>
      <c r="G142" s="126" t="e">
        <f t="shared" si="35"/>
        <v>#DIV/0!</v>
      </c>
      <c r="H142" s="78" t="e">
        <f t="shared" si="35"/>
        <v>#DIV/0!</v>
      </c>
      <c r="I142" s="117" t="e">
        <f t="shared" si="36"/>
        <v>#DIV/0!</v>
      </c>
      <c r="J142" s="117" t="e">
        <f t="shared" si="37"/>
        <v>#DIV/0!</v>
      </c>
      <c r="K142" s="117" t="e">
        <f t="shared" si="38"/>
        <v>#DIV/0!</v>
      </c>
      <c r="L142" s="117" t="e">
        <f t="shared" si="38"/>
        <v>#DIV/0!</v>
      </c>
    </row>
    <row r="143" spans="2:12" x14ac:dyDescent="0.3">
      <c r="B143" s="78">
        <f t="shared" ref="B143:H146" si="39">B89</f>
        <v>10</v>
      </c>
      <c r="C143" s="126" t="e">
        <f t="shared" si="39"/>
        <v>#DIV/0!</v>
      </c>
      <c r="D143" s="78" t="e">
        <f t="shared" si="39"/>
        <v>#DIV/0!</v>
      </c>
      <c r="E143" s="126" t="e">
        <f t="shared" si="39"/>
        <v>#DIV/0!</v>
      </c>
      <c r="F143" s="78" t="e">
        <f t="shared" si="39"/>
        <v>#DIV/0!</v>
      </c>
      <c r="G143" s="126" t="e">
        <f t="shared" si="39"/>
        <v>#DIV/0!</v>
      </c>
      <c r="H143" s="78" t="e">
        <f t="shared" si="39"/>
        <v>#DIV/0!</v>
      </c>
      <c r="I143" s="117" t="e">
        <f t="shared" si="36"/>
        <v>#DIV/0!</v>
      </c>
      <c r="J143" s="117" t="e">
        <f t="shared" si="37"/>
        <v>#DIV/0!</v>
      </c>
      <c r="K143" s="117" t="e">
        <f t="shared" si="38"/>
        <v>#DIV/0!</v>
      </c>
      <c r="L143" s="117" t="e">
        <f t="shared" si="38"/>
        <v>#DIV/0!</v>
      </c>
    </row>
    <row r="144" spans="2:12" x14ac:dyDescent="0.3">
      <c r="B144" s="78">
        <f t="shared" si="39"/>
        <v>20</v>
      </c>
      <c r="C144" s="126" t="e">
        <f t="shared" si="39"/>
        <v>#DIV/0!</v>
      </c>
      <c r="D144" s="78" t="e">
        <f t="shared" si="39"/>
        <v>#DIV/0!</v>
      </c>
      <c r="E144" s="126" t="e">
        <f t="shared" si="39"/>
        <v>#DIV/0!</v>
      </c>
      <c r="F144" s="78" t="e">
        <f t="shared" si="39"/>
        <v>#DIV/0!</v>
      </c>
      <c r="G144" s="126" t="e">
        <f t="shared" si="39"/>
        <v>#DIV/0!</v>
      </c>
      <c r="H144" s="78" t="e">
        <f t="shared" si="39"/>
        <v>#DIV/0!</v>
      </c>
      <c r="I144" s="117" t="e">
        <f t="shared" si="36"/>
        <v>#DIV/0!</v>
      </c>
      <c r="J144" s="117" t="e">
        <f t="shared" si="37"/>
        <v>#DIV/0!</v>
      </c>
      <c r="K144" s="117" t="e">
        <f t="shared" si="38"/>
        <v>#DIV/0!</v>
      </c>
      <c r="L144" s="117" t="e">
        <f t="shared" si="38"/>
        <v>#DIV/0!</v>
      </c>
    </row>
    <row r="145" spans="2:30" x14ac:dyDescent="0.3">
      <c r="B145" s="78">
        <f t="shared" si="39"/>
        <v>30</v>
      </c>
      <c r="C145" s="126" t="e">
        <f t="shared" si="39"/>
        <v>#DIV/0!</v>
      </c>
      <c r="D145" s="78" t="e">
        <f t="shared" si="39"/>
        <v>#DIV/0!</v>
      </c>
      <c r="E145" s="126" t="e">
        <f t="shared" si="39"/>
        <v>#DIV/0!</v>
      </c>
      <c r="F145" s="78" t="e">
        <f t="shared" si="39"/>
        <v>#DIV/0!</v>
      </c>
      <c r="G145" s="126" t="e">
        <f t="shared" si="39"/>
        <v>#DIV/0!</v>
      </c>
      <c r="H145" s="78" t="e">
        <f t="shared" si="39"/>
        <v>#DIV/0!</v>
      </c>
      <c r="I145" s="117" t="e">
        <f t="shared" si="36"/>
        <v>#DIV/0!</v>
      </c>
      <c r="J145" s="117" t="e">
        <f t="shared" si="37"/>
        <v>#DIV/0!</v>
      </c>
      <c r="K145" s="117" t="e">
        <f t="shared" si="38"/>
        <v>#DIV/0!</v>
      </c>
      <c r="L145" s="117" t="e">
        <f t="shared" si="38"/>
        <v>#DIV/0!</v>
      </c>
    </row>
    <row r="146" spans="2:30" x14ac:dyDescent="0.3">
      <c r="B146" s="78">
        <f t="shared" si="39"/>
        <v>40</v>
      </c>
      <c r="C146" s="126" t="e">
        <f t="shared" si="39"/>
        <v>#DIV/0!</v>
      </c>
      <c r="D146" s="78" t="e">
        <f t="shared" si="39"/>
        <v>#DIV/0!</v>
      </c>
      <c r="E146" s="126" t="e">
        <f t="shared" si="39"/>
        <v>#DIV/0!</v>
      </c>
      <c r="F146" s="78" t="e">
        <f t="shared" si="39"/>
        <v>#DIV/0!</v>
      </c>
      <c r="G146" s="126" t="e">
        <f t="shared" si="39"/>
        <v>#DIV/0!</v>
      </c>
      <c r="H146" s="78" t="e">
        <f t="shared" si="39"/>
        <v>#DIV/0!</v>
      </c>
      <c r="I146" s="117" t="e">
        <f t="shared" si="36"/>
        <v>#DIV/0!</v>
      </c>
      <c r="J146" s="117" t="e">
        <f t="shared" si="37"/>
        <v>#DIV/0!</v>
      </c>
      <c r="K146" s="117" t="e">
        <f t="shared" si="38"/>
        <v>#DIV/0!</v>
      </c>
      <c r="L146" s="117" t="e">
        <f t="shared" si="38"/>
        <v>#DIV/0!</v>
      </c>
    </row>
    <row r="148" spans="2:30" x14ac:dyDescent="0.3">
      <c r="B148" s="442" t="s">
        <v>473</v>
      </c>
      <c r="C148" s="443"/>
      <c r="D148" s="443"/>
      <c r="E148" s="443"/>
      <c r="F148" s="443"/>
      <c r="G148" s="443"/>
      <c r="H148" s="443"/>
      <c r="I148" s="443"/>
      <c r="J148" s="456"/>
      <c r="K148" s="219"/>
      <c r="N148" s="219"/>
      <c r="O148" s="219"/>
      <c r="S148" s="219"/>
      <c r="T148" s="219"/>
      <c r="X148" s="219"/>
      <c r="Y148" s="219"/>
      <c r="AC148" s="219"/>
      <c r="AD148" s="219"/>
    </row>
    <row r="149" spans="2:30" x14ac:dyDescent="0.3">
      <c r="B149" s="129" t="s">
        <v>475</v>
      </c>
      <c r="C149" s="121"/>
      <c r="D149" s="121"/>
      <c r="E149" s="121"/>
      <c r="F149" s="121"/>
      <c r="G149" s="122"/>
      <c r="H149" s="351" t="s">
        <v>476</v>
      </c>
      <c r="I149" s="351" t="s">
        <v>477</v>
      </c>
      <c r="J149" s="220" t="s">
        <v>478</v>
      </c>
    </row>
    <row r="150" spans="2:30" x14ac:dyDescent="0.3">
      <c r="B150" s="129" t="s">
        <v>474</v>
      </c>
      <c r="C150" s="121"/>
      <c r="D150" s="121"/>
      <c r="E150" s="121"/>
      <c r="F150" s="121"/>
      <c r="G150" s="122"/>
      <c r="H150" s="231">
        <v>32768</v>
      </c>
      <c r="I150" s="231">
        <v>32768</v>
      </c>
      <c r="J150" s="231">
        <v>58000</v>
      </c>
    </row>
    <row r="151" spans="2:30" x14ac:dyDescent="0.3">
      <c r="B151" s="129" t="s">
        <v>479</v>
      </c>
      <c r="C151" s="121"/>
      <c r="D151" s="121"/>
      <c r="E151" s="121"/>
      <c r="F151" s="121"/>
      <c r="G151" s="122"/>
      <c r="H151" s="231">
        <v>48000</v>
      </c>
      <c r="I151" s="231">
        <v>32768</v>
      </c>
      <c r="J151" s="231">
        <v>48000</v>
      </c>
    </row>
    <row r="152" spans="2:30" x14ac:dyDescent="0.3">
      <c r="B152" s="129" t="s">
        <v>480</v>
      </c>
      <c r="C152" s="121"/>
      <c r="D152" s="121"/>
      <c r="E152" s="121"/>
      <c r="F152" s="121"/>
      <c r="G152" s="122"/>
      <c r="H152" s="231">
        <v>58000</v>
      </c>
      <c r="I152" s="231">
        <v>48000</v>
      </c>
      <c r="J152" s="231">
        <v>32768</v>
      </c>
    </row>
    <row r="154" spans="2:30" x14ac:dyDescent="0.3">
      <c r="B154" s="439" t="s">
        <v>481</v>
      </c>
      <c r="C154" s="440"/>
      <c r="D154" s="440"/>
      <c r="E154" s="440"/>
      <c r="F154" s="440"/>
      <c r="G154" s="440"/>
      <c r="H154" s="440"/>
      <c r="I154" s="133" t="s">
        <v>516</v>
      </c>
      <c r="J154" s="109" t="b">
        <f>IF(FLOOR($B$4/1000,1)=4,TRUE,FALSE)</f>
        <v>0</v>
      </c>
    </row>
    <row r="155" spans="2:30" x14ac:dyDescent="0.3">
      <c r="B155" s="127" t="s">
        <v>502</v>
      </c>
      <c r="C155" s="127">
        <f>'FTS-Initialization'!$AE$25</f>
        <v>65000</v>
      </c>
      <c r="D155" s="127" t="s">
        <v>503</v>
      </c>
      <c r="E155" s="127">
        <f>'FTS-Initialization'!$AE$24</f>
        <v>45000</v>
      </c>
      <c r="F155" s="127"/>
      <c r="G155" s="127" t="s">
        <v>504</v>
      </c>
      <c r="H155" s="127">
        <f>'FTS-Initialization'!$AE$23</f>
        <v>42000</v>
      </c>
      <c r="I155" s="127" t="s">
        <v>505</v>
      </c>
      <c r="J155" s="127">
        <f>'FTS-Initialization'!$AE$22</f>
        <v>22000</v>
      </c>
    </row>
    <row r="156" spans="2:30" x14ac:dyDescent="0.3">
      <c r="B156" s="128" t="s">
        <v>506</v>
      </c>
      <c r="C156" s="128"/>
      <c r="D156" s="128"/>
      <c r="E156" s="128"/>
      <c r="F156" s="128"/>
      <c r="G156" s="351" t="s">
        <v>507</v>
      </c>
      <c r="H156" s="351" t="s">
        <v>406</v>
      </c>
      <c r="I156" s="351" t="s">
        <v>508</v>
      </c>
      <c r="J156" s="351" t="s">
        <v>406</v>
      </c>
      <c r="L156" s="167" t="s">
        <v>413</v>
      </c>
      <c r="M156" s="167" t="s">
        <v>413</v>
      </c>
    </row>
    <row r="157" spans="2:30" x14ac:dyDescent="0.3">
      <c r="B157" s="129" t="s">
        <v>499</v>
      </c>
      <c r="C157" s="130"/>
      <c r="D157" s="130"/>
      <c r="E157" s="130"/>
      <c r="F157" s="130"/>
      <c r="G157" s="127">
        <f>IF($J$154,"N/A",H152)</f>
        <v>58000</v>
      </c>
      <c r="H157" s="127" t="b">
        <f>IF(AND(G157&gt;$E$155,G157&lt;$C$155),TRUE,IF($J$154,TRUE,FALSE))</f>
        <v>1</v>
      </c>
      <c r="I157" s="127">
        <f>IF($J$154,H151,H150)</f>
        <v>32768</v>
      </c>
      <c r="J157" s="127" t="b">
        <f>IF(AND(I157&gt;$J$155,I157&lt;$H$155),TRUE,FALSE)</f>
        <v>1</v>
      </c>
      <c r="L157" s="167">
        <v>0</v>
      </c>
      <c r="M157" s="167">
        <v>0</v>
      </c>
    </row>
    <row r="158" spans="2:30" x14ac:dyDescent="0.3">
      <c r="B158" s="129" t="s">
        <v>500</v>
      </c>
      <c r="C158" s="130"/>
      <c r="D158" s="130"/>
      <c r="E158" s="130"/>
      <c r="F158" s="130"/>
      <c r="G158" s="127" t="str">
        <f>IF(J154,I152,"N/A")</f>
        <v>N/A</v>
      </c>
      <c r="H158" s="127" t="b">
        <f>IF(AND(G158&gt;$E$155,G158&lt;$C$155),TRUE,IF($J$154,FALSE,TRUE))</f>
        <v>1</v>
      </c>
      <c r="I158" s="127">
        <f>IF($J$154,I150,I151)</f>
        <v>32768</v>
      </c>
      <c r="J158" s="127" t="b">
        <f>IF(AND(I158&gt;$J$155,I158&lt;$H$155,(IF(AND(J154,I151&gt;$H$155,J151&gt;$H$155),TRUE,(IF(AND(H151&gt;$H$155,J151&gt;$H$155),TRUE,FALSE))))),TRUE,FALSE)</f>
        <v>1</v>
      </c>
      <c r="L158" s="167">
        <v>0</v>
      </c>
      <c r="M158" s="167">
        <v>0</v>
      </c>
    </row>
    <row r="159" spans="2:30" x14ac:dyDescent="0.3">
      <c r="B159" s="129" t="s">
        <v>501</v>
      </c>
      <c r="C159" s="130"/>
      <c r="D159" s="130"/>
      <c r="E159" s="130"/>
      <c r="F159" s="130"/>
      <c r="G159" s="127">
        <f>J150</f>
        <v>58000</v>
      </c>
      <c r="H159" s="127" t="b">
        <f>IF(AND(G159&gt;$E$155,G159&lt;$C$155),TRUE,FALSE)</f>
        <v>1</v>
      </c>
      <c r="I159" s="127">
        <f>J152</f>
        <v>32768</v>
      </c>
      <c r="J159" s="127" t="b">
        <f t="shared" ref="J159" si="40">IF(AND(I159&gt;$J$155,I159&lt;$H$155),TRUE,FALSE)</f>
        <v>1</v>
      </c>
      <c r="L159" s="167">
        <v>0</v>
      </c>
      <c r="M159" s="167">
        <v>0</v>
      </c>
    </row>
    <row r="167" spans="2:20" x14ac:dyDescent="0.3">
      <c r="K167" s="356" t="s">
        <v>561</v>
      </c>
      <c r="R167" s="356" t="s">
        <v>592</v>
      </c>
      <c r="S167" s="356" t="s">
        <v>411</v>
      </c>
    </row>
    <row r="168" spans="2:20" x14ac:dyDescent="0.3">
      <c r="B168" s="495" t="s">
        <v>556</v>
      </c>
      <c r="C168" s="496"/>
      <c r="D168" s="496"/>
      <c r="E168" s="496"/>
      <c r="F168" s="496"/>
      <c r="G168" s="496"/>
      <c r="H168" s="496"/>
      <c r="I168" s="496"/>
      <c r="J168" s="497"/>
      <c r="K168" s="212" t="s">
        <v>557</v>
      </c>
      <c r="L168" s="212" t="s">
        <v>558</v>
      </c>
      <c r="M168" s="212" t="s">
        <v>199</v>
      </c>
      <c r="N168" s="212" t="s">
        <v>200</v>
      </c>
      <c r="O168" s="188" t="s">
        <v>587</v>
      </c>
      <c r="P168" s="189">
        <v>3</v>
      </c>
      <c r="Q168" s="457" t="s">
        <v>646</v>
      </c>
      <c r="R168" s="212">
        <v>8000</v>
      </c>
      <c r="S168" s="212">
        <v>15000</v>
      </c>
      <c r="T168" s="356" t="s">
        <v>583</v>
      </c>
    </row>
    <row r="169" spans="2:20" x14ac:dyDescent="0.3">
      <c r="B169" s="120" t="s">
        <v>482</v>
      </c>
      <c r="C169" s="121"/>
      <c r="D169" s="121"/>
      <c r="E169" s="121"/>
      <c r="F169" s="121"/>
      <c r="G169" s="121"/>
      <c r="H169" s="121"/>
      <c r="I169" s="122"/>
      <c r="J169" s="224">
        <v>0</v>
      </c>
      <c r="K169" s="224"/>
      <c r="L169" s="224">
        <v>0</v>
      </c>
      <c r="M169" s="345" t="e">
        <f>E137</f>
        <v>#DIV/0!</v>
      </c>
      <c r="N169" s="345" t="e">
        <f>G137</f>
        <v>#DIV/0!</v>
      </c>
      <c r="O169" s="345"/>
      <c r="P169" s="160" t="s">
        <v>586</v>
      </c>
      <c r="Q169" s="457"/>
      <c r="R169" s="160" t="s">
        <v>567</v>
      </c>
      <c r="S169" s="160" t="s">
        <v>567</v>
      </c>
    </row>
    <row r="170" spans="2:20" x14ac:dyDescent="0.3">
      <c r="L170" s="167" t="s">
        <v>413</v>
      </c>
      <c r="P170" s="166" t="s">
        <v>413</v>
      </c>
      <c r="Q170" s="166" t="s">
        <v>413</v>
      </c>
      <c r="R170" s="166" t="s">
        <v>413</v>
      </c>
      <c r="S170" s="166" t="s">
        <v>413</v>
      </c>
    </row>
    <row r="171" spans="2:20" x14ac:dyDescent="0.3">
      <c r="L171" s="77">
        <f>IF(L64=0,IF(J169&lt;H63,'FTS-Initialization'!$N$89,IF(J169&gt;J63,'FTS-Initialization'!$N$90,0)),L64)</f>
        <v>52</v>
      </c>
      <c r="P171" s="166">
        <f>IF(O169&gt;P168,0,'FTS-Initialization'!$N$89)</f>
        <v>52</v>
      </c>
      <c r="Q171" s="166">
        <f>IF(J56=20000,R171,MAX(R171,L67))</f>
        <v>63</v>
      </c>
      <c r="R171" s="166">
        <f>IF(AND((L169-K169)&gt;R168,(L169-K169)&lt;S168),0,'FTS-Initialization'!$N$80)</f>
        <v>43</v>
      </c>
      <c r="S171" s="281"/>
    </row>
    <row r="177" spans="2:11" x14ac:dyDescent="0.3">
      <c r="B177" s="439" t="s">
        <v>781</v>
      </c>
      <c r="C177" s="440"/>
      <c r="D177" s="440"/>
      <c r="E177" s="440"/>
      <c r="F177" s="440"/>
      <c r="G177" s="440"/>
      <c r="H177" s="440"/>
      <c r="I177" s="440"/>
      <c r="J177" s="440"/>
    </row>
    <row r="178" spans="2:11" x14ac:dyDescent="0.3">
      <c r="B178" s="346" t="s">
        <v>222</v>
      </c>
      <c r="C178" s="346" t="s">
        <v>779</v>
      </c>
      <c r="D178" s="346" t="s">
        <v>223</v>
      </c>
      <c r="E178" s="346" t="s">
        <v>224</v>
      </c>
      <c r="F178" s="346" t="s">
        <v>225</v>
      </c>
      <c r="G178" s="346" t="s">
        <v>226</v>
      </c>
      <c r="H178" s="346" t="s">
        <v>227</v>
      </c>
      <c r="I178" s="346" t="s">
        <v>437</v>
      </c>
      <c r="J178" s="346" t="s">
        <v>438</v>
      </c>
    </row>
    <row r="179" spans="2:11" x14ac:dyDescent="0.3">
      <c r="B179" s="23">
        <f>L165</f>
        <v>0</v>
      </c>
      <c r="C179" s="325">
        <v>0</v>
      </c>
      <c r="D179" s="325">
        <v>0</v>
      </c>
      <c r="E179" s="325">
        <v>0</v>
      </c>
      <c r="F179" s="325">
        <v>0</v>
      </c>
      <c r="G179" s="325">
        <v>0</v>
      </c>
      <c r="H179" s="325">
        <v>0</v>
      </c>
      <c r="I179" s="325">
        <v>0</v>
      </c>
      <c r="J179" s="325">
        <v>0</v>
      </c>
    </row>
    <row r="180" spans="2:11" x14ac:dyDescent="0.3">
      <c r="B180" s="23">
        <v>10</v>
      </c>
      <c r="C180" s="325">
        <f>IF((C198-C$189)&gt;0,(C198-C$189),0)</f>
        <v>0</v>
      </c>
      <c r="D180" s="325">
        <f>IF((D198-D$189)&gt;0,(D198-D$189),0)</f>
        <v>0</v>
      </c>
      <c r="E180" s="325">
        <f t="shared" ref="E180:H180" si="41">IF((E198-E$189)&gt;0,(E198-E$189),0)</f>
        <v>0</v>
      </c>
      <c r="F180" s="325">
        <f t="shared" si="41"/>
        <v>0</v>
      </c>
      <c r="G180" s="325">
        <f t="shared" si="41"/>
        <v>0</v>
      </c>
      <c r="H180" s="325">
        <f t="shared" si="41"/>
        <v>0</v>
      </c>
      <c r="I180" s="325">
        <f t="shared" ref="I180:I184" si="42">SUM(C180:E180)</f>
        <v>0</v>
      </c>
      <c r="J180" s="325">
        <f t="shared" ref="J180:J184" si="43">SUM(F180:H180)</f>
        <v>0</v>
      </c>
    </row>
    <row r="181" spans="2:11" x14ac:dyDescent="0.3">
      <c r="B181" s="23">
        <v>20</v>
      </c>
      <c r="C181" s="325">
        <f>IF((C199-C$189)&gt;0,(C199-C$189),0)</f>
        <v>0</v>
      </c>
      <c r="D181" s="325">
        <f t="shared" ref="D181:H184" si="44">IF((D199-D$189)&gt;0,(D199-D$189),0)</f>
        <v>0</v>
      </c>
      <c r="E181" s="325">
        <f t="shared" si="44"/>
        <v>0</v>
      </c>
      <c r="F181" s="325">
        <f t="shared" si="44"/>
        <v>0</v>
      </c>
      <c r="G181" s="325">
        <f t="shared" si="44"/>
        <v>0</v>
      </c>
      <c r="H181" s="325">
        <f t="shared" si="44"/>
        <v>0</v>
      </c>
      <c r="I181" s="325">
        <f t="shared" si="42"/>
        <v>0</v>
      </c>
      <c r="J181" s="325">
        <f t="shared" si="43"/>
        <v>0</v>
      </c>
    </row>
    <row r="182" spans="2:11" x14ac:dyDescent="0.3">
      <c r="B182" s="23">
        <v>40</v>
      </c>
      <c r="C182" s="325">
        <f t="shared" ref="C182:C184" si="45">IF((C200-C$189)&gt;0,(C200-C$189),0)</f>
        <v>0</v>
      </c>
      <c r="D182" s="325">
        <f t="shared" si="44"/>
        <v>0</v>
      </c>
      <c r="E182" s="325">
        <f t="shared" si="44"/>
        <v>0</v>
      </c>
      <c r="F182" s="325">
        <f t="shared" si="44"/>
        <v>0</v>
      </c>
      <c r="G182" s="325">
        <f t="shared" si="44"/>
        <v>0</v>
      </c>
      <c r="H182" s="325">
        <f t="shared" si="44"/>
        <v>0</v>
      </c>
      <c r="I182" s="325">
        <f t="shared" si="42"/>
        <v>0</v>
      </c>
      <c r="J182" s="325">
        <f t="shared" si="43"/>
        <v>0</v>
      </c>
    </row>
    <row r="183" spans="2:11" x14ac:dyDescent="0.3">
      <c r="B183" s="23">
        <v>60</v>
      </c>
      <c r="C183" s="325">
        <f t="shared" si="45"/>
        <v>0</v>
      </c>
      <c r="D183" s="325">
        <f t="shared" si="44"/>
        <v>0</v>
      </c>
      <c r="E183" s="325">
        <f t="shared" si="44"/>
        <v>0</v>
      </c>
      <c r="F183" s="325">
        <f t="shared" si="44"/>
        <v>0</v>
      </c>
      <c r="G183" s="325">
        <f t="shared" si="44"/>
        <v>0</v>
      </c>
      <c r="H183" s="325">
        <f t="shared" si="44"/>
        <v>0</v>
      </c>
      <c r="I183" s="325">
        <f t="shared" si="42"/>
        <v>0</v>
      </c>
      <c r="J183" s="325">
        <f t="shared" si="43"/>
        <v>0</v>
      </c>
    </row>
    <row r="184" spans="2:11" x14ac:dyDescent="0.3">
      <c r="B184" s="23">
        <v>80</v>
      </c>
      <c r="C184" s="325">
        <f t="shared" si="45"/>
        <v>0</v>
      </c>
      <c r="D184" s="325">
        <f t="shared" si="44"/>
        <v>0</v>
      </c>
      <c r="E184" s="325">
        <f t="shared" si="44"/>
        <v>0</v>
      </c>
      <c r="F184" s="325">
        <f t="shared" si="44"/>
        <v>0</v>
      </c>
      <c r="G184" s="325">
        <f t="shared" si="44"/>
        <v>0</v>
      </c>
      <c r="H184" s="325">
        <f t="shared" si="44"/>
        <v>0</v>
      </c>
      <c r="I184" s="325">
        <f t="shared" si="42"/>
        <v>0</v>
      </c>
      <c r="J184" s="325">
        <f t="shared" si="43"/>
        <v>0</v>
      </c>
    </row>
    <row r="187" spans="2:11" x14ac:dyDescent="0.3">
      <c r="B187" s="439" t="s">
        <v>782</v>
      </c>
      <c r="C187" s="440"/>
      <c r="D187" s="440"/>
      <c r="E187" s="440"/>
      <c r="F187" s="440"/>
      <c r="G187" s="440"/>
      <c r="H187" s="440"/>
      <c r="I187" s="440"/>
      <c r="J187" s="440"/>
      <c r="K187" s="441"/>
    </row>
    <row r="188" spans="2:11" x14ac:dyDescent="0.3">
      <c r="B188" s="346" t="s">
        <v>222</v>
      </c>
      <c r="C188" s="346" t="s">
        <v>779</v>
      </c>
      <c r="D188" s="346" t="s">
        <v>223</v>
      </c>
      <c r="E188" s="346" t="s">
        <v>224</v>
      </c>
      <c r="F188" s="346" t="s">
        <v>225</v>
      </c>
      <c r="G188" s="346" t="s">
        <v>226</v>
      </c>
      <c r="H188" s="346" t="s">
        <v>227</v>
      </c>
      <c r="I188" s="346" t="s">
        <v>777</v>
      </c>
      <c r="J188" s="346" t="s">
        <v>778</v>
      </c>
      <c r="K188" s="346" t="s">
        <v>230</v>
      </c>
    </row>
    <row r="189" spans="2:11" x14ac:dyDescent="0.3">
      <c r="B189" s="23">
        <v>0</v>
      </c>
      <c r="C189" s="23"/>
      <c r="D189" s="23"/>
      <c r="E189" s="23"/>
      <c r="F189" s="23"/>
      <c r="G189" s="23"/>
      <c r="H189" s="23"/>
      <c r="I189" s="23"/>
      <c r="J189" s="23"/>
      <c r="K189" s="23"/>
    </row>
    <row r="190" spans="2:11" x14ac:dyDescent="0.3">
      <c r="B190" s="23">
        <v>0</v>
      </c>
      <c r="C190" s="23"/>
      <c r="D190" s="23"/>
      <c r="E190" s="23"/>
      <c r="F190" s="23"/>
      <c r="G190" s="23"/>
      <c r="H190" s="23"/>
      <c r="I190" s="23"/>
      <c r="J190" s="23"/>
      <c r="K190" s="23"/>
    </row>
    <row r="191" spans="2:11" x14ac:dyDescent="0.3">
      <c r="B191" s="23">
        <v>0</v>
      </c>
      <c r="C191" s="23"/>
      <c r="D191" s="23"/>
      <c r="E191" s="23"/>
      <c r="F191" s="23"/>
      <c r="G191" s="23"/>
      <c r="H191" s="23"/>
      <c r="I191" s="23"/>
      <c r="J191" s="23"/>
      <c r="K191" s="23"/>
    </row>
    <row r="192" spans="2:11" x14ac:dyDescent="0.3">
      <c r="B192" s="23">
        <v>0</v>
      </c>
      <c r="C192" s="23"/>
      <c r="D192" s="23"/>
      <c r="E192" s="23"/>
      <c r="F192" s="23"/>
      <c r="G192" s="23"/>
      <c r="H192" s="23"/>
      <c r="I192" s="23"/>
      <c r="J192" s="23"/>
      <c r="K192" s="23"/>
    </row>
    <row r="193" spans="2:22" x14ac:dyDescent="0.3">
      <c r="B193" s="23">
        <v>0</v>
      </c>
      <c r="C193" s="23"/>
      <c r="D193" s="23"/>
      <c r="E193" s="23"/>
      <c r="F193" s="23"/>
      <c r="G193" s="23"/>
      <c r="H193" s="23"/>
      <c r="I193" s="23"/>
      <c r="J193" s="23"/>
      <c r="K193" s="23"/>
    </row>
    <row r="195" spans="2:22" x14ac:dyDescent="0.3">
      <c r="B195" s="439" t="s">
        <v>783</v>
      </c>
      <c r="C195" s="440"/>
      <c r="D195" s="440"/>
      <c r="E195" s="440"/>
      <c r="F195" s="440"/>
      <c r="G195" s="440"/>
      <c r="H195" s="440"/>
      <c r="I195" s="440"/>
      <c r="J195" s="440"/>
      <c r="K195" s="441"/>
      <c r="M195" s="459" t="s">
        <v>705</v>
      </c>
      <c r="N195" s="459"/>
      <c r="O195" s="459"/>
    </row>
    <row r="196" spans="2:22" x14ac:dyDescent="0.3">
      <c r="B196" s="346" t="s">
        <v>222</v>
      </c>
      <c r="C196" s="346" t="s">
        <v>779</v>
      </c>
      <c r="D196" s="346" t="s">
        <v>223</v>
      </c>
      <c r="E196" s="346" t="s">
        <v>224</v>
      </c>
      <c r="F196" s="346" t="s">
        <v>225</v>
      </c>
      <c r="G196" s="346" t="s">
        <v>226</v>
      </c>
      <c r="H196" s="346" t="s">
        <v>227</v>
      </c>
      <c r="I196" s="346" t="s">
        <v>777</v>
      </c>
      <c r="J196" s="346" t="s">
        <v>778</v>
      </c>
      <c r="K196" s="346" t="s">
        <v>230</v>
      </c>
      <c r="M196" s="289" t="s">
        <v>697</v>
      </c>
      <c r="N196" s="289">
        <v>0</v>
      </c>
      <c r="O196" s="289">
        <v>0</v>
      </c>
    </row>
    <row r="197" spans="2:22" x14ac:dyDescent="0.3">
      <c r="B197" s="23">
        <v>0</v>
      </c>
      <c r="C197" s="325"/>
      <c r="D197" s="325"/>
      <c r="E197" s="325"/>
      <c r="F197" s="325"/>
      <c r="G197" s="325"/>
      <c r="H197" s="325"/>
      <c r="I197" s="325"/>
      <c r="J197" s="325"/>
      <c r="K197" s="325"/>
      <c r="M197" s="289" t="s">
        <v>698</v>
      </c>
      <c r="N197" s="289">
        <v>125</v>
      </c>
      <c r="O197" s="289">
        <v>2.5</v>
      </c>
      <c r="U197" s="291"/>
      <c r="V197" s="199"/>
    </row>
    <row r="198" spans="2:22" x14ac:dyDescent="0.3">
      <c r="B198" s="23">
        <v>10</v>
      </c>
      <c r="C198" s="325"/>
      <c r="D198" s="325"/>
      <c r="E198" s="325"/>
      <c r="F198" s="325"/>
      <c r="G198" s="325"/>
      <c r="H198" s="325"/>
      <c r="I198" s="325"/>
      <c r="J198" s="325"/>
      <c r="K198" s="325"/>
      <c r="M198" s="289" t="s">
        <v>699</v>
      </c>
      <c r="N198" s="289">
        <v>250</v>
      </c>
      <c r="O198" s="289">
        <v>5</v>
      </c>
    </row>
    <row r="199" spans="2:22" x14ac:dyDescent="0.3">
      <c r="B199" s="23">
        <v>20</v>
      </c>
      <c r="C199" s="325"/>
      <c r="D199" s="325"/>
      <c r="E199" s="325"/>
      <c r="F199" s="325"/>
      <c r="G199" s="325"/>
      <c r="H199" s="325"/>
      <c r="I199" s="325"/>
      <c r="J199" s="325"/>
      <c r="K199" s="325"/>
      <c r="M199" s="289" t="s">
        <v>700</v>
      </c>
      <c r="N199" s="289">
        <v>500</v>
      </c>
      <c r="O199" s="289">
        <v>10</v>
      </c>
    </row>
    <row r="200" spans="2:22" x14ac:dyDescent="0.3">
      <c r="B200" s="23">
        <v>40</v>
      </c>
      <c r="C200" s="325"/>
      <c r="D200" s="325"/>
      <c r="E200" s="325"/>
      <c r="F200" s="325"/>
      <c r="G200" s="325"/>
      <c r="H200" s="325"/>
      <c r="I200" s="325"/>
      <c r="J200" s="325"/>
      <c r="K200" s="325"/>
      <c r="M200" s="290" t="s">
        <v>701</v>
      </c>
      <c r="N200" s="290">
        <v>1000</v>
      </c>
      <c r="O200" s="290">
        <v>20</v>
      </c>
    </row>
    <row r="201" spans="2:22" x14ac:dyDescent="0.3">
      <c r="B201" s="23">
        <v>60</v>
      </c>
      <c r="C201" s="231"/>
      <c r="D201" s="231"/>
      <c r="E201" s="231"/>
      <c r="F201" s="231"/>
      <c r="G201" s="231"/>
      <c r="H201" s="231"/>
      <c r="I201" s="231"/>
      <c r="J201" s="231"/>
      <c r="K201" s="231"/>
      <c r="M201" s="290" t="s">
        <v>702</v>
      </c>
      <c r="N201" s="290">
        <v>2000</v>
      </c>
      <c r="O201" s="290">
        <v>40</v>
      </c>
    </row>
    <row r="202" spans="2:22" x14ac:dyDescent="0.3">
      <c r="B202" s="23">
        <v>80</v>
      </c>
      <c r="C202" s="231"/>
      <c r="D202" s="231"/>
      <c r="E202" s="231"/>
      <c r="F202" s="231"/>
      <c r="G202" s="231"/>
      <c r="H202" s="231"/>
      <c r="I202" s="231"/>
      <c r="J202" s="231"/>
      <c r="K202" s="231"/>
      <c r="M202" s="290" t="s">
        <v>703</v>
      </c>
      <c r="N202" s="290">
        <v>4000</v>
      </c>
      <c r="O202" s="290">
        <v>80</v>
      </c>
    </row>
    <row r="203" spans="2:22" x14ac:dyDescent="0.3">
      <c r="M203" s="290" t="s">
        <v>704</v>
      </c>
      <c r="N203" s="290">
        <v>8000</v>
      </c>
      <c r="O203" s="290">
        <v>160</v>
      </c>
    </row>
    <row r="205" spans="2:22" x14ac:dyDescent="0.3">
      <c r="B205" s="458" t="s">
        <v>678</v>
      </c>
      <c r="C205" s="458"/>
      <c r="D205" s="458"/>
      <c r="E205" s="458"/>
      <c r="F205" s="458"/>
      <c r="G205" s="458"/>
      <c r="H205" s="458"/>
      <c r="I205" s="458"/>
      <c r="J205" s="458"/>
    </row>
    <row r="206" spans="2:22" x14ac:dyDescent="0.3">
      <c r="B206" s="346" t="s">
        <v>222</v>
      </c>
      <c r="C206" s="346" t="s">
        <v>779</v>
      </c>
      <c r="D206" s="346" t="s">
        <v>223</v>
      </c>
      <c r="E206" s="346" t="s">
        <v>224</v>
      </c>
      <c r="F206" s="346" t="s">
        <v>225</v>
      </c>
      <c r="G206" s="346" t="s">
        <v>226</v>
      </c>
      <c r="H206" s="346" t="s">
        <v>227</v>
      </c>
      <c r="I206" s="346" t="s">
        <v>437</v>
      </c>
      <c r="J206" s="346" t="s">
        <v>438</v>
      </c>
      <c r="L206" s="167" t="s">
        <v>413</v>
      </c>
      <c r="M206" s="167" t="s">
        <v>413</v>
      </c>
      <c r="O206" s="279" t="s">
        <v>675</v>
      </c>
    </row>
    <row r="207" spans="2:22" x14ac:dyDescent="0.3">
      <c r="B207" s="351">
        <f t="shared" ref="B207:B212" si="46">B197</f>
        <v>0</v>
      </c>
      <c r="C207" s="217">
        <v>0</v>
      </c>
      <c r="D207" s="217">
        <v>0</v>
      </c>
      <c r="E207" s="217">
        <v>0</v>
      </c>
      <c r="F207" s="217">
        <v>0</v>
      </c>
      <c r="G207" s="217">
        <v>0</v>
      </c>
      <c r="H207" s="217">
        <v>0</v>
      </c>
      <c r="I207" s="217">
        <f t="shared" ref="I207:I212" si="47">SUM(C207:E207)</f>
        <v>0</v>
      </c>
      <c r="J207" s="217">
        <f t="shared" ref="J207:J212" si="48">SUM(F207:H207)</f>
        <v>0</v>
      </c>
      <c r="L207" s="167" t="e">
        <f>IF(AND((C216&gt;-3.5),(D216&lt;3.5)),0,'FTS-Initialization'!N117)</f>
        <v>#DIV/0!</v>
      </c>
      <c r="M207" s="167" t="e">
        <f>IF(AND((E216&gt;-3.5),(F216&lt;3.5)),0,'FTS-Initialization'!N118)</f>
        <v>#DIV/0!</v>
      </c>
      <c r="O207" s="280" t="s">
        <v>677</v>
      </c>
    </row>
    <row r="208" spans="2:22" x14ac:dyDescent="0.3">
      <c r="B208" s="351">
        <f t="shared" si="46"/>
        <v>10</v>
      </c>
      <c r="C208" s="217" t="e">
        <f>C180*$F$71</f>
        <v>#DIV/0!</v>
      </c>
      <c r="D208" s="217" t="e">
        <f>D180*$F$71</f>
        <v>#DIV/0!</v>
      </c>
      <c r="E208" s="217" t="e">
        <f t="shared" ref="E208" si="49">E180*$F$71</f>
        <v>#DIV/0!</v>
      </c>
      <c r="F208" s="217" t="e">
        <f>F180*$G$71</f>
        <v>#DIV/0!</v>
      </c>
      <c r="G208" s="217" t="e">
        <f t="shared" ref="G208:H208" si="50">G180*$G$71</f>
        <v>#DIV/0!</v>
      </c>
      <c r="H208" s="217" t="e">
        <f t="shared" si="50"/>
        <v>#DIV/0!</v>
      </c>
      <c r="I208" s="217" t="e">
        <f t="shared" si="47"/>
        <v>#DIV/0!</v>
      </c>
      <c r="J208" s="217" t="e">
        <f t="shared" si="48"/>
        <v>#DIV/0!</v>
      </c>
      <c r="L208" s="167" t="e">
        <f>IF(AND((C216&gt;-7),(D216&lt;7)),0,'FTS-Initialization'!N128)</f>
        <v>#DIV/0!</v>
      </c>
      <c r="M208" s="167" t="e">
        <f>IF(AND((E216&gt;-7),(F216&lt;7)),0,'FTS-Initialization'!N129)</f>
        <v>#DIV/0!</v>
      </c>
    </row>
    <row r="209" spans="2:15" x14ac:dyDescent="0.3">
      <c r="B209" s="351">
        <f t="shared" si="46"/>
        <v>20</v>
      </c>
      <c r="C209" s="217" t="e">
        <f>C181*$F$71</f>
        <v>#DIV/0!</v>
      </c>
      <c r="D209" s="217" t="e">
        <f t="shared" ref="D209:E212" si="51">D181*$F$71</f>
        <v>#DIV/0!</v>
      </c>
      <c r="E209" s="217" t="e">
        <f t="shared" si="51"/>
        <v>#DIV/0!</v>
      </c>
      <c r="F209" s="217" t="e">
        <f t="shared" ref="F209:H212" si="52">F181*$G$71</f>
        <v>#DIV/0!</v>
      </c>
      <c r="G209" s="217" t="e">
        <f t="shared" si="52"/>
        <v>#DIV/0!</v>
      </c>
      <c r="H209" s="217" t="e">
        <f t="shared" si="52"/>
        <v>#DIV/0!</v>
      </c>
      <c r="I209" s="217" t="e">
        <f t="shared" si="47"/>
        <v>#DIV/0!</v>
      </c>
      <c r="J209" s="217" t="e">
        <f t="shared" si="48"/>
        <v>#DIV/0!</v>
      </c>
    </row>
    <row r="210" spans="2:15" x14ac:dyDescent="0.3">
      <c r="B210" s="351">
        <f t="shared" si="46"/>
        <v>40</v>
      </c>
      <c r="C210" s="217" t="e">
        <f t="shared" ref="C210:C212" si="53">C182*$F$71</f>
        <v>#DIV/0!</v>
      </c>
      <c r="D210" s="217" t="e">
        <f t="shared" si="51"/>
        <v>#DIV/0!</v>
      </c>
      <c r="E210" s="217" t="e">
        <f t="shared" si="51"/>
        <v>#DIV/0!</v>
      </c>
      <c r="F210" s="217" t="e">
        <f t="shared" si="52"/>
        <v>#DIV/0!</v>
      </c>
      <c r="G210" s="217" t="e">
        <f t="shared" si="52"/>
        <v>#DIV/0!</v>
      </c>
      <c r="H210" s="217" t="e">
        <f t="shared" si="52"/>
        <v>#DIV/0!</v>
      </c>
      <c r="I210" s="217" t="e">
        <f t="shared" si="47"/>
        <v>#DIV/0!</v>
      </c>
      <c r="J210" s="217" t="e">
        <f t="shared" si="48"/>
        <v>#DIV/0!</v>
      </c>
      <c r="O210" s="167" t="s">
        <v>413</v>
      </c>
    </row>
    <row r="211" spans="2:15" x14ac:dyDescent="0.3">
      <c r="B211" s="351">
        <f t="shared" si="46"/>
        <v>60</v>
      </c>
      <c r="C211" s="217" t="e">
        <f t="shared" si="53"/>
        <v>#DIV/0!</v>
      </c>
      <c r="D211" s="217" t="e">
        <f t="shared" si="51"/>
        <v>#DIV/0!</v>
      </c>
      <c r="E211" s="217" t="e">
        <f t="shared" si="51"/>
        <v>#DIV/0!</v>
      </c>
      <c r="F211" s="217" t="e">
        <f t="shared" si="52"/>
        <v>#DIV/0!</v>
      </c>
      <c r="G211" s="217" t="e">
        <f t="shared" si="52"/>
        <v>#DIV/0!</v>
      </c>
      <c r="H211" s="217" t="e">
        <f t="shared" si="52"/>
        <v>#DIV/0!</v>
      </c>
      <c r="I211" s="217" t="e">
        <f t="shared" si="47"/>
        <v>#DIV/0!</v>
      </c>
      <c r="J211" s="217" t="e">
        <f t="shared" si="48"/>
        <v>#DIV/0!</v>
      </c>
      <c r="O211" s="167" t="e">
        <f>IF((MAX(L157:M159,L64,L67,L83,L95,L207:M208,U86,V86,W86,X86,Y86,Z86))&gt;0,0,(IF(J215,0,'FTS-Initialization'!$N$127)))</f>
        <v>#DIV/0!</v>
      </c>
    </row>
    <row r="212" spans="2:15" x14ac:dyDescent="0.3">
      <c r="B212" s="351">
        <f t="shared" si="46"/>
        <v>80</v>
      </c>
      <c r="C212" s="217" t="e">
        <f t="shared" si="53"/>
        <v>#DIV/0!</v>
      </c>
      <c r="D212" s="217" t="e">
        <f t="shared" si="51"/>
        <v>#DIV/0!</v>
      </c>
      <c r="E212" s="217" t="e">
        <f t="shared" si="51"/>
        <v>#DIV/0!</v>
      </c>
      <c r="F212" s="217" t="e">
        <f t="shared" si="52"/>
        <v>#DIV/0!</v>
      </c>
      <c r="G212" s="217" t="e">
        <f t="shared" si="52"/>
        <v>#DIV/0!</v>
      </c>
      <c r="H212" s="217" t="e">
        <f t="shared" si="52"/>
        <v>#DIV/0!</v>
      </c>
      <c r="I212" s="217" t="e">
        <f t="shared" si="47"/>
        <v>#DIV/0!</v>
      </c>
      <c r="J212" s="217" t="e">
        <f t="shared" si="48"/>
        <v>#DIV/0!</v>
      </c>
    </row>
    <row r="213" spans="2:15" x14ac:dyDescent="0.3">
      <c r="B213" s="270"/>
      <c r="C213" s="270"/>
      <c r="D213" s="270"/>
      <c r="E213" s="270"/>
      <c r="F213" s="270"/>
      <c r="G213" s="270"/>
      <c r="H213" s="270"/>
      <c r="I213" s="270"/>
      <c r="J213" s="270"/>
    </row>
    <row r="214" spans="2:15" x14ac:dyDescent="0.3">
      <c r="B214" s="458" t="s">
        <v>796</v>
      </c>
      <c r="C214" s="458"/>
      <c r="D214" s="458"/>
      <c r="E214" s="458"/>
      <c r="F214" s="458"/>
      <c r="G214" s="458"/>
      <c r="H214" s="458"/>
      <c r="I214" s="274" t="s">
        <v>206</v>
      </c>
      <c r="J214" s="352">
        <v>3.5</v>
      </c>
    </row>
    <row r="215" spans="2:15" x14ac:dyDescent="0.3">
      <c r="B215" s="351" t="s">
        <v>454</v>
      </c>
      <c r="C215" s="351" t="s">
        <v>794</v>
      </c>
      <c r="D215" s="351" t="s">
        <v>793</v>
      </c>
      <c r="E215" s="351" t="s">
        <v>809</v>
      </c>
      <c r="F215" s="351" t="s">
        <v>810</v>
      </c>
      <c r="G215" s="273" t="s">
        <v>801</v>
      </c>
      <c r="H215" s="272">
        <v>1.7370000000000001</v>
      </c>
      <c r="I215" s="351" t="s">
        <v>406</v>
      </c>
      <c r="J215" s="351" t="e">
        <f>IF(MAX(C216:D221)&lt;=J214,TRUE, FALSE)</f>
        <v>#DIV/0!</v>
      </c>
    </row>
    <row r="216" spans="2:15" x14ac:dyDescent="0.3">
      <c r="B216" s="351" t="s">
        <v>795</v>
      </c>
      <c r="C216" s="217" t="e">
        <f>$T238-($H$215*$U238)</f>
        <v>#DIV/0!</v>
      </c>
      <c r="D216" s="217" t="e">
        <f>$T238+($H$215*$U238)</f>
        <v>#DIV/0!</v>
      </c>
      <c r="E216" s="217" t="e">
        <f>$X238-($H$215*$Y238)</f>
        <v>#DIV/0!</v>
      </c>
      <c r="F216" s="217" t="e">
        <f>$X238+($H$215*$Y238)</f>
        <v>#DIV/0!</v>
      </c>
    </row>
    <row r="217" spans="2:15" x14ac:dyDescent="0.3">
      <c r="B217" s="359"/>
      <c r="C217" s="359"/>
      <c r="D217" s="359"/>
      <c r="E217" s="359"/>
      <c r="F217" s="359"/>
      <c r="G217" s="359"/>
      <c r="H217" s="359"/>
      <c r="I217" s="359"/>
    </row>
    <row r="218" spans="2:15" x14ac:dyDescent="0.3">
      <c r="B218" s="359"/>
      <c r="C218" s="359"/>
      <c r="D218" s="359"/>
      <c r="E218" s="359"/>
      <c r="F218" s="359"/>
      <c r="G218" s="359"/>
      <c r="H218" s="359"/>
      <c r="I218" s="359"/>
    </row>
    <row r="219" spans="2:15" x14ac:dyDescent="0.3">
      <c r="B219" s="359"/>
      <c r="C219" s="359"/>
      <c r="D219" s="359"/>
      <c r="E219" s="359"/>
      <c r="F219" s="359"/>
      <c r="G219" s="359"/>
      <c r="H219" s="359"/>
      <c r="I219" s="359"/>
    </row>
    <row r="220" spans="2:15" x14ac:dyDescent="0.3">
      <c r="B220" s="359"/>
      <c r="C220" s="359"/>
      <c r="D220" s="359"/>
      <c r="E220" s="359"/>
      <c r="F220" s="359"/>
      <c r="G220" s="359"/>
      <c r="H220" s="359"/>
      <c r="I220" s="359"/>
    </row>
    <row r="221" spans="2:15" x14ac:dyDescent="0.3">
      <c r="B221" s="359"/>
      <c r="C221" s="359"/>
      <c r="D221" s="359"/>
      <c r="E221" s="359"/>
      <c r="F221" s="359"/>
      <c r="G221" s="359"/>
      <c r="H221" s="359"/>
      <c r="I221" s="359"/>
    </row>
    <row r="223" spans="2:15" x14ac:dyDescent="0.3">
      <c r="B223" s="270"/>
      <c r="C223" s="270"/>
      <c r="D223" s="270"/>
      <c r="E223" s="270"/>
      <c r="F223" s="270"/>
      <c r="G223" s="270"/>
      <c r="H223" s="270"/>
      <c r="I223" s="270"/>
      <c r="J223" s="270"/>
    </row>
    <row r="224" spans="2:15" x14ac:dyDescent="0.3">
      <c r="B224" s="270"/>
      <c r="C224" s="270"/>
      <c r="D224" s="270"/>
      <c r="E224" s="270"/>
      <c r="F224" s="270"/>
      <c r="G224" s="270"/>
      <c r="H224" s="270"/>
      <c r="I224" s="270"/>
      <c r="J224" s="270"/>
    </row>
    <row r="225" spans="2:25" x14ac:dyDescent="0.3">
      <c r="B225" s="270"/>
      <c r="C225" s="270"/>
      <c r="D225" s="270"/>
      <c r="E225" s="270"/>
      <c r="F225" s="270"/>
      <c r="G225" s="270"/>
      <c r="H225" s="270"/>
      <c r="I225" s="270"/>
      <c r="J225" s="270"/>
    </row>
    <row r="231" spans="2:25" x14ac:dyDescent="0.3">
      <c r="B231" s="451" t="s">
        <v>761</v>
      </c>
      <c r="C231" s="452"/>
      <c r="D231" s="452"/>
      <c r="E231" s="452"/>
      <c r="F231" s="452"/>
      <c r="G231" s="452"/>
      <c r="H231" s="452"/>
      <c r="I231" s="452"/>
      <c r="J231" s="452"/>
      <c r="K231" s="452"/>
      <c r="M231" s="451" t="s">
        <v>762</v>
      </c>
      <c r="N231" s="452"/>
      <c r="O231" s="452"/>
      <c r="P231" s="407" t="s">
        <v>763</v>
      </c>
      <c r="Q231" s="409"/>
      <c r="S231" s="451" t="s">
        <v>767</v>
      </c>
      <c r="T231" s="452"/>
      <c r="U231" s="452"/>
      <c r="W231" s="451" t="s">
        <v>768</v>
      </c>
      <c r="X231" s="452"/>
      <c r="Y231" s="452"/>
    </row>
    <row r="232" spans="2:25" x14ac:dyDescent="0.3">
      <c r="B232" s="230" t="s">
        <v>222</v>
      </c>
      <c r="C232" s="230" t="s">
        <v>779</v>
      </c>
      <c r="D232" s="230" t="s">
        <v>223</v>
      </c>
      <c r="E232" s="230" t="s">
        <v>224</v>
      </c>
      <c r="F232" s="230" t="s">
        <v>225</v>
      </c>
      <c r="G232" s="230" t="s">
        <v>226</v>
      </c>
      <c r="H232" s="230" t="s">
        <v>227</v>
      </c>
      <c r="I232" s="230" t="s">
        <v>789</v>
      </c>
      <c r="J232" s="230" t="s">
        <v>790</v>
      </c>
      <c r="K232" s="230" t="s">
        <v>230</v>
      </c>
      <c r="M232" s="230" t="s">
        <v>764</v>
      </c>
      <c r="N232" s="230" t="s">
        <v>437</v>
      </c>
      <c r="O232" s="230" t="s">
        <v>438</v>
      </c>
      <c r="P232" s="226" t="s">
        <v>437</v>
      </c>
      <c r="Q232" s="226" t="s">
        <v>438</v>
      </c>
      <c r="S232" s="230" t="s">
        <v>764</v>
      </c>
      <c r="T232" s="230" t="s">
        <v>765</v>
      </c>
      <c r="U232" s="230" t="s">
        <v>766</v>
      </c>
      <c r="W232" s="230" t="s">
        <v>764</v>
      </c>
      <c r="X232" s="230" t="s">
        <v>765</v>
      </c>
      <c r="Y232" s="230" t="s">
        <v>766</v>
      </c>
    </row>
    <row r="233" spans="2:25" x14ac:dyDescent="0.3">
      <c r="B233" s="333">
        <v>0</v>
      </c>
      <c r="C233" s="333"/>
      <c r="D233" s="333"/>
      <c r="E233" s="333"/>
      <c r="F233" s="333"/>
      <c r="G233" s="333"/>
      <c r="H233" s="333"/>
      <c r="I233" s="333"/>
      <c r="J233" s="333"/>
      <c r="K233" s="333"/>
      <c r="M233" s="333">
        <f t="shared" ref="M233:M296" si="54">B233/2</f>
        <v>0</v>
      </c>
      <c r="N233" s="333" t="e">
        <f t="shared" ref="N233:N264" si="55">(SUM(C233:E233)-SUM($C$189:$E$189))*$F$71</f>
        <v>#DIV/0!</v>
      </c>
      <c r="O233" s="333" t="e">
        <f t="shared" ref="O233:O296" si="56">(SUM(F233:H233)-SUM($F$189:$H$189))*$G$71</f>
        <v>#DIV/0!</v>
      </c>
      <c r="P233" s="334" t="e">
        <f>N233-M233</f>
        <v>#DIV/0!</v>
      </c>
      <c r="Q233" s="334" t="e">
        <f>O233-M233</f>
        <v>#DIV/0!</v>
      </c>
      <c r="S233" s="333">
        <f>AVERAGE(M253:M272,M377:M396,M502:M521)</f>
        <v>5</v>
      </c>
      <c r="T233" s="333" t="e">
        <f>AVERAGE(P253:P272,P377:P396,P502:P521,P627:P646,P752:P771)</f>
        <v>#DIV/0!</v>
      </c>
      <c r="U233" s="333" t="e">
        <f>_xlfn.STDEV.P(P253:P272,P377:P396,P502:P521,P627:P646,P752:P771)</f>
        <v>#DIV/0!</v>
      </c>
      <c r="W233" s="333">
        <f>AVERAGE(M253:M272,M377:M396,M502:M521)</f>
        <v>5</v>
      </c>
      <c r="X233" s="333" t="e">
        <f>AVERAGE(Q253:Q272,Q377:Q396,Q502:Q521,Q627:Q646,Q752:Q771)</f>
        <v>#DIV/0!</v>
      </c>
      <c r="Y233" s="333" t="e">
        <f>_xlfn.STDEV.P(Q253:Q272,Q377:Q396,Q502:Q521,Q627:Q646,Q752:Q771)</f>
        <v>#DIV/0!</v>
      </c>
    </row>
    <row r="234" spans="2:25" x14ac:dyDescent="0.3">
      <c r="B234" s="333">
        <v>0</v>
      </c>
      <c r="C234" s="333"/>
      <c r="D234" s="333"/>
      <c r="E234" s="333"/>
      <c r="F234" s="333"/>
      <c r="G234" s="333"/>
      <c r="H234" s="333"/>
      <c r="I234" s="333"/>
      <c r="J234" s="333"/>
      <c r="K234" s="333"/>
      <c r="M234" s="333">
        <f t="shared" si="54"/>
        <v>0</v>
      </c>
      <c r="N234" s="333" t="e">
        <f t="shared" si="55"/>
        <v>#DIV/0!</v>
      </c>
      <c r="O234" s="333" t="e">
        <f t="shared" si="56"/>
        <v>#DIV/0!</v>
      </c>
      <c r="P234" s="334" t="e">
        <f>N234-M234</f>
        <v>#DIV/0!</v>
      </c>
      <c r="Q234" s="334" t="e">
        <f>O234-M234</f>
        <v>#DIV/0!</v>
      </c>
      <c r="S234" s="333">
        <f>AVERAGE(M273:M292,M397:M416,M522:M541)</f>
        <v>10</v>
      </c>
      <c r="T234" s="333" t="e">
        <f>AVERAGE(P273:P292,P397:P416,P522:P541,P647:P666,P772:P791)</f>
        <v>#DIV/0!</v>
      </c>
      <c r="U234" s="333" t="e">
        <f>_xlfn.STDEV.P(P273:P292,P397:P416,P522:P541,P647:P666,P772:P791)</f>
        <v>#DIV/0!</v>
      </c>
      <c r="W234" s="333">
        <f>AVERAGE(M273:M292,M397:M416,M522:M541)</f>
        <v>10</v>
      </c>
      <c r="X234" s="333" t="e">
        <f>AVERAGE(Q273:Q292,Q397:Q416,Q522:Q541,Q647:Q666,Q772:Q791)</f>
        <v>#DIV/0!</v>
      </c>
      <c r="Y234" s="333" t="e">
        <f>_xlfn.STDEV.P(Q273:Q292,Q397:Q416,Q522:Q541,Q647:Q666,Q772:Q791)</f>
        <v>#DIV/0!</v>
      </c>
    </row>
    <row r="235" spans="2:25" x14ac:dyDescent="0.3">
      <c r="B235" s="333">
        <v>0</v>
      </c>
      <c r="C235" s="333"/>
      <c r="D235" s="333"/>
      <c r="E235" s="333"/>
      <c r="F235" s="333"/>
      <c r="G235" s="333"/>
      <c r="H235" s="333"/>
      <c r="I235" s="333"/>
      <c r="J235" s="333"/>
      <c r="K235" s="333"/>
      <c r="M235" s="333">
        <f t="shared" si="54"/>
        <v>0</v>
      </c>
      <c r="N235" s="333" t="e">
        <f t="shared" si="55"/>
        <v>#DIV/0!</v>
      </c>
      <c r="O235" s="333" t="e">
        <f t="shared" si="56"/>
        <v>#DIV/0!</v>
      </c>
      <c r="P235" s="334" t="e">
        <f t="shared" ref="P235:P298" si="57">N235-M235</f>
        <v>#DIV/0!</v>
      </c>
      <c r="Q235" s="334" t="e">
        <f t="shared" ref="Q235:Q298" si="58">O235-M235</f>
        <v>#DIV/0!</v>
      </c>
      <c r="S235" s="333">
        <f>AVERAGE(M293:M312,M417:M436,M542:M561)</f>
        <v>20</v>
      </c>
      <c r="T235" s="333" t="e">
        <f>AVERAGE(P293:P312,P417:P436,P542:P561,P667:P686,P792:P811)</f>
        <v>#DIV/0!</v>
      </c>
      <c r="U235" s="333" t="e">
        <f>_xlfn.STDEV.P(P293:P312,P417:P436,P542:P561,P667:P686,P792:P811)</f>
        <v>#DIV/0!</v>
      </c>
      <c r="W235" s="333">
        <f>AVERAGE(M293:M312,M417:M436,M542:M561)</f>
        <v>20</v>
      </c>
      <c r="X235" s="333" t="e">
        <f>AVERAGE(Q293:Q312,Q417:Q436,Q542:Q561,Q667:Q686,Q792:Q811)</f>
        <v>#DIV/0!</v>
      </c>
      <c r="Y235" s="333" t="e">
        <f>_xlfn.STDEV.P(Q293:Q312,Q417:Q436,Q542:Q561,Q667:Q686,Q792:Q811)</f>
        <v>#DIV/0!</v>
      </c>
    </row>
    <row r="236" spans="2:25" x14ac:dyDescent="0.3">
      <c r="B236" s="333">
        <v>0</v>
      </c>
      <c r="C236" s="333"/>
      <c r="D236" s="333"/>
      <c r="E236" s="333"/>
      <c r="F236" s="333"/>
      <c r="G236" s="333"/>
      <c r="H236" s="333"/>
      <c r="I236" s="333"/>
      <c r="J236" s="333"/>
      <c r="K236" s="333"/>
      <c r="M236" s="333">
        <f t="shared" si="54"/>
        <v>0</v>
      </c>
      <c r="N236" s="333" t="e">
        <f t="shared" si="55"/>
        <v>#DIV/0!</v>
      </c>
      <c r="O236" s="333" t="e">
        <f t="shared" si="56"/>
        <v>#DIV/0!</v>
      </c>
      <c r="P236" s="334" t="e">
        <f t="shared" si="57"/>
        <v>#DIV/0!</v>
      </c>
      <c r="Q236" s="334" t="e">
        <f t="shared" si="58"/>
        <v>#DIV/0!</v>
      </c>
      <c r="S236" s="333">
        <f>AVERAGE(M313:M332,M437:M456,M562:M581)</f>
        <v>30</v>
      </c>
      <c r="T236" s="333" t="e">
        <f>AVERAGE(P313:P332,P437:P456,P562:P581,P687:P706,P812:P831)</f>
        <v>#DIV/0!</v>
      </c>
      <c r="U236" s="333" t="e">
        <f>_xlfn.STDEV.P(P313:P332,P437:P456,P562:P581,P687:P706,P812:P831)</f>
        <v>#DIV/0!</v>
      </c>
      <c r="W236" s="333">
        <f>AVERAGE(M313:M332,M437:M456,M562:M581)</f>
        <v>30</v>
      </c>
      <c r="X236" s="333" t="e">
        <f>AVERAGE(Q313:Q332,Q437:Q456,Q562:Q581,Q687:Q706,Q812:Q831)</f>
        <v>#DIV/0!</v>
      </c>
      <c r="Y236" s="333" t="e">
        <f>_xlfn.STDEV.P(Q313:Q332,Q437:Q456,Q562:Q581,Q687:Q706,Q812:Q831)</f>
        <v>#DIV/0!</v>
      </c>
    </row>
    <row r="237" spans="2:25" x14ac:dyDescent="0.3">
      <c r="B237" s="333">
        <v>0</v>
      </c>
      <c r="C237" s="333"/>
      <c r="D237" s="333"/>
      <c r="E237" s="333"/>
      <c r="F237" s="333"/>
      <c r="G237" s="333"/>
      <c r="H237" s="333"/>
      <c r="I237" s="333"/>
      <c r="J237" s="333"/>
      <c r="K237" s="333"/>
      <c r="M237" s="333">
        <f t="shared" si="54"/>
        <v>0</v>
      </c>
      <c r="N237" s="333" t="e">
        <f t="shared" si="55"/>
        <v>#DIV/0!</v>
      </c>
      <c r="O237" s="333" t="e">
        <f t="shared" si="56"/>
        <v>#DIV/0!</v>
      </c>
      <c r="P237" s="334" t="e">
        <f t="shared" si="57"/>
        <v>#DIV/0!</v>
      </c>
      <c r="Q237" s="334" t="e">
        <f t="shared" si="58"/>
        <v>#DIV/0!</v>
      </c>
      <c r="S237" s="333">
        <f>AVERAGE(M333:M352,M457:M476,M582:M601)</f>
        <v>40</v>
      </c>
      <c r="T237" s="333" t="e">
        <f>AVERAGE(P333:P352,P457:P476,P582:P601,P707:P726,P832:P851)</f>
        <v>#DIV/0!</v>
      </c>
      <c r="U237" s="333" t="e">
        <f>_xlfn.STDEV.P(P333:P352,P457:P476,P582:P601,P707:P726,P832:P851)</f>
        <v>#DIV/0!</v>
      </c>
      <c r="W237" s="333">
        <f>AVERAGE(M333:M352,M457:M476,M582:M601)</f>
        <v>40</v>
      </c>
      <c r="X237" s="333" t="e">
        <f>AVERAGE(Q333:Q352,Q457:Q476,Q582:Q601,Q707:Q726,Q832:Q851)</f>
        <v>#DIV/0!</v>
      </c>
      <c r="Y237" s="333" t="e">
        <f>_xlfn.STDEV.P(Q333:Q352,Q457:Q476,Q582:Q601,Q707:Q726,Q832:Q851)</f>
        <v>#DIV/0!</v>
      </c>
    </row>
    <row r="238" spans="2:25" x14ac:dyDescent="0.3">
      <c r="B238" s="333">
        <v>0</v>
      </c>
      <c r="C238" s="333"/>
      <c r="D238" s="333"/>
      <c r="E238" s="333"/>
      <c r="F238" s="333"/>
      <c r="G238" s="333"/>
      <c r="H238" s="333"/>
      <c r="I238" s="333"/>
      <c r="J238" s="333"/>
      <c r="K238" s="333"/>
      <c r="M238" s="333">
        <f t="shared" si="54"/>
        <v>0</v>
      </c>
      <c r="N238" s="333" t="e">
        <f t="shared" si="55"/>
        <v>#DIV/0!</v>
      </c>
      <c r="O238" s="333" t="e">
        <f t="shared" si="56"/>
        <v>#DIV/0!</v>
      </c>
      <c r="P238" s="334" t="e">
        <f t="shared" si="57"/>
        <v>#DIV/0!</v>
      </c>
      <c r="Q238" s="334" t="e">
        <f t="shared" si="58"/>
        <v>#DIV/0!</v>
      </c>
      <c r="S238" s="358" t="s">
        <v>795</v>
      </c>
      <c r="T238" s="333" t="e">
        <f>AVERAGE(P253:P352,P377:P476,P502:P601,P627:P726,P752:P851)</f>
        <v>#DIV/0!</v>
      </c>
      <c r="U238" s="333" t="e">
        <f>_xlfn.STDEV.P(P253:P352,P377:P476,P502:P601,P627:P726,P752:P851)</f>
        <v>#DIV/0!</v>
      </c>
      <c r="W238" s="358" t="s">
        <v>795</v>
      </c>
      <c r="X238" s="333" t="e">
        <f>AVERAGE(Q253:Q352,Q377:Q476,Q502:Q601,Q627:Q726,Q752:Q851)</f>
        <v>#DIV/0!</v>
      </c>
      <c r="Y238" s="333" t="e">
        <f>_xlfn.STDEV.P(Q253:Q352,Q377:Q476,Q502:Q601,Q627:Q726,Q752:Q851)</f>
        <v>#DIV/0!</v>
      </c>
    </row>
    <row r="239" spans="2:25" x14ac:dyDescent="0.3">
      <c r="B239" s="333">
        <v>0</v>
      </c>
      <c r="C239" s="333"/>
      <c r="D239" s="333"/>
      <c r="E239" s="333"/>
      <c r="F239" s="333"/>
      <c r="G239" s="333"/>
      <c r="H239" s="333"/>
      <c r="I239" s="333"/>
      <c r="J239" s="333"/>
      <c r="K239" s="333"/>
      <c r="M239" s="333">
        <f t="shared" si="54"/>
        <v>0</v>
      </c>
      <c r="N239" s="333" t="e">
        <f t="shared" si="55"/>
        <v>#DIV/0!</v>
      </c>
      <c r="O239" s="333" t="e">
        <f t="shared" si="56"/>
        <v>#DIV/0!</v>
      </c>
      <c r="P239" s="334" t="e">
        <f t="shared" si="57"/>
        <v>#DIV/0!</v>
      </c>
      <c r="Q239" s="334" t="e">
        <f t="shared" si="58"/>
        <v>#DIV/0!</v>
      </c>
    </row>
    <row r="240" spans="2:25" x14ac:dyDescent="0.3">
      <c r="B240" s="333">
        <v>0</v>
      </c>
      <c r="C240" s="333"/>
      <c r="D240" s="333"/>
      <c r="E240" s="333"/>
      <c r="F240" s="333"/>
      <c r="G240" s="333"/>
      <c r="H240" s="333"/>
      <c r="I240" s="333"/>
      <c r="J240" s="333"/>
      <c r="K240" s="333"/>
      <c r="M240" s="333">
        <f t="shared" si="54"/>
        <v>0</v>
      </c>
      <c r="N240" s="333" t="e">
        <f t="shared" si="55"/>
        <v>#DIV/0!</v>
      </c>
      <c r="O240" s="333" t="e">
        <f t="shared" si="56"/>
        <v>#DIV/0!</v>
      </c>
      <c r="P240" s="334" t="e">
        <f t="shared" si="57"/>
        <v>#DIV/0!</v>
      </c>
      <c r="Q240" s="334" t="e">
        <f t="shared" si="58"/>
        <v>#DIV/0!</v>
      </c>
      <c r="S240" s="450"/>
      <c r="T240" s="450"/>
      <c r="U240" s="450"/>
      <c r="W240" s="450"/>
      <c r="X240" s="450"/>
      <c r="Y240" s="450"/>
    </row>
    <row r="241" spans="2:25" x14ac:dyDescent="0.3">
      <c r="B241" s="333">
        <v>0</v>
      </c>
      <c r="C241" s="333"/>
      <c r="D241" s="333"/>
      <c r="E241" s="333"/>
      <c r="F241" s="333"/>
      <c r="G241" s="333"/>
      <c r="H241" s="333"/>
      <c r="I241" s="333"/>
      <c r="J241" s="333"/>
      <c r="K241" s="333"/>
      <c r="M241" s="333">
        <f t="shared" si="54"/>
        <v>0</v>
      </c>
      <c r="N241" s="333" t="e">
        <f t="shared" si="55"/>
        <v>#DIV/0!</v>
      </c>
      <c r="O241" s="333" t="e">
        <f t="shared" si="56"/>
        <v>#DIV/0!</v>
      </c>
      <c r="P241" s="334" t="e">
        <f t="shared" si="57"/>
        <v>#DIV/0!</v>
      </c>
      <c r="Q241" s="334" t="e">
        <f t="shared" si="58"/>
        <v>#DIV/0!</v>
      </c>
    </row>
    <row r="242" spans="2:25" x14ac:dyDescent="0.3">
      <c r="B242" s="333">
        <v>0</v>
      </c>
      <c r="C242" s="333"/>
      <c r="D242" s="333"/>
      <c r="E242" s="333"/>
      <c r="F242" s="333"/>
      <c r="G242" s="333"/>
      <c r="H242" s="333"/>
      <c r="I242" s="333"/>
      <c r="J242" s="333"/>
      <c r="K242" s="333"/>
      <c r="M242" s="333">
        <f t="shared" si="54"/>
        <v>0</v>
      </c>
      <c r="N242" s="333" t="e">
        <f t="shared" si="55"/>
        <v>#DIV/0!</v>
      </c>
      <c r="O242" s="333" t="e">
        <f t="shared" si="56"/>
        <v>#DIV/0!</v>
      </c>
      <c r="P242" s="334" t="e">
        <f t="shared" si="57"/>
        <v>#DIV/0!</v>
      </c>
      <c r="Q242" s="334" t="e">
        <f t="shared" si="58"/>
        <v>#DIV/0!</v>
      </c>
    </row>
    <row r="243" spans="2:25" x14ac:dyDescent="0.3">
      <c r="B243" s="333">
        <v>0</v>
      </c>
      <c r="C243" s="333"/>
      <c r="D243" s="333"/>
      <c r="E243" s="333"/>
      <c r="F243" s="333"/>
      <c r="G243" s="333"/>
      <c r="H243" s="333"/>
      <c r="I243" s="333"/>
      <c r="J243" s="333"/>
      <c r="K243" s="333"/>
      <c r="M243" s="333">
        <f t="shared" si="54"/>
        <v>0</v>
      </c>
      <c r="N243" s="333" t="e">
        <f t="shared" si="55"/>
        <v>#DIV/0!</v>
      </c>
      <c r="O243" s="333" t="e">
        <f t="shared" si="56"/>
        <v>#DIV/0!</v>
      </c>
      <c r="P243" s="334" t="e">
        <f t="shared" si="57"/>
        <v>#DIV/0!</v>
      </c>
      <c r="Q243" s="334" t="e">
        <f t="shared" si="58"/>
        <v>#DIV/0!</v>
      </c>
    </row>
    <row r="244" spans="2:25" x14ac:dyDescent="0.3">
      <c r="B244" s="333">
        <v>0</v>
      </c>
      <c r="C244" s="333"/>
      <c r="D244" s="333"/>
      <c r="E244" s="333"/>
      <c r="F244" s="333"/>
      <c r="G244" s="333"/>
      <c r="H244" s="333"/>
      <c r="I244" s="333"/>
      <c r="J244" s="333"/>
      <c r="K244" s="333"/>
      <c r="M244" s="333">
        <f t="shared" si="54"/>
        <v>0</v>
      </c>
      <c r="N244" s="333" t="e">
        <f t="shared" si="55"/>
        <v>#DIV/0!</v>
      </c>
      <c r="O244" s="333" t="e">
        <f t="shared" si="56"/>
        <v>#DIV/0!</v>
      </c>
      <c r="P244" s="334" t="e">
        <f t="shared" si="57"/>
        <v>#DIV/0!</v>
      </c>
      <c r="Q244" s="334" t="e">
        <f t="shared" si="58"/>
        <v>#DIV/0!</v>
      </c>
    </row>
    <row r="245" spans="2:25" x14ac:dyDescent="0.3">
      <c r="B245" s="333">
        <v>0</v>
      </c>
      <c r="C245" s="333"/>
      <c r="D245" s="333"/>
      <c r="E245" s="333"/>
      <c r="F245" s="333"/>
      <c r="G245" s="333"/>
      <c r="H245" s="333"/>
      <c r="I245" s="333"/>
      <c r="J245" s="333"/>
      <c r="K245" s="333"/>
      <c r="M245" s="333">
        <f t="shared" si="54"/>
        <v>0</v>
      </c>
      <c r="N245" s="333" t="e">
        <f t="shared" si="55"/>
        <v>#DIV/0!</v>
      </c>
      <c r="O245" s="333" t="e">
        <f t="shared" si="56"/>
        <v>#DIV/0!</v>
      </c>
      <c r="P245" s="334" t="e">
        <f t="shared" si="57"/>
        <v>#DIV/0!</v>
      </c>
      <c r="Q245" s="334" t="e">
        <f t="shared" si="58"/>
        <v>#DIV/0!</v>
      </c>
    </row>
    <row r="246" spans="2:25" x14ac:dyDescent="0.3">
      <c r="B246" s="333">
        <v>0</v>
      </c>
      <c r="C246" s="333"/>
      <c r="D246" s="333"/>
      <c r="E246" s="333"/>
      <c r="F246" s="333"/>
      <c r="G246" s="333"/>
      <c r="H246" s="333"/>
      <c r="I246" s="333"/>
      <c r="J246" s="333"/>
      <c r="K246" s="333"/>
      <c r="M246" s="333">
        <f t="shared" si="54"/>
        <v>0</v>
      </c>
      <c r="N246" s="333" t="e">
        <f t="shared" si="55"/>
        <v>#DIV/0!</v>
      </c>
      <c r="O246" s="333" t="e">
        <f t="shared" si="56"/>
        <v>#DIV/0!</v>
      </c>
      <c r="P246" s="334" t="e">
        <f t="shared" si="57"/>
        <v>#DIV/0!</v>
      </c>
      <c r="Q246" s="334" t="e">
        <f t="shared" si="58"/>
        <v>#DIV/0!</v>
      </c>
    </row>
    <row r="247" spans="2:25" x14ac:dyDescent="0.3">
      <c r="B247" s="333">
        <v>0</v>
      </c>
      <c r="C247" s="333"/>
      <c r="D247" s="333"/>
      <c r="E247" s="333"/>
      <c r="F247" s="333"/>
      <c r="G247" s="333"/>
      <c r="H247" s="333"/>
      <c r="I247" s="333"/>
      <c r="J247" s="333"/>
      <c r="K247" s="333"/>
      <c r="M247" s="333">
        <f t="shared" si="54"/>
        <v>0</v>
      </c>
      <c r="N247" s="333" t="e">
        <f t="shared" si="55"/>
        <v>#DIV/0!</v>
      </c>
      <c r="O247" s="333" t="e">
        <f t="shared" si="56"/>
        <v>#DIV/0!</v>
      </c>
      <c r="P247" s="334" t="e">
        <f t="shared" si="57"/>
        <v>#DIV/0!</v>
      </c>
      <c r="Q247" s="334" t="e">
        <f t="shared" si="58"/>
        <v>#DIV/0!</v>
      </c>
    </row>
    <row r="248" spans="2:25" x14ac:dyDescent="0.3">
      <c r="B248" s="333">
        <v>0</v>
      </c>
      <c r="C248" s="333"/>
      <c r="D248" s="333"/>
      <c r="E248" s="333"/>
      <c r="F248" s="333"/>
      <c r="G248" s="333"/>
      <c r="H248" s="333"/>
      <c r="I248" s="333"/>
      <c r="J248" s="333"/>
      <c r="K248" s="333"/>
      <c r="M248" s="333">
        <f t="shared" si="54"/>
        <v>0</v>
      </c>
      <c r="N248" s="333" t="e">
        <f t="shared" si="55"/>
        <v>#DIV/0!</v>
      </c>
      <c r="O248" s="333" t="e">
        <f t="shared" si="56"/>
        <v>#DIV/0!</v>
      </c>
      <c r="P248" s="334" t="e">
        <f t="shared" si="57"/>
        <v>#DIV/0!</v>
      </c>
      <c r="Q248" s="334" t="e">
        <f t="shared" si="58"/>
        <v>#DIV/0!</v>
      </c>
    </row>
    <row r="249" spans="2:25" x14ac:dyDescent="0.3">
      <c r="B249" s="333">
        <v>0</v>
      </c>
      <c r="C249" s="333"/>
      <c r="D249" s="333"/>
      <c r="E249" s="333"/>
      <c r="F249" s="333"/>
      <c r="G249" s="333"/>
      <c r="H249" s="333"/>
      <c r="I249" s="333"/>
      <c r="J249" s="333"/>
      <c r="K249" s="333"/>
      <c r="M249" s="333">
        <f t="shared" si="54"/>
        <v>0</v>
      </c>
      <c r="N249" s="333" t="e">
        <f t="shared" si="55"/>
        <v>#DIV/0!</v>
      </c>
      <c r="O249" s="333" t="e">
        <f t="shared" si="56"/>
        <v>#DIV/0!</v>
      </c>
      <c r="P249" s="334" t="e">
        <f t="shared" si="57"/>
        <v>#DIV/0!</v>
      </c>
      <c r="Q249" s="334" t="e">
        <f t="shared" si="58"/>
        <v>#DIV/0!</v>
      </c>
      <c r="S249" s="450"/>
      <c r="T249" s="450"/>
      <c r="U249" s="450"/>
      <c r="W249" s="450"/>
      <c r="X249" s="450"/>
      <c r="Y249" s="450"/>
    </row>
    <row r="250" spans="2:25" x14ac:dyDescent="0.3">
      <c r="B250" s="333">
        <v>0</v>
      </c>
      <c r="C250" s="333"/>
      <c r="D250" s="333"/>
      <c r="E250" s="333"/>
      <c r="F250" s="333"/>
      <c r="G250" s="333"/>
      <c r="H250" s="333"/>
      <c r="I250" s="333"/>
      <c r="J250" s="333"/>
      <c r="K250" s="333"/>
      <c r="M250" s="333">
        <f t="shared" si="54"/>
        <v>0</v>
      </c>
      <c r="N250" s="333" t="e">
        <f t="shared" si="55"/>
        <v>#DIV/0!</v>
      </c>
      <c r="O250" s="333" t="e">
        <f t="shared" si="56"/>
        <v>#DIV/0!</v>
      </c>
      <c r="P250" s="334" t="e">
        <f t="shared" si="57"/>
        <v>#DIV/0!</v>
      </c>
      <c r="Q250" s="334" t="e">
        <f t="shared" si="58"/>
        <v>#DIV/0!</v>
      </c>
    </row>
    <row r="251" spans="2:25" x14ac:dyDescent="0.3">
      <c r="B251" s="333">
        <v>0</v>
      </c>
      <c r="C251" s="333"/>
      <c r="D251" s="333"/>
      <c r="E251" s="333"/>
      <c r="F251" s="333"/>
      <c r="G251" s="333"/>
      <c r="H251" s="333"/>
      <c r="I251" s="333"/>
      <c r="J251" s="333"/>
      <c r="K251" s="333"/>
      <c r="M251" s="333">
        <f t="shared" si="54"/>
        <v>0</v>
      </c>
      <c r="N251" s="333" t="e">
        <f t="shared" si="55"/>
        <v>#DIV/0!</v>
      </c>
      <c r="O251" s="333" t="e">
        <f t="shared" si="56"/>
        <v>#DIV/0!</v>
      </c>
      <c r="P251" s="334" t="e">
        <f t="shared" si="57"/>
        <v>#DIV/0!</v>
      </c>
      <c r="Q251" s="334" t="e">
        <f t="shared" si="58"/>
        <v>#DIV/0!</v>
      </c>
    </row>
    <row r="252" spans="2:25" x14ac:dyDescent="0.3">
      <c r="B252" s="333">
        <v>0</v>
      </c>
      <c r="C252" s="333"/>
      <c r="D252" s="333"/>
      <c r="E252" s="333"/>
      <c r="F252" s="333"/>
      <c r="G252" s="333"/>
      <c r="H252" s="333"/>
      <c r="I252" s="333"/>
      <c r="J252" s="333"/>
      <c r="K252" s="333"/>
      <c r="M252" s="333">
        <f t="shared" si="54"/>
        <v>0</v>
      </c>
      <c r="N252" s="333" t="e">
        <f t="shared" si="55"/>
        <v>#DIV/0!</v>
      </c>
      <c r="O252" s="333" t="e">
        <f t="shared" si="56"/>
        <v>#DIV/0!</v>
      </c>
      <c r="P252" s="334" t="e">
        <f t="shared" si="57"/>
        <v>#DIV/0!</v>
      </c>
      <c r="Q252" s="334" t="e">
        <f t="shared" si="58"/>
        <v>#DIV/0!</v>
      </c>
    </row>
    <row r="253" spans="2:25" x14ac:dyDescent="0.3">
      <c r="B253" s="333">
        <v>10</v>
      </c>
      <c r="C253" s="333"/>
      <c r="D253" s="333"/>
      <c r="E253" s="333"/>
      <c r="F253" s="333"/>
      <c r="G253" s="333"/>
      <c r="H253" s="333"/>
      <c r="I253" s="333"/>
      <c r="J253" s="333"/>
      <c r="K253" s="333"/>
      <c r="M253" s="333">
        <f t="shared" si="54"/>
        <v>5</v>
      </c>
      <c r="N253" s="333" t="e">
        <f t="shared" si="55"/>
        <v>#DIV/0!</v>
      </c>
      <c r="O253" s="333" t="e">
        <f t="shared" si="56"/>
        <v>#DIV/0!</v>
      </c>
      <c r="P253" s="334" t="e">
        <f t="shared" si="57"/>
        <v>#DIV/0!</v>
      </c>
      <c r="Q253" s="334" t="e">
        <f t="shared" si="58"/>
        <v>#DIV/0!</v>
      </c>
    </row>
    <row r="254" spans="2:25" x14ac:dyDescent="0.3">
      <c r="B254" s="333">
        <v>10</v>
      </c>
      <c r="C254" s="333"/>
      <c r="D254" s="333"/>
      <c r="E254" s="333"/>
      <c r="F254" s="333"/>
      <c r="G254" s="333"/>
      <c r="H254" s="333"/>
      <c r="I254" s="333"/>
      <c r="J254" s="333"/>
      <c r="K254" s="333"/>
      <c r="M254" s="333">
        <f t="shared" si="54"/>
        <v>5</v>
      </c>
      <c r="N254" s="333" t="e">
        <f t="shared" si="55"/>
        <v>#DIV/0!</v>
      </c>
      <c r="O254" s="333" t="e">
        <f t="shared" si="56"/>
        <v>#DIV/0!</v>
      </c>
      <c r="P254" s="334" t="e">
        <f t="shared" si="57"/>
        <v>#DIV/0!</v>
      </c>
      <c r="Q254" s="334" t="e">
        <f t="shared" si="58"/>
        <v>#DIV/0!</v>
      </c>
    </row>
    <row r="255" spans="2:25" x14ac:dyDescent="0.3">
      <c r="B255" s="333">
        <v>10</v>
      </c>
      <c r="C255" s="333"/>
      <c r="D255" s="333"/>
      <c r="E255" s="333"/>
      <c r="F255" s="333"/>
      <c r="G255" s="333"/>
      <c r="H255" s="333"/>
      <c r="I255" s="333"/>
      <c r="J255" s="333"/>
      <c r="K255" s="333"/>
      <c r="M255" s="333">
        <f t="shared" si="54"/>
        <v>5</v>
      </c>
      <c r="N255" s="333" t="e">
        <f t="shared" si="55"/>
        <v>#DIV/0!</v>
      </c>
      <c r="O255" s="333" t="e">
        <f t="shared" si="56"/>
        <v>#DIV/0!</v>
      </c>
      <c r="P255" s="334" t="e">
        <f t="shared" si="57"/>
        <v>#DIV/0!</v>
      </c>
      <c r="Q255" s="334" t="e">
        <f t="shared" si="58"/>
        <v>#DIV/0!</v>
      </c>
    </row>
    <row r="256" spans="2:25" x14ac:dyDescent="0.3">
      <c r="B256" s="333">
        <v>10</v>
      </c>
      <c r="C256" s="333"/>
      <c r="D256" s="333"/>
      <c r="E256" s="333"/>
      <c r="F256" s="333"/>
      <c r="G256" s="333"/>
      <c r="H256" s="333"/>
      <c r="I256" s="333"/>
      <c r="J256" s="333"/>
      <c r="K256" s="333"/>
      <c r="M256" s="333">
        <f t="shared" si="54"/>
        <v>5</v>
      </c>
      <c r="N256" s="333" t="e">
        <f t="shared" si="55"/>
        <v>#DIV/0!</v>
      </c>
      <c r="O256" s="333" t="e">
        <f t="shared" si="56"/>
        <v>#DIV/0!</v>
      </c>
      <c r="P256" s="334" t="e">
        <f t="shared" si="57"/>
        <v>#DIV/0!</v>
      </c>
      <c r="Q256" s="334" t="e">
        <f t="shared" si="58"/>
        <v>#DIV/0!</v>
      </c>
    </row>
    <row r="257" spans="2:17" x14ac:dyDescent="0.3">
      <c r="B257" s="333">
        <v>10</v>
      </c>
      <c r="C257" s="333"/>
      <c r="D257" s="333"/>
      <c r="E257" s="333"/>
      <c r="F257" s="333"/>
      <c r="G257" s="333"/>
      <c r="H257" s="333"/>
      <c r="I257" s="333"/>
      <c r="J257" s="333"/>
      <c r="K257" s="333"/>
      <c r="M257" s="333">
        <f t="shared" si="54"/>
        <v>5</v>
      </c>
      <c r="N257" s="333" t="e">
        <f t="shared" si="55"/>
        <v>#DIV/0!</v>
      </c>
      <c r="O257" s="333" t="e">
        <f t="shared" si="56"/>
        <v>#DIV/0!</v>
      </c>
      <c r="P257" s="334" t="e">
        <f t="shared" si="57"/>
        <v>#DIV/0!</v>
      </c>
      <c r="Q257" s="334" t="e">
        <f t="shared" si="58"/>
        <v>#DIV/0!</v>
      </c>
    </row>
    <row r="258" spans="2:17" x14ac:dyDescent="0.3">
      <c r="B258" s="333">
        <v>10</v>
      </c>
      <c r="C258" s="333"/>
      <c r="D258" s="333"/>
      <c r="E258" s="333"/>
      <c r="F258" s="333"/>
      <c r="G258" s="333"/>
      <c r="H258" s="333"/>
      <c r="I258" s="333"/>
      <c r="J258" s="333"/>
      <c r="K258" s="333"/>
      <c r="M258" s="333">
        <f t="shared" si="54"/>
        <v>5</v>
      </c>
      <c r="N258" s="333" t="e">
        <f t="shared" si="55"/>
        <v>#DIV/0!</v>
      </c>
      <c r="O258" s="333" t="e">
        <f t="shared" si="56"/>
        <v>#DIV/0!</v>
      </c>
      <c r="P258" s="334" t="e">
        <f t="shared" si="57"/>
        <v>#DIV/0!</v>
      </c>
      <c r="Q258" s="334" t="e">
        <f t="shared" si="58"/>
        <v>#DIV/0!</v>
      </c>
    </row>
    <row r="259" spans="2:17" x14ac:dyDescent="0.3">
      <c r="B259" s="333">
        <v>10</v>
      </c>
      <c r="C259" s="333"/>
      <c r="D259" s="333"/>
      <c r="E259" s="333"/>
      <c r="F259" s="333"/>
      <c r="G259" s="333"/>
      <c r="H259" s="333"/>
      <c r="I259" s="333"/>
      <c r="J259" s="333"/>
      <c r="K259" s="333"/>
      <c r="M259" s="333">
        <f t="shared" si="54"/>
        <v>5</v>
      </c>
      <c r="N259" s="333" t="e">
        <f t="shared" si="55"/>
        <v>#DIV/0!</v>
      </c>
      <c r="O259" s="333" t="e">
        <f t="shared" si="56"/>
        <v>#DIV/0!</v>
      </c>
      <c r="P259" s="334" t="e">
        <f t="shared" si="57"/>
        <v>#DIV/0!</v>
      </c>
      <c r="Q259" s="334" t="e">
        <f t="shared" si="58"/>
        <v>#DIV/0!</v>
      </c>
    </row>
    <row r="260" spans="2:17" x14ac:dyDescent="0.3">
      <c r="B260" s="333">
        <v>10</v>
      </c>
      <c r="C260" s="333"/>
      <c r="D260" s="333"/>
      <c r="E260" s="333"/>
      <c r="F260" s="333"/>
      <c r="G260" s="333"/>
      <c r="H260" s="333"/>
      <c r="I260" s="333"/>
      <c r="J260" s="333"/>
      <c r="K260" s="333"/>
      <c r="M260" s="333">
        <f t="shared" si="54"/>
        <v>5</v>
      </c>
      <c r="N260" s="333" t="e">
        <f t="shared" si="55"/>
        <v>#DIV/0!</v>
      </c>
      <c r="O260" s="333" t="e">
        <f t="shared" si="56"/>
        <v>#DIV/0!</v>
      </c>
      <c r="P260" s="334" t="e">
        <f t="shared" si="57"/>
        <v>#DIV/0!</v>
      </c>
      <c r="Q260" s="334" t="e">
        <f t="shared" si="58"/>
        <v>#DIV/0!</v>
      </c>
    </row>
    <row r="261" spans="2:17" x14ac:dyDescent="0.3">
      <c r="B261" s="333">
        <v>10</v>
      </c>
      <c r="C261" s="333"/>
      <c r="D261" s="333"/>
      <c r="E261" s="333"/>
      <c r="F261" s="333"/>
      <c r="G261" s="333"/>
      <c r="H261" s="333"/>
      <c r="I261" s="333"/>
      <c r="J261" s="333"/>
      <c r="K261" s="333"/>
      <c r="M261" s="333">
        <f t="shared" si="54"/>
        <v>5</v>
      </c>
      <c r="N261" s="333" t="e">
        <f t="shared" si="55"/>
        <v>#DIV/0!</v>
      </c>
      <c r="O261" s="333" t="e">
        <f t="shared" si="56"/>
        <v>#DIV/0!</v>
      </c>
      <c r="P261" s="334" t="e">
        <f t="shared" si="57"/>
        <v>#DIV/0!</v>
      </c>
      <c r="Q261" s="334" t="e">
        <f t="shared" si="58"/>
        <v>#DIV/0!</v>
      </c>
    </row>
    <row r="262" spans="2:17" x14ac:dyDescent="0.3">
      <c r="B262" s="333">
        <v>10</v>
      </c>
      <c r="C262" s="333"/>
      <c r="D262" s="333"/>
      <c r="E262" s="333"/>
      <c r="F262" s="333"/>
      <c r="G262" s="333"/>
      <c r="H262" s="333"/>
      <c r="I262" s="333"/>
      <c r="J262" s="333"/>
      <c r="K262" s="333"/>
      <c r="M262" s="333">
        <f t="shared" si="54"/>
        <v>5</v>
      </c>
      <c r="N262" s="333" t="e">
        <f t="shared" si="55"/>
        <v>#DIV/0!</v>
      </c>
      <c r="O262" s="333" t="e">
        <f t="shared" si="56"/>
        <v>#DIV/0!</v>
      </c>
      <c r="P262" s="334" t="e">
        <f t="shared" si="57"/>
        <v>#DIV/0!</v>
      </c>
      <c r="Q262" s="334" t="e">
        <f t="shared" si="58"/>
        <v>#DIV/0!</v>
      </c>
    </row>
    <row r="263" spans="2:17" x14ac:dyDescent="0.3">
      <c r="B263" s="333">
        <v>10</v>
      </c>
      <c r="C263" s="333"/>
      <c r="D263" s="333"/>
      <c r="E263" s="333"/>
      <c r="F263" s="333"/>
      <c r="G263" s="333"/>
      <c r="H263" s="333"/>
      <c r="I263" s="333"/>
      <c r="J263" s="333"/>
      <c r="K263" s="333"/>
      <c r="M263" s="333">
        <f t="shared" si="54"/>
        <v>5</v>
      </c>
      <c r="N263" s="333" t="e">
        <f t="shared" si="55"/>
        <v>#DIV/0!</v>
      </c>
      <c r="O263" s="333" t="e">
        <f t="shared" si="56"/>
        <v>#DIV/0!</v>
      </c>
      <c r="P263" s="334" t="e">
        <f t="shared" si="57"/>
        <v>#DIV/0!</v>
      </c>
      <c r="Q263" s="334" t="e">
        <f t="shared" si="58"/>
        <v>#DIV/0!</v>
      </c>
    </row>
    <row r="264" spans="2:17" x14ac:dyDescent="0.3">
      <c r="B264" s="333">
        <v>10</v>
      </c>
      <c r="C264" s="333"/>
      <c r="D264" s="333"/>
      <c r="E264" s="333"/>
      <c r="F264" s="333"/>
      <c r="G264" s="333"/>
      <c r="H264" s="333"/>
      <c r="I264" s="333"/>
      <c r="J264" s="333"/>
      <c r="K264" s="333"/>
      <c r="M264" s="333">
        <f t="shared" si="54"/>
        <v>5</v>
      </c>
      <c r="N264" s="333" t="e">
        <f t="shared" si="55"/>
        <v>#DIV/0!</v>
      </c>
      <c r="O264" s="333" t="e">
        <f t="shared" si="56"/>
        <v>#DIV/0!</v>
      </c>
      <c r="P264" s="334" t="e">
        <f t="shared" si="57"/>
        <v>#DIV/0!</v>
      </c>
      <c r="Q264" s="334" t="e">
        <f t="shared" si="58"/>
        <v>#DIV/0!</v>
      </c>
    </row>
    <row r="265" spans="2:17" x14ac:dyDescent="0.3">
      <c r="B265" s="333">
        <v>10</v>
      </c>
      <c r="C265" s="333"/>
      <c r="D265" s="333"/>
      <c r="E265" s="333"/>
      <c r="F265" s="333"/>
      <c r="G265" s="333"/>
      <c r="H265" s="333"/>
      <c r="I265" s="333"/>
      <c r="J265" s="333"/>
      <c r="K265" s="333"/>
      <c r="M265" s="333">
        <f t="shared" si="54"/>
        <v>5</v>
      </c>
      <c r="N265" s="333" t="e">
        <f t="shared" ref="N265:N296" si="59">(SUM(C265:E265)-SUM($C$189:$E$189))*$F$71</f>
        <v>#DIV/0!</v>
      </c>
      <c r="O265" s="333" t="e">
        <f t="shared" si="56"/>
        <v>#DIV/0!</v>
      </c>
      <c r="P265" s="334" t="e">
        <f t="shared" si="57"/>
        <v>#DIV/0!</v>
      </c>
      <c r="Q265" s="334" t="e">
        <f t="shared" si="58"/>
        <v>#DIV/0!</v>
      </c>
    </row>
    <row r="266" spans="2:17" x14ac:dyDescent="0.3">
      <c r="B266" s="333">
        <v>10</v>
      </c>
      <c r="C266" s="333"/>
      <c r="D266" s="333"/>
      <c r="E266" s="333"/>
      <c r="F266" s="333"/>
      <c r="G266" s="333"/>
      <c r="H266" s="333"/>
      <c r="I266" s="333"/>
      <c r="J266" s="333"/>
      <c r="K266" s="333"/>
      <c r="M266" s="333">
        <f t="shared" si="54"/>
        <v>5</v>
      </c>
      <c r="N266" s="333" t="e">
        <f t="shared" si="59"/>
        <v>#DIV/0!</v>
      </c>
      <c r="O266" s="333" t="e">
        <f t="shared" si="56"/>
        <v>#DIV/0!</v>
      </c>
      <c r="P266" s="334" t="e">
        <f t="shared" si="57"/>
        <v>#DIV/0!</v>
      </c>
      <c r="Q266" s="334" t="e">
        <f t="shared" si="58"/>
        <v>#DIV/0!</v>
      </c>
    </row>
    <row r="267" spans="2:17" x14ac:dyDescent="0.3">
      <c r="B267" s="333">
        <v>10</v>
      </c>
      <c r="C267" s="333"/>
      <c r="D267" s="333"/>
      <c r="E267" s="333"/>
      <c r="F267" s="333"/>
      <c r="G267" s="333"/>
      <c r="H267" s="333"/>
      <c r="I267" s="333"/>
      <c r="J267" s="333"/>
      <c r="K267" s="333"/>
      <c r="M267" s="333">
        <f t="shared" si="54"/>
        <v>5</v>
      </c>
      <c r="N267" s="333" t="e">
        <f t="shared" si="59"/>
        <v>#DIV/0!</v>
      </c>
      <c r="O267" s="333" t="e">
        <f t="shared" si="56"/>
        <v>#DIV/0!</v>
      </c>
      <c r="P267" s="334" t="e">
        <f t="shared" si="57"/>
        <v>#DIV/0!</v>
      </c>
      <c r="Q267" s="334" t="e">
        <f t="shared" si="58"/>
        <v>#DIV/0!</v>
      </c>
    </row>
    <row r="268" spans="2:17" x14ac:dyDescent="0.3">
      <c r="B268" s="333">
        <v>10</v>
      </c>
      <c r="C268" s="333"/>
      <c r="D268" s="333"/>
      <c r="E268" s="333"/>
      <c r="F268" s="333"/>
      <c r="G268" s="333"/>
      <c r="H268" s="333"/>
      <c r="I268" s="333"/>
      <c r="J268" s="333"/>
      <c r="K268" s="333"/>
      <c r="M268" s="333">
        <f t="shared" si="54"/>
        <v>5</v>
      </c>
      <c r="N268" s="333" t="e">
        <f t="shared" si="59"/>
        <v>#DIV/0!</v>
      </c>
      <c r="O268" s="333" t="e">
        <f t="shared" si="56"/>
        <v>#DIV/0!</v>
      </c>
      <c r="P268" s="334" t="e">
        <f t="shared" si="57"/>
        <v>#DIV/0!</v>
      </c>
      <c r="Q268" s="334" t="e">
        <f t="shared" si="58"/>
        <v>#DIV/0!</v>
      </c>
    </row>
    <row r="269" spans="2:17" x14ac:dyDescent="0.3">
      <c r="B269" s="333">
        <v>10</v>
      </c>
      <c r="C269" s="333"/>
      <c r="D269" s="333"/>
      <c r="E269" s="333"/>
      <c r="F269" s="333"/>
      <c r="G269" s="333"/>
      <c r="H269" s="333"/>
      <c r="I269" s="333"/>
      <c r="J269" s="333"/>
      <c r="K269" s="333"/>
      <c r="M269" s="333">
        <f t="shared" si="54"/>
        <v>5</v>
      </c>
      <c r="N269" s="333" t="e">
        <f t="shared" si="59"/>
        <v>#DIV/0!</v>
      </c>
      <c r="O269" s="333" t="e">
        <f t="shared" si="56"/>
        <v>#DIV/0!</v>
      </c>
      <c r="P269" s="334" t="e">
        <f t="shared" si="57"/>
        <v>#DIV/0!</v>
      </c>
      <c r="Q269" s="334" t="e">
        <f t="shared" si="58"/>
        <v>#DIV/0!</v>
      </c>
    </row>
    <row r="270" spans="2:17" x14ac:dyDescent="0.3">
      <c r="B270" s="333">
        <v>10</v>
      </c>
      <c r="C270" s="333"/>
      <c r="D270" s="333"/>
      <c r="E270" s="333"/>
      <c r="F270" s="333"/>
      <c r="G270" s="333"/>
      <c r="H270" s="333"/>
      <c r="I270" s="333"/>
      <c r="J270" s="333"/>
      <c r="K270" s="333"/>
      <c r="M270" s="333">
        <f t="shared" si="54"/>
        <v>5</v>
      </c>
      <c r="N270" s="333" t="e">
        <f t="shared" si="59"/>
        <v>#DIV/0!</v>
      </c>
      <c r="O270" s="333" t="e">
        <f t="shared" si="56"/>
        <v>#DIV/0!</v>
      </c>
      <c r="P270" s="334" t="e">
        <f t="shared" si="57"/>
        <v>#DIV/0!</v>
      </c>
      <c r="Q270" s="334" t="e">
        <f t="shared" si="58"/>
        <v>#DIV/0!</v>
      </c>
    </row>
    <row r="271" spans="2:17" x14ac:dyDescent="0.3">
      <c r="B271" s="333">
        <v>10</v>
      </c>
      <c r="C271" s="333"/>
      <c r="D271" s="333"/>
      <c r="E271" s="333"/>
      <c r="F271" s="333"/>
      <c r="G271" s="333"/>
      <c r="H271" s="333"/>
      <c r="I271" s="333"/>
      <c r="J271" s="333"/>
      <c r="K271" s="333"/>
      <c r="M271" s="333">
        <f t="shared" si="54"/>
        <v>5</v>
      </c>
      <c r="N271" s="333" t="e">
        <f t="shared" si="59"/>
        <v>#DIV/0!</v>
      </c>
      <c r="O271" s="333" t="e">
        <f t="shared" si="56"/>
        <v>#DIV/0!</v>
      </c>
      <c r="P271" s="334" t="e">
        <f t="shared" si="57"/>
        <v>#DIV/0!</v>
      </c>
      <c r="Q271" s="334" t="e">
        <f t="shared" si="58"/>
        <v>#DIV/0!</v>
      </c>
    </row>
    <row r="272" spans="2:17" x14ac:dyDescent="0.3">
      <c r="B272" s="333">
        <v>10</v>
      </c>
      <c r="C272" s="333"/>
      <c r="D272" s="333"/>
      <c r="E272" s="333"/>
      <c r="F272" s="333"/>
      <c r="G272" s="333"/>
      <c r="H272" s="333"/>
      <c r="I272" s="333"/>
      <c r="J272" s="333"/>
      <c r="K272" s="333"/>
      <c r="M272" s="333">
        <f t="shared" si="54"/>
        <v>5</v>
      </c>
      <c r="N272" s="333" t="e">
        <f t="shared" si="59"/>
        <v>#DIV/0!</v>
      </c>
      <c r="O272" s="333" t="e">
        <f t="shared" si="56"/>
        <v>#DIV/0!</v>
      </c>
      <c r="P272" s="334" t="e">
        <f t="shared" si="57"/>
        <v>#DIV/0!</v>
      </c>
      <c r="Q272" s="334" t="e">
        <f t="shared" si="58"/>
        <v>#DIV/0!</v>
      </c>
    </row>
    <row r="273" spans="2:17" x14ac:dyDescent="0.3">
      <c r="B273" s="333">
        <v>20</v>
      </c>
      <c r="C273" s="333"/>
      <c r="D273" s="333"/>
      <c r="E273" s="333"/>
      <c r="F273" s="333"/>
      <c r="G273" s="333"/>
      <c r="H273" s="333"/>
      <c r="I273" s="333"/>
      <c r="J273" s="333"/>
      <c r="K273" s="333"/>
      <c r="M273" s="333">
        <f t="shared" si="54"/>
        <v>10</v>
      </c>
      <c r="N273" s="333" t="e">
        <f t="shared" si="59"/>
        <v>#DIV/0!</v>
      </c>
      <c r="O273" s="333" t="e">
        <f t="shared" si="56"/>
        <v>#DIV/0!</v>
      </c>
      <c r="P273" s="334" t="e">
        <f t="shared" si="57"/>
        <v>#DIV/0!</v>
      </c>
      <c r="Q273" s="334" t="e">
        <f t="shared" si="58"/>
        <v>#DIV/0!</v>
      </c>
    </row>
    <row r="274" spans="2:17" x14ac:dyDescent="0.3">
      <c r="B274" s="333">
        <v>20</v>
      </c>
      <c r="C274" s="333"/>
      <c r="D274" s="333"/>
      <c r="E274" s="333"/>
      <c r="F274" s="333"/>
      <c r="G274" s="333"/>
      <c r="H274" s="333"/>
      <c r="I274" s="333"/>
      <c r="J274" s="333"/>
      <c r="K274" s="333"/>
      <c r="M274" s="333">
        <f t="shared" si="54"/>
        <v>10</v>
      </c>
      <c r="N274" s="333" t="e">
        <f t="shared" si="59"/>
        <v>#DIV/0!</v>
      </c>
      <c r="O274" s="333" t="e">
        <f t="shared" si="56"/>
        <v>#DIV/0!</v>
      </c>
      <c r="P274" s="334" t="e">
        <f t="shared" si="57"/>
        <v>#DIV/0!</v>
      </c>
      <c r="Q274" s="334" t="e">
        <f t="shared" si="58"/>
        <v>#DIV/0!</v>
      </c>
    </row>
    <row r="275" spans="2:17" x14ac:dyDescent="0.3">
      <c r="B275" s="333">
        <v>20</v>
      </c>
      <c r="C275" s="333"/>
      <c r="D275" s="333"/>
      <c r="E275" s="333"/>
      <c r="F275" s="333"/>
      <c r="G275" s="333"/>
      <c r="H275" s="333"/>
      <c r="I275" s="333"/>
      <c r="J275" s="333"/>
      <c r="K275" s="333"/>
      <c r="M275" s="333">
        <f t="shared" si="54"/>
        <v>10</v>
      </c>
      <c r="N275" s="333" t="e">
        <f t="shared" si="59"/>
        <v>#DIV/0!</v>
      </c>
      <c r="O275" s="333" t="e">
        <f t="shared" si="56"/>
        <v>#DIV/0!</v>
      </c>
      <c r="P275" s="334" t="e">
        <f t="shared" si="57"/>
        <v>#DIV/0!</v>
      </c>
      <c r="Q275" s="334" t="e">
        <f t="shared" si="58"/>
        <v>#DIV/0!</v>
      </c>
    </row>
    <row r="276" spans="2:17" x14ac:dyDescent="0.3">
      <c r="B276" s="333">
        <v>20</v>
      </c>
      <c r="C276" s="333"/>
      <c r="D276" s="333"/>
      <c r="E276" s="333"/>
      <c r="F276" s="333"/>
      <c r="G276" s="333"/>
      <c r="H276" s="333"/>
      <c r="I276" s="333"/>
      <c r="J276" s="333"/>
      <c r="K276" s="333"/>
      <c r="M276" s="333">
        <f t="shared" si="54"/>
        <v>10</v>
      </c>
      <c r="N276" s="333" t="e">
        <f t="shared" si="59"/>
        <v>#DIV/0!</v>
      </c>
      <c r="O276" s="333" t="e">
        <f t="shared" si="56"/>
        <v>#DIV/0!</v>
      </c>
      <c r="P276" s="334" t="e">
        <f t="shared" si="57"/>
        <v>#DIV/0!</v>
      </c>
      <c r="Q276" s="334" t="e">
        <f t="shared" si="58"/>
        <v>#DIV/0!</v>
      </c>
    </row>
    <row r="277" spans="2:17" x14ac:dyDescent="0.3">
      <c r="B277" s="333">
        <v>20</v>
      </c>
      <c r="C277" s="333"/>
      <c r="D277" s="333"/>
      <c r="E277" s="333"/>
      <c r="F277" s="333"/>
      <c r="G277" s="333"/>
      <c r="H277" s="333"/>
      <c r="I277" s="333"/>
      <c r="J277" s="333"/>
      <c r="K277" s="333"/>
      <c r="M277" s="333">
        <f t="shared" si="54"/>
        <v>10</v>
      </c>
      <c r="N277" s="333" t="e">
        <f t="shared" si="59"/>
        <v>#DIV/0!</v>
      </c>
      <c r="O277" s="333" t="e">
        <f t="shared" si="56"/>
        <v>#DIV/0!</v>
      </c>
      <c r="P277" s="334" t="e">
        <f t="shared" si="57"/>
        <v>#DIV/0!</v>
      </c>
      <c r="Q277" s="334" t="e">
        <f t="shared" si="58"/>
        <v>#DIV/0!</v>
      </c>
    </row>
    <row r="278" spans="2:17" x14ac:dyDescent="0.3">
      <c r="B278" s="333">
        <v>20</v>
      </c>
      <c r="C278" s="333"/>
      <c r="D278" s="333"/>
      <c r="E278" s="333"/>
      <c r="F278" s="333"/>
      <c r="G278" s="333"/>
      <c r="H278" s="333"/>
      <c r="I278" s="333"/>
      <c r="J278" s="333"/>
      <c r="K278" s="333"/>
      <c r="M278" s="333">
        <f t="shared" si="54"/>
        <v>10</v>
      </c>
      <c r="N278" s="333" t="e">
        <f t="shared" si="59"/>
        <v>#DIV/0!</v>
      </c>
      <c r="O278" s="333" t="e">
        <f t="shared" si="56"/>
        <v>#DIV/0!</v>
      </c>
      <c r="P278" s="334" t="e">
        <f t="shared" si="57"/>
        <v>#DIV/0!</v>
      </c>
      <c r="Q278" s="334" t="e">
        <f t="shared" si="58"/>
        <v>#DIV/0!</v>
      </c>
    </row>
    <row r="279" spans="2:17" x14ac:dyDescent="0.3">
      <c r="B279" s="333">
        <v>20</v>
      </c>
      <c r="C279" s="333"/>
      <c r="D279" s="333"/>
      <c r="E279" s="333"/>
      <c r="F279" s="333"/>
      <c r="G279" s="333"/>
      <c r="H279" s="333"/>
      <c r="I279" s="333"/>
      <c r="J279" s="333"/>
      <c r="K279" s="333"/>
      <c r="M279" s="333">
        <f t="shared" si="54"/>
        <v>10</v>
      </c>
      <c r="N279" s="333" t="e">
        <f t="shared" si="59"/>
        <v>#DIV/0!</v>
      </c>
      <c r="O279" s="333" t="e">
        <f t="shared" si="56"/>
        <v>#DIV/0!</v>
      </c>
      <c r="P279" s="334" t="e">
        <f t="shared" si="57"/>
        <v>#DIV/0!</v>
      </c>
      <c r="Q279" s="334" t="e">
        <f t="shared" si="58"/>
        <v>#DIV/0!</v>
      </c>
    </row>
    <row r="280" spans="2:17" x14ac:dyDescent="0.3">
      <c r="B280" s="333">
        <v>20</v>
      </c>
      <c r="C280" s="333"/>
      <c r="D280" s="333"/>
      <c r="E280" s="333"/>
      <c r="F280" s="333"/>
      <c r="G280" s="333"/>
      <c r="H280" s="333"/>
      <c r="I280" s="333"/>
      <c r="J280" s="333"/>
      <c r="K280" s="333"/>
      <c r="M280" s="333">
        <f t="shared" si="54"/>
        <v>10</v>
      </c>
      <c r="N280" s="333" t="e">
        <f t="shared" si="59"/>
        <v>#DIV/0!</v>
      </c>
      <c r="O280" s="333" t="e">
        <f t="shared" si="56"/>
        <v>#DIV/0!</v>
      </c>
      <c r="P280" s="334" t="e">
        <f t="shared" si="57"/>
        <v>#DIV/0!</v>
      </c>
      <c r="Q280" s="334" t="e">
        <f t="shared" si="58"/>
        <v>#DIV/0!</v>
      </c>
    </row>
    <row r="281" spans="2:17" x14ac:dyDescent="0.3">
      <c r="B281" s="333">
        <v>20</v>
      </c>
      <c r="C281" s="333"/>
      <c r="D281" s="333"/>
      <c r="E281" s="333"/>
      <c r="F281" s="333"/>
      <c r="G281" s="333"/>
      <c r="H281" s="333"/>
      <c r="I281" s="333"/>
      <c r="J281" s="333"/>
      <c r="K281" s="333"/>
      <c r="M281" s="333">
        <f t="shared" si="54"/>
        <v>10</v>
      </c>
      <c r="N281" s="333" t="e">
        <f t="shared" si="59"/>
        <v>#DIV/0!</v>
      </c>
      <c r="O281" s="333" t="e">
        <f t="shared" si="56"/>
        <v>#DIV/0!</v>
      </c>
      <c r="P281" s="334" t="e">
        <f t="shared" si="57"/>
        <v>#DIV/0!</v>
      </c>
      <c r="Q281" s="334" t="e">
        <f t="shared" si="58"/>
        <v>#DIV/0!</v>
      </c>
    </row>
    <row r="282" spans="2:17" x14ac:dyDescent="0.3">
      <c r="B282" s="333">
        <v>20</v>
      </c>
      <c r="C282" s="333"/>
      <c r="D282" s="333"/>
      <c r="E282" s="333"/>
      <c r="F282" s="333"/>
      <c r="G282" s="333"/>
      <c r="H282" s="333"/>
      <c r="I282" s="333"/>
      <c r="J282" s="333"/>
      <c r="K282" s="333"/>
      <c r="M282" s="333">
        <f t="shared" si="54"/>
        <v>10</v>
      </c>
      <c r="N282" s="333" t="e">
        <f t="shared" si="59"/>
        <v>#DIV/0!</v>
      </c>
      <c r="O282" s="333" t="e">
        <f t="shared" si="56"/>
        <v>#DIV/0!</v>
      </c>
      <c r="P282" s="334" t="e">
        <f t="shared" si="57"/>
        <v>#DIV/0!</v>
      </c>
      <c r="Q282" s="334" t="e">
        <f t="shared" si="58"/>
        <v>#DIV/0!</v>
      </c>
    </row>
    <row r="283" spans="2:17" x14ac:dyDescent="0.3">
      <c r="B283" s="333">
        <v>20</v>
      </c>
      <c r="C283" s="333"/>
      <c r="D283" s="333"/>
      <c r="E283" s="333"/>
      <c r="F283" s="333"/>
      <c r="G283" s="333"/>
      <c r="H283" s="333"/>
      <c r="I283" s="333"/>
      <c r="J283" s="333"/>
      <c r="K283" s="333"/>
      <c r="M283" s="333">
        <f t="shared" si="54"/>
        <v>10</v>
      </c>
      <c r="N283" s="333" t="e">
        <f t="shared" si="59"/>
        <v>#DIV/0!</v>
      </c>
      <c r="O283" s="333" t="e">
        <f t="shared" si="56"/>
        <v>#DIV/0!</v>
      </c>
      <c r="P283" s="334" t="e">
        <f t="shared" si="57"/>
        <v>#DIV/0!</v>
      </c>
      <c r="Q283" s="334" t="e">
        <f t="shared" si="58"/>
        <v>#DIV/0!</v>
      </c>
    </row>
    <row r="284" spans="2:17" x14ac:dyDescent="0.3">
      <c r="B284" s="333">
        <v>20</v>
      </c>
      <c r="C284" s="333"/>
      <c r="D284" s="333"/>
      <c r="E284" s="333"/>
      <c r="F284" s="333"/>
      <c r="G284" s="333"/>
      <c r="H284" s="333"/>
      <c r="I284" s="333"/>
      <c r="J284" s="333"/>
      <c r="K284" s="333"/>
      <c r="M284" s="333">
        <f t="shared" si="54"/>
        <v>10</v>
      </c>
      <c r="N284" s="333" t="e">
        <f t="shared" si="59"/>
        <v>#DIV/0!</v>
      </c>
      <c r="O284" s="333" t="e">
        <f t="shared" si="56"/>
        <v>#DIV/0!</v>
      </c>
      <c r="P284" s="334" t="e">
        <f t="shared" si="57"/>
        <v>#DIV/0!</v>
      </c>
      <c r="Q284" s="334" t="e">
        <f t="shared" si="58"/>
        <v>#DIV/0!</v>
      </c>
    </row>
    <row r="285" spans="2:17" x14ac:dyDescent="0.3">
      <c r="B285" s="333">
        <v>20</v>
      </c>
      <c r="C285" s="333"/>
      <c r="D285" s="333"/>
      <c r="E285" s="333"/>
      <c r="F285" s="333"/>
      <c r="G285" s="333"/>
      <c r="H285" s="333"/>
      <c r="I285" s="333"/>
      <c r="J285" s="333"/>
      <c r="K285" s="333"/>
      <c r="M285" s="333">
        <f t="shared" si="54"/>
        <v>10</v>
      </c>
      <c r="N285" s="333" t="e">
        <f t="shared" si="59"/>
        <v>#DIV/0!</v>
      </c>
      <c r="O285" s="333" t="e">
        <f t="shared" si="56"/>
        <v>#DIV/0!</v>
      </c>
      <c r="P285" s="334" t="e">
        <f t="shared" si="57"/>
        <v>#DIV/0!</v>
      </c>
      <c r="Q285" s="334" t="e">
        <f t="shared" si="58"/>
        <v>#DIV/0!</v>
      </c>
    </row>
    <row r="286" spans="2:17" x14ac:dyDescent="0.3">
      <c r="B286" s="333">
        <v>20</v>
      </c>
      <c r="C286" s="333"/>
      <c r="D286" s="333"/>
      <c r="E286" s="333"/>
      <c r="F286" s="333"/>
      <c r="G286" s="333"/>
      <c r="H286" s="333"/>
      <c r="I286" s="333"/>
      <c r="J286" s="333"/>
      <c r="K286" s="333"/>
      <c r="M286" s="333">
        <f t="shared" si="54"/>
        <v>10</v>
      </c>
      <c r="N286" s="333" t="e">
        <f t="shared" si="59"/>
        <v>#DIV/0!</v>
      </c>
      <c r="O286" s="333" t="e">
        <f t="shared" si="56"/>
        <v>#DIV/0!</v>
      </c>
      <c r="P286" s="334" t="e">
        <f t="shared" si="57"/>
        <v>#DIV/0!</v>
      </c>
      <c r="Q286" s="334" t="e">
        <f t="shared" si="58"/>
        <v>#DIV/0!</v>
      </c>
    </row>
    <row r="287" spans="2:17" x14ac:dyDescent="0.3">
      <c r="B287" s="333">
        <v>20</v>
      </c>
      <c r="C287" s="333"/>
      <c r="D287" s="333"/>
      <c r="E287" s="333"/>
      <c r="F287" s="333"/>
      <c r="G287" s="333"/>
      <c r="H287" s="333"/>
      <c r="I287" s="333"/>
      <c r="J287" s="333"/>
      <c r="K287" s="333"/>
      <c r="M287" s="333">
        <f t="shared" si="54"/>
        <v>10</v>
      </c>
      <c r="N287" s="333" t="e">
        <f t="shared" si="59"/>
        <v>#DIV/0!</v>
      </c>
      <c r="O287" s="333" t="e">
        <f t="shared" si="56"/>
        <v>#DIV/0!</v>
      </c>
      <c r="P287" s="334" t="e">
        <f t="shared" si="57"/>
        <v>#DIV/0!</v>
      </c>
      <c r="Q287" s="334" t="e">
        <f t="shared" si="58"/>
        <v>#DIV/0!</v>
      </c>
    </row>
    <row r="288" spans="2:17" x14ac:dyDescent="0.3">
      <c r="B288" s="333">
        <v>20</v>
      </c>
      <c r="C288" s="333"/>
      <c r="D288" s="333"/>
      <c r="E288" s="333"/>
      <c r="F288" s="333"/>
      <c r="G288" s="333"/>
      <c r="H288" s="333"/>
      <c r="I288" s="333"/>
      <c r="J288" s="333"/>
      <c r="K288" s="333"/>
      <c r="M288" s="333">
        <f t="shared" si="54"/>
        <v>10</v>
      </c>
      <c r="N288" s="333" t="e">
        <f t="shared" si="59"/>
        <v>#DIV/0!</v>
      </c>
      <c r="O288" s="333" t="e">
        <f t="shared" si="56"/>
        <v>#DIV/0!</v>
      </c>
      <c r="P288" s="334" t="e">
        <f t="shared" si="57"/>
        <v>#DIV/0!</v>
      </c>
      <c r="Q288" s="334" t="e">
        <f t="shared" si="58"/>
        <v>#DIV/0!</v>
      </c>
    </row>
    <row r="289" spans="2:17" x14ac:dyDescent="0.3">
      <c r="B289" s="333">
        <v>20</v>
      </c>
      <c r="C289" s="333"/>
      <c r="D289" s="333"/>
      <c r="E289" s="333"/>
      <c r="F289" s="333"/>
      <c r="G289" s="333"/>
      <c r="H289" s="333"/>
      <c r="I289" s="333"/>
      <c r="J289" s="333"/>
      <c r="K289" s="333"/>
      <c r="M289" s="333">
        <f t="shared" si="54"/>
        <v>10</v>
      </c>
      <c r="N289" s="333" t="e">
        <f t="shared" si="59"/>
        <v>#DIV/0!</v>
      </c>
      <c r="O289" s="333" t="e">
        <f t="shared" si="56"/>
        <v>#DIV/0!</v>
      </c>
      <c r="P289" s="334" t="e">
        <f t="shared" si="57"/>
        <v>#DIV/0!</v>
      </c>
      <c r="Q289" s="334" t="e">
        <f t="shared" si="58"/>
        <v>#DIV/0!</v>
      </c>
    </row>
    <row r="290" spans="2:17" x14ac:dyDescent="0.3">
      <c r="B290" s="333">
        <v>20</v>
      </c>
      <c r="C290" s="333"/>
      <c r="D290" s="333"/>
      <c r="E290" s="333"/>
      <c r="F290" s="333"/>
      <c r="G290" s="333"/>
      <c r="H290" s="333"/>
      <c r="I290" s="333"/>
      <c r="J290" s="333"/>
      <c r="K290" s="333"/>
      <c r="M290" s="333">
        <f t="shared" si="54"/>
        <v>10</v>
      </c>
      <c r="N290" s="333" t="e">
        <f t="shared" si="59"/>
        <v>#DIV/0!</v>
      </c>
      <c r="O290" s="333" t="e">
        <f t="shared" si="56"/>
        <v>#DIV/0!</v>
      </c>
      <c r="P290" s="334" t="e">
        <f t="shared" si="57"/>
        <v>#DIV/0!</v>
      </c>
      <c r="Q290" s="334" t="e">
        <f t="shared" si="58"/>
        <v>#DIV/0!</v>
      </c>
    </row>
    <row r="291" spans="2:17" x14ac:dyDescent="0.3">
      <c r="B291" s="333">
        <v>20</v>
      </c>
      <c r="C291" s="333"/>
      <c r="D291" s="333"/>
      <c r="E291" s="333"/>
      <c r="F291" s="333"/>
      <c r="G291" s="333"/>
      <c r="H291" s="333"/>
      <c r="I291" s="333"/>
      <c r="J291" s="333"/>
      <c r="K291" s="333"/>
      <c r="M291" s="333">
        <f t="shared" si="54"/>
        <v>10</v>
      </c>
      <c r="N291" s="333" t="e">
        <f t="shared" si="59"/>
        <v>#DIV/0!</v>
      </c>
      <c r="O291" s="333" t="e">
        <f t="shared" si="56"/>
        <v>#DIV/0!</v>
      </c>
      <c r="P291" s="334" t="e">
        <f t="shared" si="57"/>
        <v>#DIV/0!</v>
      </c>
      <c r="Q291" s="334" t="e">
        <f t="shared" si="58"/>
        <v>#DIV/0!</v>
      </c>
    </row>
    <row r="292" spans="2:17" x14ac:dyDescent="0.3">
      <c r="B292" s="333">
        <v>20</v>
      </c>
      <c r="C292" s="333"/>
      <c r="D292" s="333"/>
      <c r="E292" s="333"/>
      <c r="F292" s="333"/>
      <c r="G292" s="333"/>
      <c r="H292" s="333"/>
      <c r="I292" s="333"/>
      <c r="J292" s="333"/>
      <c r="K292" s="333"/>
      <c r="M292" s="333">
        <f t="shared" si="54"/>
        <v>10</v>
      </c>
      <c r="N292" s="333" t="e">
        <f t="shared" si="59"/>
        <v>#DIV/0!</v>
      </c>
      <c r="O292" s="333" t="e">
        <f t="shared" si="56"/>
        <v>#DIV/0!</v>
      </c>
      <c r="P292" s="334" t="e">
        <f t="shared" si="57"/>
        <v>#DIV/0!</v>
      </c>
      <c r="Q292" s="334" t="e">
        <f t="shared" si="58"/>
        <v>#DIV/0!</v>
      </c>
    </row>
    <row r="293" spans="2:17" x14ac:dyDescent="0.3">
      <c r="B293" s="333">
        <v>40</v>
      </c>
      <c r="C293" s="333"/>
      <c r="D293" s="333"/>
      <c r="E293" s="333"/>
      <c r="F293" s="333"/>
      <c r="G293" s="333"/>
      <c r="H293" s="333"/>
      <c r="I293" s="333"/>
      <c r="J293" s="333"/>
      <c r="K293" s="333"/>
      <c r="M293" s="333">
        <f t="shared" si="54"/>
        <v>20</v>
      </c>
      <c r="N293" s="333" t="e">
        <f t="shared" si="59"/>
        <v>#DIV/0!</v>
      </c>
      <c r="O293" s="333" t="e">
        <f t="shared" si="56"/>
        <v>#DIV/0!</v>
      </c>
      <c r="P293" s="334" t="e">
        <f t="shared" si="57"/>
        <v>#DIV/0!</v>
      </c>
      <c r="Q293" s="334" t="e">
        <f t="shared" si="58"/>
        <v>#DIV/0!</v>
      </c>
    </row>
    <row r="294" spans="2:17" x14ac:dyDescent="0.3">
      <c r="B294" s="333">
        <v>40</v>
      </c>
      <c r="C294" s="333"/>
      <c r="D294" s="333"/>
      <c r="E294" s="333"/>
      <c r="F294" s="333"/>
      <c r="G294" s="333"/>
      <c r="H294" s="333"/>
      <c r="I294" s="333"/>
      <c r="J294" s="333"/>
      <c r="K294" s="333"/>
      <c r="M294" s="333">
        <f t="shared" si="54"/>
        <v>20</v>
      </c>
      <c r="N294" s="333" t="e">
        <f t="shared" si="59"/>
        <v>#DIV/0!</v>
      </c>
      <c r="O294" s="333" t="e">
        <f t="shared" si="56"/>
        <v>#DIV/0!</v>
      </c>
      <c r="P294" s="334" t="e">
        <f t="shared" si="57"/>
        <v>#DIV/0!</v>
      </c>
      <c r="Q294" s="334" t="e">
        <f t="shared" si="58"/>
        <v>#DIV/0!</v>
      </c>
    </row>
    <row r="295" spans="2:17" x14ac:dyDescent="0.3">
      <c r="B295" s="333">
        <v>40</v>
      </c>
      <c r="C295" s="333"/>
      <c r="D295" s="333"/>
      <c r="E295" s="333"/>
      <c r="F295" s="333"/>
      <c r="G295" s="333"/>
      <c r="H295" s="333"/>
      <c r="I295" s="333"/>
      <c r="J295" s="333"/>
      <c r="K295" s="333"/>
      <c r="M295" s="333">
        <f t="shared" si="54"/>
        <v>20</v>
      </c>
      <c r="N295" s="333" t="e">
        <f t="shared" si="59"/>
        <v>#DIV/0!</v>
      </c>
      <c r="O295" s="333" t="e">
        <f t="shared" si="56"/>
        <v>#DIV/0!</v>
      </c>
      <c r="P295" s="334" t="e">
        <f t="shared" si="57"/>
        <v>#DIV/0!</v>
      </c>
      <c r="Q295" s="334" t="e">
        <f t="shared" si="58"/>
        <v>#DIV/0!</v>
      </c>
    </row>
    <row r="296" spans="2:17" x14ac:dyDescent="0.3">
      <c r="B296" s="333">
        <v>40</v>
      </c>
      <c r="C296" s="333"/>
      <c r="D296" s="333"/>
      <c r="E296" s="333"/>
      <c r="F296" s="333"/>
      <c r="G296" s="333"/>
      <c r="H296" s="333"/>
      <c r="I296" s="333"/>
      <c r="J296" s="333"/>
      <c r="K296" s="333"/>
      <c r="M296" s="333">
        <f t="shared" si="54"/>
        <v>20</v>
      </c>
      <c r="N296" s="333" t="e">
        <f t="shared" si="59"/>
        <v>#DIV/0!</v>
      </c>
      <c r="O296" s="333" t="e">
        <f t="shared" si="56"/>
        <v>#DIV/0!</v>
      </c>
      <c r="P296" s="334" t="e">
        <f t="shared" si="57"/>
        <v>#DIV/0!</v>
      </c>
      <c r="Q296" s="334" t="e">
        <f t="shared" si="58"/>
        <v>#DIV/0!</v>
      </c>
    </row>
    <row r="297" spans="2:17" x14ac:dyDescent="0.3">
      <c r="B297" s="333">
        <v>40</v>
      </c>
      <c r="C297" s="333"/>
      <c r="D297" s="333"/>
      <c r="E297" s="333"/>
      <c r="F297" s="333"/>
      <c r="G297" s="333"/>
      <c r="H297" s="333"/>
      <c r="I297" s="333"/>
      <c r="J297" s="333"/>
      <c r="K297" s="333"/>
      <c r="M297" s="333">
        <f t="shared" ref="M297:M352" si="60">B297/2</f>
        <v>20</v>
      </c>
      <c r="N297" s="333" t="e">
        <f t="shared" ref="N297:N352" si="61">(SUM(C297:E297)-SUM($C$189:$E$189))*$F$71</f>
        <v>#DIV/0!</v>
      </c>
      <c r="O297" s="333" t="e">
        <f t="shared" ref="O297:O352" si="62">(SUM(F297:H297)-SUM($F$189:$H$189))*$G$71</f>
        <v>#DIV/0!</v>
      </c>
      <c r="P297" s="334" t="e">
        <f t="shared" si="57"/>
        <v>#DIV/0!</v>
      </c>
      <c r="Q297" s="334" t="e">
        <f t="shared" si="58"/>
        <v>#DIV/0!</v>
      </c>
    </row>
    <row r="298" spans="2:17" x14ac:dyDescent="0.3">
      <c r="B298" s="333">
        <v>40</v>
      </c>
      <c r="C298" s="333"/>
      <c r="D298" s="333"/>
      <c r="E298" s="333"/>
      <c r="F298" s="333"/>
      <c r="G298" s="333"/>
      <c r="H298" s="333"/>
      <c r="I298" s="333"/>
      <c r="J298" s="333"/>
      <c r="K298" s="333"/>
      <c r="M298" s="333">
        <f t="shared" si="60"/>
        <v>20</v>
      </c>
      <c r="N298" s="333" t="e">
        <f t="shared" si="61"/>
        <v>#DIV/0!</v>
      </c>
      <c r="O298" s="333" t="e">
        <f t="shared" si="62"/>
        <v>#DIV/0!</v>
      </c>
      <c r="P298" s="334" t="e">
        <f t="shared" si="57"/>
        <v>#DIV/0!</v>
      </c>
      <c r="Q298" s="334" t="e">
        <f t="shared" si="58"/>
        <v>#DIV/0!</v>
      </c>
    </row>
    <row r="299" spans="2:17" x14ac:dyDescent="0.3">
      <c r="B299" s="333">
        <v>40</v>
      </c>
      <c r="C299" s="333"/>
      <c r="D299" s="333"/>
      <c r="E299" s="333"/>
      <c r="F299" s="333"/>
      <c r="G299" s="333"/>
      <c r="H299" s="333"/>
      <c r="I299" s="333"/>
      <c r="J299" s="333"/>
      <c r="K299" s="333"/>
      <c r="M299" s="333">
        <f t="shared" si="60"/>
        <v>20</v>
      </c>
      <c r="N299" s="333" t="e">
        <f t="shared" si="61"/>
        <v>#DIV/0!</v>
      </c>
      <c r="O299" s="333" t="e">
        <f t="shared" si="62"/>
        <v>#DIV/0!</v>
      </c>
      <c r="P299" s="334" t="e">
        <f t="shared" ref="P299:P352" si="63">N299-M299</f>
        <v>#DIV/0!</v>
      </c>
      <c r="Q299" s="334" t="e">
        <f t="shared" ref="Q299:Q352" si="64">O299-M299</f>
        <v>#DIV/0!</v>
      </c>
    </row>
    <row r="300" spans="2:17" x14ac:dyDescent="0.3">
      <c r="B300" s="333">
        <v>40</v>
      </c>
      <c r="C300" s="333"/>
      <c r="D300" s="333"/>
      <c r="E300" s="333"/>
      <c r="F300" s="333"/>
      <c r="G300" s="333"/>
      <c r="H300" s="333"/>
      <c r="I300" s="333"/>
      <c r="J300" s="333"/>
      <c r="K300" s="333"/>
      <c r="M300" s="333">
        <f t="shared" si="60"/>
        <v>20</v>
      </c>
      <c r="N300" s="333" t="e">
        <f t="shared" si="61"/>
        <v>#DIV/0!</v>
      </c>
      <c r="O300" s="333" t="e">
        <f t="shared" si="62"/>
        <v>#DIV/0!</v>
      </c>
      <c r="P300" s="334" t="e">
        <f t="shared" si="63"/>
        <v>#DIV/0!</v>
      </c>
      <c r="Q300" s="334" t="e">
        <f t="shared" si="64"/>
        <v>#DIV/0!</v>
      </c>
    </row>
    <row r="301" spans="2:17" x14ac:dyDescent="0.3">
      <c r="B301" s="333">
        <v>40</v>
      </c>
      <c r="C301" s="333"/>
      <c r="D301" s="333"/>
      <c r="E301" s="333"/>
      <c r="F301" s="333"/>
      <c r="G301" s="333"/>
      <c r="H301" s="333"/>
      <c r="I301" s="333"/>
      <c r="J301" s="333"/>
      <c r="K301" s="333"/>
      <c r="M301" s="333">
        <f t="shared" si="60"/>
        <v>20</v>
      </c>
      <c r="N301" s="333" t="e">
        <f t="shared" si="61"/>
        <v>#DIV/0!</v>
      </c>
      <c r="O301" s="333" t="e">
        <f t="shared" si="62"/>
        <v>#DIV/0!</v>
      </c>
      <c r="P301" s="334" t="e">
        <f t="shared" si="63"/>
        <v>#DIV/0!</v>
      </c>
      <c r="Q301" s="334" t="e">
        <f t="shared" si="64"/>
        <v>#DIV/0!</v>
      </c>
    </row>
    <row r="302" spans="2:17" x14ac:dyDescent="0.3">
      <c r="B302" s="333">
        <v>40</v>
      </c>
      <c r="C302" s="333"/>
      <c r="D302" s="333"/>
      <c r="E302" s="333"/>
      <c r="F302" s="333"/>
      <c r="G302" s="333"/>
      <c r="H302" s="333"/>
      <c r="I302" s="333"/>
      <c r="J302" s="333"/>
      <c r="K302" s="333"/>
      <c r="M302" s="333">
        <f t="shared" si="60"/>
        <v>20</v>
      </c>
      <c r="N302" s="333" t="e">
        <f t="shared" si="61"/>
        <v>#DIV/0!</v>
      </c>
      <c r="O302" s="333" t="e">
        <f t="shared" si="62"/>
        <v>#DIV/0!</v>
      </c>
      <c r="P302" s="334" t="e">
        <f t="shared" si="63"/>
        <v>#DIV/0!</v>
      </c>
      <c r="Q302" s="334" t="e">
        <f t="shared" si="64"/>
        <v>#DIV/0!</v>
      </c>
    </row>
    <row r="303" spans="2:17" x14ac:dyDescent="0.3">
      <c r="B303" s="333">
        <v>40</v>
      </c>
      <c r="C303" s="333"/>
      <c r="D303" s="333"/>
      <c r="E303" s="333"/>
      <c r="F303" s="333"/>
      <c r="G303" s="333"/>
      <c r="H303" s="333"/>
      <c r="I303" s="333"/>
      <c r="J303" s="333"/>
      <c r="K303" s="333"/>
      <c r="M303" s="333">
        <f t="shared" si="60"/>
        <v>20</v>
      </c>
      <c r="N303" s="333" t="e">
        <f t="shared" si="61"/>
        <v>#DIV/0!</v>
      </c>
      <c r="O303" s="333" t="e">
        <f t="shared" si="62"/>
        <v>#DIV/0!</v>
      </c>
      <c r="P303" s="334" t="e">
        <f t="shared" si="63"/>
        <v>#DIV/0!</v>
      </c>
      <c r="Q303" s="334" t="e">
        <f t="shared" si="64"/>
        <v>#DIV/0!</v>
      </c>
    </row>
    <row r="304" spans="2:17" x14ac:dyDescent="0.3">
      <c r="B304" s="333">
        <v>40</v>
      </c>
      <c r="C304" s="333"/>
      <c r="D304" s="333"/>
      <c r="E304" s="333"/>
      <c r="F304" s="333"/>
      <c r="G304" s="333"/>
      <c r="H304" s="333"/>
      <c r="I304" s="333"/>
      <c r="J304" s="333"/>
      <c r="K304" s="333"/>
      <c r="M304" s="333">
        <f t="shared" si="60"/>
        <v>20</v>
      </c>
      <c r="N304" s="333" t="e">
        <f t="shared" si="61"/>
        <v>#DIV/0!</v>
      </c>
      <c r="O304" s="333" t="e">
        <f t="shared" si="62"/>
        <v>#DIV/0!</v>
      </c>
      <c r="P304" s="334" t="e">
        <f t="shared" si="63"/>
        <v>#DIV/0!</v>
      </c>
      <c r="Q304" s="334" t="e">
        <f t="shared" si="64"/>
        <v>#DIV/0!</v>
      </c>
    </row>
    <row r="305" spans="2:17" x14ac:dyDescent="0.3">
      <c r="B305" s="333">
        <v>40</v>
      </c>
      <c r="C305" s="333"/>
      <c r="D305" s="333"/>
      <c r="E305" s="333"/>
      <c r="F305" s="333"/>
      <c r="G305" s="333"/>
      <c r="H305" s="333"/>
      <c r="I305" s="333"/>
      <c r="J305" s="333"/>
      <c r="K305" s="333"/>
      <c r="M305" s="333">
        <f t="shared" si="60"/>
        <v>20</v>
      </c>
      <c r="N305" s="333" t="e">
        <f t="shared" si="61"/>
        <v>#DIV/0!</v>
      </c>
      <c r="O305" s="333" t="e">
        <f t="shared" si="62"/>
        <v>#DIV/0!</v>
      </c>
      <c r="P305" s="334" t="e">
        <f t="shared" si="63"/>
        <v>#DIV/0!</v>
      </c>
      <c r="Q305" s="334" t="e">
        <f t="shared" si="64"/>
        <v>#DIV/0!</v>
      </c>
    </row>
    <row r="306" spans="2:17" x14ac:dyDescent="0.3">
      <c r="B306" s="333">
        <v>40</v>
      </c>
      <c r="C306" s="333"/>
      <c r="D306" s="333"/>
      <c r="E306" s="333"/>
      <c r="F306" s="333"/>
      <c r="G306" s="333"/>
      <c r="H306" s="333"/>
      <c r="I306" s="333"/>
      <c r="J306" s="333"/>
      <c r="K306" s="333"/>
      <c r="M306" s="333">
        <f t="shared" si="60"/>
        <v>20</v>
      </c>
      <c r="N306" s="333" t="e">
        <f t="shared" si="61"/>
        <v>#DIV/0!</v>
      </c>
      <c r="O306" s="333" t="e">
        <f t="shared" si="62"/>
        <v>#DIV/0!</v>
      </c>
      <c r="P306" s="334" t="e">
        <f t="shared" si="63"/>
        <v>#DIV/0!</v>
      </c>
      <c r="Q306" s="334" t="e">
        <f t="shared" si="64"/>
        <v>#DIV/0!</v>
      </c>
    </row>
    <row r="307" spans="2:17" x14ac:dyDescent="0.3">
      <c r="B307" s="333">
        <v>40</v>
      </c>
      <c r="C307" s="333"/>
      <c r="D307" s="333"/>
      <c r="E307" s="333"/>
      <c r="F307" s="333"/>
      <c r="G307" s="333"/>
      <c r="H307" s="333"/>
      <c r="I307" s="333"/>
      <c r="J307" s="333"/>
      <c r="K307" s="333"/>
      <c r="M307" s="333">
        <f t="shared" si="60"/>
        <v>20</v>
      </c>
      <c r="N307" s="333" t="e">
        <f t="shared" si="61"/>
        <v>#DIV/0!</v>
      </c>
      <c r="O307" s="333" t="e">
        <f t="shared" si="62"/>
        <v>#DIV/0!</v>
      </c>
      <c r="P307" s="334" t="e">
        <f t="shared" si="63"/>
        <v>#DIV/0!</v>
      </c>
      <c r="Q307" s="334" t="e">
        <f t="shared" si="64"/>
        <v>#DIV/0!</v>
      </c>
    </row>
    <row r="308" spans="2:17" x14ac:dyDescent="0.3">
      <c r="B308" s="333">
        <v>40</v>
      </c>
      <c r="C308" s="333"/>
      <c r="D308" s="333"/>
      <c r="E308" s="333"/>
      <c r="F308" s="333"/>
      <c r="G308" s="333"/>
      <c r="H308" s="333"/>
      <c r="I308" s="333"/>
      <c r="J308" s="333"/>
      <c r="K308" s="333"/>
      <c r="M308" s="333">
        <f t="shared" si="60"/>
        <v>20</v>
      </c>
      <c r="N308" s="333" t="e">
        <f t="shared" si="61"/>
        <v>#DIV/0!</v>
      </c>
      <c r="O308" s="333" t="e">
        <f t="shared" si="62"/>
        <v>#DIV/0!</v>
      </c>
      <c r="P308" s="334" t="e">
        <f t="shared" si="63"/>
        <v>#DIV/0!</v>
      </c>
      <c r="Q308" s="334" t="e">
        <f t="shared" si="64"/>
        <v>#DIV/0!</v>
      </c>
    </row>
    <row r="309" spans="2:17" x14ac:dyDescent="0.3">
      <c r="B309" s="333">
        <v>40</v>
      </c>
      <c r="C309" s="333"/>
      <c r="D309" s="333"/>
      <c r="E309" s="333"/>
      <c r="F309" s="333"/>
      <c r="G309" s="333"/>
      <c r="H309" s="333"/>
      <c r="I309" s="333"/>
      <c r="J309" s="333"/>
      <c r="K309" s="333"/>
      <c r="M309" s="333">
        <f t="shared" si="60"/>
        <v>20</v>
      </c>
      <c r="N309" s="333" t="e">
        <f t="shared" si="61"/>
        <v>#DIV/0!</v>
      </c>
      <c r="O309" s="333" t="e">
        <f t="shared" si="62"/>
        <v>#DIV/0!</v>
      </c>
      <c r="P309" s="334" t="e">
        <f t="shared" si="63"/>
        <v>#DIV/0!</v>
      </c>
      <c r="Q309" s="334" t="e">
        <f t="shared" si="64"/>
        <v>#DIV/0!</v>
      </c>
    </row>
    <row r="310" spans="2:17" x14ac:dyDescent="0.3">
      <c r="B310" s="333">
        <v>40</v>
      </c>
      <c r="C310" s="333"/>
      <c r="D310" s="333"/>
      <c r="E310" s="333"/>
      <c r="F310" s="333"/>
      <c r="G310" s="333"/>
      <c r="H310" s="333"/>
      <c r="I310" s="333"/>
      <c r="J310" s="333"/>
      <c r="K310" s="333"/>
      <c r="M310" s="333">
        <f t="shared" si="60"/>
        <v>20</v>
      </c>
      <c r="N310" s="333" t="e">
        <f t="shared" si="61"/>
        <v>#DIV/0!</v>
      </c>
      <c r="O310" s="333" t="e">
        <f t="shared" si="62"/>
        <v>#DIV/0!</v>
      </c>
      <c r="P310" s="334" t="e">
        <f t="shared" si="63"/>
        <v>#DIV/0!</v>
      </c>
      <c r="Q310" s="334" t="e">
        <f t="shared" si="64"/>
        <v>#DIV/0!</v>
      </c>
    </row>
    <row r="311" spans="2:17" x14ac:dyDescent="0.3">
      <c r="B311" s="333">
        <v>40</v>
      </c>
      <c r="C311" s="333"/>
      <c r="D311" s="333"/>
      <c r="E311" s="333"/>
      <c r="F311" s="333"/>
      <c r="G311" s="333"/>
      <c r="H311" s="333"/>
      <c r="I311" s="333"/>
      <c r="J311" s="333"/>
      <c r="K311" s="333"/>
      <c r="M311" s="333">
        <f t="shared" si="60"/>
        <v>20</v>
      </c>
      <c r="N311" s="333" t="e">
        <f t="shared" si="61"/>
        <v>#DIV/0!</v>
      </c>
      <c r="O311" s="333" t="e">
        <f t="shared" si="62"/>
        <v>#DIV/0!</v>
      </c>
      <c r="P311" s="334" t="e">
        <f t="shared" si="63"/>
        <v>#DIV/0!</v>
      </c>
      <c r="Q311" s="334" t="e">
        <f t="shared" si="64"/>
        <v>#DIV/0!</v>
      </c>
    </row>
    <row r="312" spans="2:17" x14ac:dyDescent="0.3">
      <c r="B312" s="333">
        <v>40</v>
      </c>
      <c r="C312" s="333"/>
      <c r="D312" s="333"/>
      <c r="E312" s="333"/>
      <c r="F312" s="333"/>
      <c r="G312" s="333"/>
      <c r="H312" s="333"/>
      <c r="I312" s="333"/>
      <c r="J312" s="333"/>
      <c r="K312" s="333"/>
      <c r="M312" s="333">
        <f t="shared" si="60"/>
        <v>20</v>
      </c>
      <c r="N312" s="333" t="e">
        <f t="shared" si="61"/>
        <v>#DIV/0!</v>
      </c>
      <c r="O312" s="333" t="e">
        <f t="shared" si="62"/>
        <v>#DIV/0!</v>
      </c>
      <c r="P312" s="334" t="e">
        <f t="shared" si="63"/>
        <v>#DIV/0!</v>
      </c>
      <c r="Q312" s="334" t="e">
        <f t="shared" si="64"/>
        <v>#DIV/0!</v>
      </c>
    </row>
    <row r="313" spans="2:17" x14ac:dyDescent="0.3">
      <c r="B313" s="333">
        <v>60</v>
      </c>
      <c r="C313" s="333"/>
      <c r="D313" s="333"/>
      <c r="E313" s="333"/>
      <c r="F313" s="333"/>
      <c r="G313" s="333"/>
      <c r="H313" s="333"/>
      <c r="I313" s="333"/>
      <c r="J313" s="333"/>
      <c r="K313" s="333"/>
      <c r="M313" s="333">
        <f t="shared" si="60"/>
        <v>30</v>
      </c>
      <c r="N313" s="333" t="e">
        <f t="shared" si="61"/>
        <v>#DIV/0!</v>
      </c>
      <c r="O313" s="333" t="e">
        <f t="shared" si="62"/>
        <v>#DIV/0!</v>
      </c>
      <c r="P313" s="334" t="e">
        <f t="shared" si="63"/>
        <v>#DIV/0!</v>
      </c>
      <c r="Q313" s="334" t="e">
        <f t="shared" si="64"/>
        <v>#DIV/0!</v>
      </c>
    </row>
    <row r="314" spans="2:17" x14ac:dyDescent="0.3">
      <c r="B314" s="333">
        <v>60</v>
      </c>
      <c r="C314" s="333"/>
      <c r="D314" s="333"/>
      <c r="E314" s="333"/>
      <c r="F314" s="333"/>
      <c r="G314" s="333"/>
      <c r="H314" s="333"/>
      <c r="I314" s="333"/>
      <c r="J314" s="333"/>
      <c r="K314" s="333"/>
      <c r="M314" s="333">
        <f t="shared" si="60"/>
        <v>30</v>
      </c>
      <c r="N314" s="333" t="e">
        <f t="shared" si="61"/>
        <v>#DIV/0!</v>
      </c>
      <c r="O314" s="333" t="e">
        <f t="shared" si="62"/>
        <v>#DIV/0!</v>
      </c>
      <c r="P314" s="334" t="e">
        <f t="shared" si="63"/>
        <v>#DIV/0!</v>
      </c>
      <c r="Q314" s="334" t="e">
        <f t="shared" si="64"/>
        <v>#DIV/0!</v>
      </c>
    </row>
    <row r="315" spans="2:17" x14ac:dyDescent="0.3">
      <c r="B315" s="333">
        <v>60</v>
      </c>
      <c r="C315" s="333"/>
      <c r="D315" s="333"/>
      <c r="E315" s="333"/>
      <c r="F315" s="333"/>
      <c r="G315" s="333"/>
      <c r="H315" s="333"/>
      <c r="I315" s="333"/>
      <c r="J315" s="333"/>
      <c r="K315" s="333"/>
      <c r="M315" s="333">
        <f t="shared" si="60"/>
        <v>30</v>
      </c>
      <c r="N315" s="333" t="e">
        <f t="shared" si="61"/>
        <v>#DIV/0!</v>
      </c>
      <c r="O315" s="333" t="e">
        <f t="shared" si="62"/>
        <v>#DIV/0!</v>
      </c>
      <c r="P315" s="334" t="e">
        <f t="shared" si="63"/>
        <v>#DIV/0!</v>
      </c>
      <c r="Q315" s="334" t="e">
        <f t="shared" si="64"/>
        <v>#DIV/0!</v>
      </c>
    </row>
    <row r="316" spans="2:17" x14ac:dyDescent="0.3">
      <c r="B316" s="333">
        <v>60</v>
      </c>
      <c r="C316" s="333"/>
      <c r="D316" s="333"/>
      <c r="E316" s="333"/>
      <c r="F316" s="333"/>
      <c r="G316" s="333"/>
      <c r="H316" s="333"/>
      <c r="I316" s="333"/>
      <c r="J316" s="333"/>
      <c r="K316" s="333"/>
      <c r="M316" s="333">
        <f t="shared" si="60"/>
        <v>30</v>
      </c>
      <c r="N316" s="333" t="e">
        <f t="shared" si="61"/>
        <v>#DIV/0!</v>
      </c>
      <c r="O316" s="333" t="e">
        <f t="shared" si="62"/>
        <v>#DIV/0!</v>
      </c>
      <c r="P316" s="334" t="e">
        <f t="shared" si="63"/>
        <v>#DIV/0!</v>
      </c>
      <c r="Q316" s="334" t="e">
        <f t="shared" si="64"/>
        <v>#DIV/0!</v>
      </c>
    </row>
    <row r="317" spans="2:17" x14ac:dyDescent="0.3">
      <c r="B317" s="333">
        <v>60</v>
      </c>
      <c r="C317" s="333"/>
      <c r="D317" s="333"/>
      <c r="E317" s="333"/>
      <c r="F317" s="333"/>
      <c r="G317" s="333"/>
      <c r="H317" s="333"/>
      <c r="I317" s="333"/>
      <c r="J317" s="333"/>
      <c r="K317" s="333"/>
      <c r="M317" s="333">
        <f t="shared" si="60"/>
        <v>30</v>
      </c>
      <c r="N317" s="333" t="e">
        <f t="shared" si="61"/>
        <v>#DIV/0!</v>
      </c>
      <c r="O317" s="333" t="e">
        <f t="shared" si="62"/>
        <v>#DIV/0!</v>
      </c>
      <c r="P317" s="334" t="e">
        <f t="shared" si="63"/>
        <v>#DIV/0!</v>
      </c>
      <c r="Q317" s="334" t="e">
        <f t="shared" si="64"/>
        <v>#DIV/0!</v>
      </c>
    </row>
    <row r="318" spans="2:17" x14ac:dyDescent="0.3">
      <c r="B318" s="333">
        <v>60</v>
      </c>
      <c r="C318" s="333"/>
      <c r="D318" s="333"/>
      <c r="E318" s="333"/>
      <c r="F318" s="333"/>
      <c r="G318" s="333"/>
      <c r="H318" s="333"/>
      <c r="I318" s="333"/>
      <c r="J318" s="333"/>
      <c r="K318" s="333"/>
      <c r="M318" s="333">
        <f t="shared" si="60"/>
        <v>30</v>
      </c>
      <c r="N318" s="333" t="e">
        <f t="shared" si="61"/>
        <v>#DIV/0!</v>
      </c>
      <c r="O318" s="333" t="e">
        <f t="shared" si="62"/>
        <v>#DIV/0!</v>
      </c>
      <c r="P318" s="334" t="e">
        <f t="shared" si="63"/>
        <v>#DIV/0!</v>
      </c>
      <c r="Q318" s="334" t="e">
        <f t="shared" si="64"/>
        <v>#DIV/0!</v>
      </c>
    </row>
    <row r="319" spans="2:17" x14ac:dyDescent="0.3">
      <c r="B319" s="333">
        <v>60</v>
      </c>
      <c r="C319" s="333"/>
      <c r="D319" s="333"/>
      <c r="E319" s="333"/>
      <c r="F319" s="333"/>
      <c r="G319" s="333"/>
      <c r="H319" s="333"/>
      <c r="I319" s="333"/>
      <c r="J319" s="333"/>
      <c r="K319" s="333"/>
      <c r="M319" s="333">
        <f t="shared" si="60"/>
        <v>30</v>
      </c>
      <c r="N319" s="333" t="e">
        <f t="shared" si="61"/>
        <v>#DIV/0!</v>
      </c>
      <c r="O319" s="333" t="e">
        <f t="shared" si="62"/>
        <v>#DIV/0!</v>
      </c>
      <c r="P319" s="334" t="e">
        <f t="shared" si="63"/>
        <v>#DIV/0!</v>
      </c>
      <c r="Q319" s="334" t="e">
        <f t="shared" si="64"/>
        <v>#DIV/0!</v>
      </c>
    </row>
    <row r="320" spans="2:17" x14ac:dyDescent="0.3">
      <c r="B320" s="333">
        <v>60</v>
      </c>
      <c r="C320" s="333"/>
      <c r="D320" s="333"/>
      <c r="E320" s="333"/>
      <c r="F320" s="333"/>
      <c r="G320" s="333"/>
      <c r="H320" s="333"/>
      <c r="I320" s="333"/>
      <c r="J320" s="333"/>
      <c r="K320" s="333"/>
      <c r="M320" s="333">
        <f t="shared" si="60"/>
        <v>30</v>
      </c>
      <c r="N320" s="333" t="e">
        <f t="shared" si="61"/>
        <v>#DIV/0!</v>
      </c>
      <c r="O320" s="333" t="e">
        <f t="shared" si="62"/>
        <v>#DIV/0!</v>
      </c>
      <c r="P320" s="334" t="e">
        <f t="shared" si="63"/>
        <v>#DIV/0!</v>
      </c>
      <c r="Q320" s="334" t="e">
        <f t="shared" si="64"/>
        <v>#DIV/0!</v>
      </c>
    </row>
    <row r="321" spans="2:17" x14ac:dyDescent="0.3">
      <c r="B321" s="333">
        <v>60</v>
      </c>
      <c r="C321" s="333"/>
      <c r="D321" s="333"/>
      <c r="E321" s="333"/>
      <c r="F321" s="333"/>
      <c r="G321" s="333"/>
      <c r="H321" s="333"/>
      <c r="I321" s="333"/>
      <c r="J321" s="333"/>
      <c r="K321" s="333"/>
      <c r="M321" s="333">
        <f t="shared" si="60"/>
        <v>30</v>
      </c>
      <c r="N321" s="333" t="e">
        <f t="shared" si="61"/>
        <v>#DIV/0!</v>
      </c>
      <c r="O321" s="333" t="e">
        <f t="shared" si="62"/>
        <v>#DIV/0!</v>
      </c>
      <c r="P321" s="334" t="e">
        <f t="shared" si="63"/>
        <v>#DIV/0!</v>
      </c>
      <c r="Q321" s="334" t="e">
        <f t="shared" si="64"/>
        <v>#DIV/0!</v>
      </c>
    </row>
    <row r="322" spans="2:17" x14ac:dyDescent="0.3">
      <c r="B322" s="333">
        <v>60</v>
      </c>
      <c r="C322" s="333"/>
      <c r="D322" s="333"/>
      <c r="E322" s="333"/>
      <c r="F322" s="333"/>
      <c r="G322" s="333"/>
      <c r="H322" s="333"/>
      <c r="I322" s="333"/>
      <c r="J322" s="333"/>
      <c r="K322" s="333"/>
      <c r="M322" s="333">
        <f t="shared" si="60"/>
        <v>30</v>
      </c>
      <c r="N322" s="333" t="e">
        <f t="shared" si="61"/>
        <v>#DIV/0!</v>
      </c>
      <c r="O322" s="333" t="e">
        <f t="shared" si="62"/>
        <v>#DIV/0!</v>
      </c>
      <c r="P322" s="334" t="e">
        <f t="shared" si="63"/>
        <v>#DIV/0!</v>
      </c>
      <c r="Q322" s="334" t="e">
        <f t="shared" si="64"/>
        <v>#DIV/0!</v>
      </c>
    </row>
    <row r="323" spans="2:17" x14ac:dyDescent="0.3">
      <c r="B323" s="333">
        <v>60</v>
      </c>
      <c r="C323" s="333"/>
      <c r="D323" s="333"/>
      <c r="E323" s="333"/>
      <c r="F323" s="333"/>
      <c r="G323" s="333"/>
      <c r="H323" s="333"/>
      <c r="I323" s="333"/>
      <c r="J323" s="333"/>
      <c r="K323" s="333"/>
      <c r="M323" s="333">
        <f t="shared" si="60"/>
        <v>30</v>
      </c>
      <c r="N323" s="333" t="e">
        <f t="shared" si="61"/>
        <v>#DIV/0!</v>
      </c>
      <c r="O323" s="333" t="e">
        <f t="shared" si="62"/>
        <v>#DIV/0!</v>
      </c>
      <c r="P323" s="334" t="e">
        <f t="shared" si="63"/>
        <v>#DIV/0!</v>
      </c>
      <c r="Q323" s="334" t="e">
        <f t="shared" si="64"/>
        <v>#DIV/0!</v>
      </c>
    </row>
    <row r="324" spans="2:17" x14ac:dyDescent="0.3">
      <c r="B324" s="333">
        <v>60</v>
      </c>
      <c r="C324" s="333"/>
      <c r="D324" s="333"/>
      <c r="E324" s="333"/>
      <c r="F324" s="333"/>
      <c r="G324" s="333"/>
      <c r="H324" s="333"/>
      <c r="I324" s="333"/>
      <c r="J324" s="333"/>
      <c r="K324" s="333"/>
      <c r="M324" s="333">
        <f t="shared" si="60"/>
        <v>30</v>
      </c>
      <c r="N324" s="333" t="e">
        <f t="shared" si="61"/>
        <v>#DIV/0!</v>
      </c>
      <c r="O324" s="333" t="e">
        <f t="shared" si="62"/>
        <v>#DIV/0!</v>
      </c>
      <c r="P324" s="334" t="e">
        <f t="shared" si="63"/>
        <v>#DIV/0!</v>
      </c>
      <c r="Q324" s="334" t="e">
        <f t="shared" si="64"/>
        <v>#DIV/0!</v>
      </c>
    </row>
    <row r="325" spans="2:17" x14ac:dyDescent="0.3">
      <c r="B325" s="333">
        <v>60</v>
      </c>
      <c r="C325" s="333"/>
      <c r="D325" s="333"/>
      <c r="E325" s="333"/>
      <c r="F325" s="333"/>
      <c r="G325" s="333"/>
      <c r="H325" s="333"/>
      <c r="I325" s="333"/>
      <c r="J325" s="333"/>
      <c r="K325" s="333"/>
      <c r="M325" s="333">
        <f t="shared" si="60"/>
        <v>30</v>
      </c>
      <c r="N325" s="333" t="e">
        <f t="shared" si="61"/>
        <v>#DIV/0!</v>
      </c>
      <c r="O325" s="333" t="e">
        <f t="shared" si="62"/>
        <v>#DIV/0!</v>
      </c>
      <c r="P325" s="334" t="e">
        <f t="shared" si="63"/>
        <v>#DIV/0!</v>
      </c>
      <c r="Q325" s="334" t="e">
        <f t="shared" si="64"/>
        <v>#DIV/0!</v>
      </c>
    </row>
    <row r="326" spans="2:17" x14ac:dyDescent="0.3">
      <c r="B326" s="333">
        <v>60</v>
      </c>
      <c r="C326" s="333"/>
      <c r="D326" s="333"/>
      <c r="E326" s="333"/>
      <c r="F326" s="333"/>
      <c r="G326" s="333"/>
      <c r="H326" s="333"/>
      <c r="I326" s="333"/>
      <c r="J326" s="333"/>
      <c r="K326" s="333"/>
      <c r="M326" s="333">
        <f t="shared" si="60"/>
        <v>30</v>
      </c>
      <c r="N326" s="333" t="e">
        <f t="shared" si="61"/>
        <v>#DIV/0!</v>
      </c>
      <c r="O326" s="333" t="e">
        <f t="shared" si="62"/>
        <v>#DIV/0!</v>
      </c>
      <c r="P326" s="334" t="e">
        <f t="shared" si="63"/>
        <v>#DIV/0!</v>
      </c>
      <c r="Q326" s="334" t="e">
        <f t="shared" si="64"/>
        <v>#DIV/0!</v>
      </c>
    </row>
    <row r="327" spans="2:17" x14ac:dyDescent="0.3">
      <c r="B327" s="333">
        <v>60</v>
      </c>
      <c r="C327" s="333"/>
      <c r="D327" s="333"/>
      <c r="E327" s="333"/>
      <c r="F327" s="333"/>
      <c r="G327" s="333"/>
      <c r="H327" s="333"/>
      <c r="I327" s="333"/>
      <c r="J327" s="333"/>
      <c r="K327" s="333"/>
      <c r="M327" s="333">
        <f t="shared" si="60"/>
        <v>30</v>
      </c>
      <c r="N327" s="333" t="e">
        <f t="shared" si="61"/>
        <v>#DIV/0!</v>
      </c>
      <c r="O327" s="333" t="e">
        <f t="shared" si="62"/>
        <v>#DIV/0!</v>
      </c>
      <c r="P327" s="334" t="e">
        <f t="shared" si="63"/>
        <v>#DIV/0!</v>
      </c>
      <c r="Q327" s="334" t="e">
        <f t="shared" si="64"/>
        <v>#DIV/0!</v>
      </c>
    </row>
    <row r="328" spans="2:17" x14ac:dyDescent="0.3">
      <c r="B328" s="333">
        <v>60</v>
      </c>
      <c r="C328" s="333"/>
      <c r="D328" s="333"/>
      <c r="E328" s="333"/>
      <c r="F328" s="333"/>
      <c r="G328" s="333"/>
      <c r="H328" s="333"/>
      <c r="I328" s="333"/>
      <c r="J328" s="333"/>
      <c r="K328" s="333"/>
      <c r="M328" s="333">
        <f t="shared" si="60"/>
        <v>30</v>
      </c>
      <c r="N328" s="333" t="e">
        <f t="shared" si="61"/>
        <v>#DIV/0!</v>
      </c>
      <c r="O328" s="333" t="e">
        <f t="shared" si="62"/>
        <v>#DIV/0!</v>
      </c>
      <c r="P328" s="334" t="e">
        <f t="shared" si="63"/>
        <v>#DIV/0!</v>
      </c>
      <c r="Q328" s="334" t="e">
        <f t="shared" si="64"/>
        <v>#DIV/0!</v>
      </c>
    </row>
    <row r="329" spans="2:17" x14ac:dyDescent="0.3">
      <c r="B329" s="333">
        <v>60</v>
      </c>
      <c r="C329" s="333"/>
      <c r="D329" s="333"/>
      <c r="E329" s="333"/>
      <c r="F329" s="333"/>
      <c r="G329" s="333"/>
      <c r="H329" s="333"/>
      <c r="I329" s="333"/>
      <c r="J329" s="333"/>
      <c r="K329" s="333"/>
      <c r="M329" s="333">
        <f t="shared" si="60"/>
        <v>30</v>
      </c>
      <c r="N329" s="333" t="e">
        <f t="shared" si="61"/>
        <v>#DIV/0!</v>
      </c>
      <c r="O329" s="333" t="e">
        <f t="shared" si="62"/>
        <v>#DIV/0!</v>
      </c>
      <c r="P329" s="334" t="e">
        <f t="shared" si="63"/>
        <v>#DIV/0!</v>
      </c>
      <c r="Q329" s="334" t="e">
        <f t="shared" si="64"/>
        <v>#DIV/0!</v>
      </c>
    </row>
    <row r="330" spans="2:17" x14ac:dyDescent="0.3">
      <c r="B330" s="333">
        <v>60</v>
      </c>
      <c r="C330" s="333"/>
      <c r="D330" s="333"/>
      <c r="E330" s="333"/>
      <c r="F330" s="333"/>
      <c r="G330" s="333"/>
      <c r="H330" s="333"/>
      <c r="I330" s="333"/>
      <c r="J330" s="333"/>
      <c r="K330" s="333"/>
      <c r="M330" s="333">
        <f t="shared" si="60"/>
        <v>30</v>
      </c>
      <c r="N330" s="333" t="e">
        <f t="shared" si="61"/>
        <v>#DIV/0!</v>
      </c>
      <c r="O330" s="333" t="e">
        <f t="shared" si="62"/>
        <v>#DIV/0!</v>
      </c>
      <c r="P330" s="334" t="e">
        <f t="shared" si="63"/>
        <v>#DIV/0!</v>
      </c>
      <c r="Q330" s="334" t="e">
        <f t="shared" si="64"/>
        <v>#DIV/0!</v>
      </c>
    </row>
    <row r="331" spans="2:17" x14ac:dyDescent="0.3">
      <c r="B331" s="333">
        <v>60</v>
      </c>
      <c r="C331" s="333"/>
      <c r="D331" s="333"/>
      <c r="E331" s="333"/>
      <c r="F331" s="333"/>
      <c r="G331" s="333"/>
      <c r="H331" s="333"/>
      <c r="I331" s="333"/>
      <c r="J331" s="333"/>
      <c r="K331" s="333"/>
      <c r="M331" s="333">
        <f t="shared" si="60"/>
        <v>30</v>
      </c>
      <c r="N331" s="333" t="e">
        <f t="shared" si="61"/>
        <v>#DIV/0!</v>
      </c>
      <c r="O331" s="333" t="e">
        <f t="shared" si="62"/>
        <v>#DIV/0!</v>
      </c>
      <c r="P331" s="334" t="e">
        <f t="shared" si="63"/>
        <v>#DIV/0!</v>
      </c>
      <c r="Q331" s="334" t="e">
        <f t="shared" si="64"/>
        <v>#DIV/0!</v>
      </c>
    </row>
    <row r="332" spans="2:17" x14ac:dyDescent="0.3">
      <c r="B332" s="333">
        <v>60</v>
      </c>
      <c r="C332" s="333"/>
      <c r="D332" s="333"/>
      <c r="E332" s="333"/>
      <c r="F332" s="333"/>
      <c r="G332" s="333"/>
      <c r="H332" s="333"/>
      <c r="I332" s="333"/>
      <c r="J332" s="333"/>
      <c r="K332" s="333"/>
      <c r="M332" s="333">
        <f t="shared" si="60"/>
        <v>30</v>
      </c>
      <c r="N332" s="333" t="e">
        <f t="shared" si="61"/>
        <v>#DIV/0!</v>
      </c>
      <c r="O332" s="333" t="e">
        <f t="shared" si="62"/>
        <v>#DIV/0!</v>
      </c>
      <c r="P332" s="334" t="e">
        <f t="shared" si="63"/>
        <v>#DIV/0!</v>
      </c>
      <c r="Q332" s="334" t="e">
        <f t="shared" si="64"/>
        <v>#DIV/0!</v>
      </c>
    </row>
    <row r="333" spans="2:17" x14ac:dyDescent="0.3">
      <c r="B333" s="333">
        <v>80</v>
      </c>
      <c r="C333" s="333"/>
      <c r="D333" s="333"/>
      <c r="E333" s="333"/>
      <c r="F333" s="333"/>
      <c r="G333" s="333"/>
      <c r="H333" s="333"/>
      <c r="I333" s="333"/>
      <c r="J333" s="333"/>
      <c r="K333" s="333"/>
      <c r="M333" s="333">
        <f t="shared" si="60"/>
        <v>40</v>
      </c>
      <c r="N333" s="333" t="e">
        <f t="shared" si="61"/>
        <v>#DIV/0!</v>
      </c>
      <c r="O333" s="333" t="e">
        <f t="shared" si="62"/>
        <v>#DIV/0!</v>
      </c>
      <c r="P333" s="334" t="e">
        <f t="shared" si="63"/>
        <v>#DIV/0!</v>
      </c>
      <c r="Q333" s="334" t="e">
        <f t="shared" si="64"/>
        <v>#DIV/0!</v>
      </c>
    </row>
    <row r="334" spans="2:17" x14ac:dyDescent="0.3">
      <c r="B334" s="333">
        <v>80</v>
      </c>
      <c r="C334" s="333"/>
      <c r="D334" s="333"/>
      <c r="E334" s="333"/>
      <c r="F334" s="333"/>
      <c r="G334" s="333"/>
      <c r="H334" s="333"/>
      <c r="I334" s="333"/>
      <c r="J334" s="333"/>
      <c r="K334" s="333"/>
      <c r="M334" s="333">
        <f t="shared" si="60"/>
        <v>40</v>
      </c>
      <c r="N334" s="333" t="e">
        <f t="shared" si="61"/>
        <v>#DIV/0!</v>
      </c>
      <c r="O334" s="333" t="e">
        <f t="shared" si="62"/>
        <v>#DIV/0!</v>
      </c>
      <c r="P334" s="334" t="e">
        <f t="shared" si="63"/>
        <v>#DIV/0!</v>
      </c>
      <c r="Q334" s="334" t="e">
        <f t="shared" si="64"/>
        <v>#DIV/0!</v>
      </c>
    </row>
    <row r="335" spans="2:17" x14ac:dyDescent="0.3">
      <c r="B335" s="333">
        <v>80</v>
      </c>
      <c r="C335" s="333"/>
      <c r="D335" s="333"/>
      <c r="E335" s="333"/>
      <c r="F335" s="333"/>
      <c r="G335" s="333"/>
      <c r="H335" s="333"/>
      <c r="I335" s="333"/>
      <c r="J335" s="333"/>
      <c r="K335" s="333"/>
      <c r="M335" s="333">
        <f t="shared" si="60"/>
        <v>40</v>
      </c>
      <c r="N335" s="333" t="e">
        <f t="shared" si="61"/>
        <v>#DIV/0!</v>
      </c>
      <c r="O335" s="333" t="e">
        <f t="shared" si="62"/>
        <v>#DIV/0!</v>
      </c>
      <c r="P335" s="334" t="e">
        <f t="shared" si="63"/>
        <v>#DIV/0!</v>
      </c>
      <c r="Q335" s="334" t="e">
        <f t="shared" si="64"/>
        <v>#DIV/0!</v>
      </c>
    </row>
    <row r="336" spans="2:17" x14ac:dyDescent="0.3">
      <c r="B336" s="333">
        <v>80</v>
      </c>
      <c r="C336" s="333"/>
      <c r="D336" s="333"/>
      <c r="E336" s="333"/>
      <c r="F336" s="333"/>
      <c r="G336" s="333"/>
      <c r="H336" s="333"/>
      <c r="I336" s="333"/>
      <c r="J336" s="333"/>
      <c r="K336" s="333"/>
      <c r="M336" s="333">
        <f t="shared" si="60"/>
        <v>40</v>
      </c>
      <c r="N336" s="333" t="e">
        <f t="shared" si="61"/>
        <v>#DIV/0!</v>
      </c>
      <c r="O336" s="333" t="e">
        <f t="shared" si="62"/>
        <v>#DIV/0!</v>
      </c>
      <c r="P336" s="334" t="e">
        <f t="shared" si="63"/>
        <v>#DIV/0!</v>
      </c>
      <c r="Q336" s="334" t="e">
        <f t="shared" si="64"/>
        <v>#DIV/0!</v>
      </c>
    </row>
    <row r="337" spans="2:17" x14ac:dyDescent="0.3">
      <c r="B337" s="333">
        <v>80</v>
      </c>
      <c r="C337" s="333"/>
      <c r="D337" s="333"/>
      <c r="E337" s="333"/>
      <c r="F337" s="333"/>
      <c r="G337" s="333"/>
      <c r="H337" s="333"/>
      <c r="I337" s="333"/>
      <c r="J337" s="333"/>
      <c r="K337" s="333"/>
      <c r="M337" s="333">
        <f t="shared" si="60"/>
        <v>40</v>
      </c>
      <c r="N337" s="333" t="e">
        <f t="shared" si="61"/>
        <v>#DIV/0!</v>
      </c>
      <c r="O337" s="333" t="e">
        <f t="shared" si="62"/>
        <v>#DIV/0!</v>
      </c>
      <c r="P337" s="334" t="e">
        <f t="shared" si="63"/>
        <v>#DIV/0!</v>
      </c>
      <c r="Q337" s="334" t="e">
        <f t="shared" si="64"/>
        <v>#DIV/0!</v>
      </c>
    </row>
    <row r="338" spans="2:17" x14ac:dyDescent="0.3">
      <c r="B338" s="333">
        <v>80</v>
      </c>
      <c r="C338" s="333"/>
      <c r="D338" s="333"/>
      <c r="E338" s="333"/>
      <c r="F338" s="333"/>
      <c r="G338" s="333"/>
      <c r="H338" s="333"/>
      <c r="I338" s="333"/>
      <c r="J338" s="333"/>
      <c r="K338" s="333"/>
      <c r="M338" s="333">
        <f t="shared" si="60"/>
        <v>40</v>
      </c>
      <c r="N338" s="333" t="e">
        <f t="shared" si="61"/>
        <v>#DIV/0!</v>
      </c>
      <c r="O338" s="333" t="e">
        <f t="shared" si="62"/>
        <v>#DIV/0!</v>
      </c>
      <c r="P338" s="334" t="e">
        <f t="shared" si="63"/>
        <v>#DIV/0!</v>
      </c>
      <c r="Q338" s="334" t="e">
        <f t="shared" si="64"/>
        <v>#DIV/0!</v>
      </c>
    </row>
    <row r="339" spans="2:17" x14ac:dyDescent="0.3">
      <c r="B339" s="333">
        <v>80</v>
      </c>
      <c r="C339" s="333"/>
      <c r="D339" s="333"/>
      <c r="E339" s="333"/>
      <c r="F339" s="333"/>
      <c r="G339" s="333"/>
      <c r="H339" s="333"/>
      <c r="I339" s="333"/>
      <c r="J339" s="333"/>
      <c r="K339" s="333"/>
      <c r="M339" s="333">
        <f t="shared" si="60"/>
        <v>40</v>
      </c>
      <c r="N339" s="333" t="e">
        <f t="shared" si="61"/>
        <v>#DIV/0!</v>
      </c>
      <c r="O339" s="333" t="e">
        <f t="shared" si="62"/>
        <v>#DIV/0!</v>
      </c>
      <c r="P339" s="334" t="e">
        <f t="shared" si="63"/>
        <v>#DIV/0!</v>
      </c>
      <c r="Q339" s="334" t="e">
        <f t="shared" si="64"/>
        <v>#DIV/0!</v>
      </c>
    </row>
    <row r="340" spans="2:17" x14ac:dyDescent="0.3">
      <c r="B340" s="333">
        <v>80</v>
      </c>
      <c r="C340" s="333"/>
      <c r="D340" s="333"/>
      <c r="E340" s="333"/>
      <c r="F340" s="333"/>
      <c r="G340" s="333"/>
      <c r="H340" s="333"/>
      <c r="I340" s="333"/>
      <c r="J340" s="333"/>
      <c r="K340" s="333"/>
      <c r="M340" s="333">
        <f t="shared" si="60"/>
        <v>40</v>
      </c>
      <c r="N340" s="333" t="e">
        <f t="shared" si="61"/>
        <v>#DIV/0!</v>
      </c>
      <c r="O340" s="333" t="e">
        <f t="shared" si="62"/>
        <v>#DIV/0!</v>
      </c>
      <c r="P340" s="334" t="e">
        <f t="shared" si="63"/>
        <v>#DIV/0!</v>
      </c>
      <c r="Q340" s="334" t="e">
        <f t="shared" si="64"/>
        <v>#DIV/0!</v>
      </c>
    </row>
    <row r="341" spans="2:17" x14ac:dyDescent="0.3">
      <c r="B341" s="333">
        <v>80</v>
      </c>
      <c r="C341" s="333"/>
      <c r="D341" s="333"/>
      <c r="E341" s="333"/>
      <c r="F341" s="333"/>
      <c r="G341" s="333"/>
      <c r="H341" s="333"/>
      <c r="I341" s="333"/>
      <c r="J341" s="333"/>
      <c r="K341" s="333"/>
      <c r="M341" s="333">
        <f t="shared" si="60"/>
        <v>40</v>
      </c>
      <c r="N341" s="333" t="e">
        <f t="shared" si="61"/>
        <v>#DIV/0!</v>
      </c>
      <c r="O341" s="333" t="e">
        <f t="shared" si="62"/>
        <v>#DIV/0!</v>
      </c>
      <c r="P341" s="334" t="e">
        <f t="shared" si="63"/>
        <v>#DIV/0!</v>
      </c>
      <c r="Q341" s="334" t="e">
        <f t="shared" si="64"/>
        <v>#DIV/0!</v>
      </c>
    </row>
    <row r="342" spans="2:17" x14ac:dyDescent="0.3">
      <c r="B342" s="333">
        <v>80</v>
      </c>
      <c r="C342" s="333"/>
      <c r="D342" s="333"/>
      <c r="E342" s="333"/>
      <c r="F342" s="333"/>
      <c r="G342" s="333"/>
      <c r="H342" s="333"/>
      <c r="I342" s="333"/>
      <c r="J342" s="333"/>
      <c r="K342" s="333"/>
      <c r="M342" s="333">
        <f t="shared" si="60"/>
        <v>40</v>
      </c>
      <c r="N342" s="333" t="e">
        <f t="shared" si="61"/>
        <v>#DIV/0!</v>
      </c>
      <c r="O342" s="333" t="e">
        <f t="shared" si="62"/>
        <v>#DIV/0!</v>
      </c>
      <c r="P342" s="334" t="e">
        <f t="shared" si="63"/>
        <v>#DIV/0!</v>
      </c>
      <c r="Q342" s="334" t="e">
        <f t="shared" si="64"/>
        <v>#DIV/0!</v>
      </c>
    </row>
    <row r="343" spans="2:17" x14ac:dyDescent="0.3">
      <c r="B343" s="333">
        <v>80</v>
      </c>
      <c r="C343" s="333"/>
      <c r="D343" s="333"/>
      <c r="E343" s="333"/>
      <c r="F343" s="333"/>
      <c r="G343" s="333"/>
      <c r="H343" s="333"/>
      <c r="I343" s="333"/>
      <c r="J343" s="333"/>
      <c r="K343" s="333"/>
      <c r="M343" s="333">
        <f t="shared" si="60"/>
        <v>40</v>
      </c>
      <c r="N343" s="333" t="e">
        <f t="shared" si="61"/>
        <v>#DIV/0!</v>
      </c>
      <c r="O343" s="333" t="e">
        <f t="shared" si="62"/>
        <v>#DIV/0!</v>
      </c>
      <c r="P343" s="334" t="e">
        <f t="shared" si="63"/>
        <v>#DIV/0!</v>
      </c>
      <c r="Q343" s="334" t="e">
        <f t="shared" si="64"/>
        <v>#DIV/0!</v>
      </c>
    </row>
    <row r="344" spans="2:17" x14ac:dyDescent="0.3">
      <c r="B344" s="333">
        <v>80</v>
      </c>
      <c r="C344" s="333"/>
      <c r="D344" s="333"/>
      <c r="E344" s="333"/>
      <c r="F344" s="333"/>
      <c r="G344" s="333"/>
      <c r="H344" s="333"/>
      <c r="I344" s="333"/>
      <c r="J344" s="333"/>
      <c r="K344" s="333"/>
      <c r="M344" s="333">
        <f t="shared" si="60"/>
        <v>40</v>
      </c>
      <c r="N344" s="333" t="e">
        <f t="shared" si="61"/>
        <v>#DIV/0!</v>
      </c>
      <c r="O344" s="333" t="e">
        <f t="shared" si="62"/>
        <v>#DIV/0!</v>
      </c>
      <c r="P344" s="334" t="e">
        <f t="shared" si="63"/>
        <v>#DIV/0!</v>
      </c>
      <c r="Q344" s="334" t="e">
        <f t="shared" si="64"/>
        <v>#DIV/0!</v>
      </c>
    </row>
    <row r="345" spans="2:17" x14ac:dyDescent="0.3">
      <c r="B345" s="333">
        <v>80</v>
      </c>
      <c r="C345" s="333"/>
      <c r="D345" s="333"/>
      <c r="E345" s="333"/>
      <c r="F345" s="333"/>
      <c r="G345" s="333"/>
      <c r="H345" s="333"/>
      <c r="I345" s="333"/>
      <c r="J345" s="333"/>
      <c r="K345" s="333"/>
      <c r="M345" s="333">
        <f t="shared" si="60"/>
        <v>40</v>
      </c>
      <c r="N345" s="333" t="e">
        <f t="shared" si="61"/>
        <v>#DIV/0!</v>
      </c>
      <c r="O345" s="333" t="e">
        <f t="shared" si="62"/>
        <v>#DIV/0!</v>
      </c>
      <c r="P345" s="334" t="e">
        <f t="shared" si="63"/>
        <v>#DIV/0!</v>
      </c>
      <c r="Q345" s="334" t="e">
        <f t="shared" si="64"/>
        <v>#DIV/0!</v>
      </c>
    </row>
    <row r="346" spans="2:17" x14ac:dyDescent="0.3">
      <c r="B346" s="333">
        <v>80</v>
      </c>
      <c r="C346" s="333"/>
      <c r="D346" s="333"/>
      <c r="E346" s="333"/>
      <c r="F346" s="333"/>
      <c r="G346" s="333"/>
      <c r="H346" s="333"/>
      <c r="I346" s="333"/>
      <c r="J346" s="333"/>
      <c r="K346" s="333"/>
      <c r="M346" s="333">
        <f t="shared" si="60"/>
        <v>40</v>
      </c>
      <c r="N346" s="333" t="e">
        <f t="shared" si="61"/>
        <v>#DIV/0!</v>
      </c>
      <c r="O346" s="333" t="e">
        <f t="shared" si="62"/>
        <v>#DIV/0!</v>
      </c>
      <c r="P346" s="334" t="e">
        <f t="shared" si="63"/>
        <v>#DIV/0!</v>
      </c>
      <c r="Q346" s="334" t="e">
        <f t="shared" si="64"/>
        <v>#DIV/0!</v>
      </c>
    </row>
    <row r="347" spans="2:17" x14ac:dyDescent="0.3">
      <c r="B347" s="333">
        <v>80</v>
      </c>
      <c r="C347" s="333"/>
      <c r="D347" s="333"/>
      <c r="E347" s="333"/>
      <c r="F347" s="333"/>
      <c r="G347" s="333"/>
      <c r="H347" s="333"/>
      <c r="I347" s="333"/>
      <c r="J347" s="333"/>
      <c r="K347" s="333"/>
      <c r="M347" s="333">
        <f t="shared" si="60"/>
        <v>40</v>
      </c>
      <c r="N347" s="333" t="e">
        <f t="shared" si="61"/>
        <v>#DIV/0!</v>
      </c>
      <c r="O347" s="333" t="e">
        <f t="shared" si="62"/>
        <v>#DIV/0!</v>
      </c>
      <c r="P347" s="334" t="e">
        <f t="shared" si="63"/>
        <v>#DIV/0!</v>
      </c>
      <c r="Q347" s="334" t="e">
        <f t="shared" si="64"/>
        <v>#DIV/0!</v>
      </c>
    </row>
    <row r="348" spans="2:17" x14ac:dyDescent="0.3">
      <c r="B348" s="333">
        <v>80</v>
      </c>
      <c r="C348" s="333"/>
      <c r="D348" s="333"/>
      <c r="E348" s="333"/>
      <c r="F348" s="333"/>
      <c r="G348" s="333"/>
      <c r="H348" s="333"/>
      <c r="I348" s="333"/>
      <c r="J348" s="333"/>
      <c r="K348" s="333"/>
      <c r="M348" s="333">
        <f t="shared" si="60"/>
        <v>40</v>
      </c>
      <c r="N348" s="333" t="e">
        <f t="shared" si="61"/>
        <v>#DIV/0!</v>
      </c>
      <c r="O348" s="333" t="e">
        <f t="shared" si="62"/>
        <v>#DIV/0!</v>
      </c>
      <c r="P348" s="334" t="e">
        <f t="shared" si="63"/>
        <v>#DIV/0!</v>
      </c>
      <c r="Q348" s="334" t="e">
        <f t="shared" si="64"/>
        <v>#DIV/0!</v>
      </c>
    </row>
    <row r="349" spans="2:17" x14ac:dyDescent="0.3">
      <c r="B349" s="333">
        <v>80</v>
      </c>
      <c r="C349" s="333"/>
      <c r="D349" s="333"/>
      <c r="E349" s="333"/>
      <c r="F349" s="333"/>
      <c r="G349" s="333"/>
      <c r="H349" s="333"/>
      <c r="I349" s="333"/>
      <c r="J349" s="333"/>
      <c r="K349" s="333"/>
      <c r="M349" s="333">
        <f t="shared" si="60"/>
        <v>40</v>
      </c>
      <c r="N349" s="333" t="e">
        <f t="shared" si="61"/>
        <v>#DIV/0!</v>
      </c>
      <c r="O349" s="333" t="e">
        <f t="shared" si="62"/>
        <v>#DIV/0!</v>
      </c>
      <c r="P349" s="334" t="e">
        <f t="shared" si="63"/>
        <v>#DIV/0!</v>
      </c>
      <c r="Q349" s="334" t="e">
        <f t="shared" si="64"/>
        <v>#DIV/0!</v>
      </c>
    </row>
    <row r="350" spans="2:17" x14ac:dyDescent="0.3">
      <c r="B350" s="333">
        <v>80</v>
      </c>
      <c r="C350" s="333"/>
      <c r="D350" s="333"/>
      <c r="E350" s="333"/>
      <c r="F350" s="333"/>
      <c r="G350" s="333"/>
      <c r="H350" s="333"/>
      <c r="I350" s="333"/>
      <c r="J350" s="333"/>
      <c r="K350" s="333"/>
      <c r="M350" s="333">
        <f t="shared" si="60"/>
        <v>40</v>
      </c>
      <c r="N350" s="333" t="e">
        <f t="shared" si="61"/>
        <v>#DIV/0!</v>
      </c>
      <c r="O350" s="333" t="e">
        <f t="shared" si="62"/>
        <v>#DIV/0!</v>
      </c>
      <c r="P350" s="334" t="e">
        <f t="shared" si="63"/>
        <v>#DIV/0!</v>
      </c>
      <c r="Q350" s="334" t="e">
        <f t="shared" si="64"/>
        <v>#DIV/0!</v>
      </c>
    </row>
    <row r="351" spans="2:17" x14ac:dyDescent="0.3">
      <c r="B351" s="333">
        <v>80</v>
      </c>
      <c r="C351" s="333"/>
      <c r="D351" s="333"/>
      <c r="E351" s="333"/>
      <c r="F351" s="333"/>
      <c r="G351" s="333"/>
      <c r="H351" s="333"/>
      <c r="I351" s="333"/>
      <c r="J351" s="333"/>
      <c r="K351" s="333"/>
      <c r="M351" s="333">
        <f t="shared" si="60"/>
        <v>40</v>
      </c>
      <c r="N351" s="333" t="e">
        <f t="shared" si="61"/>
        <v>#DIV/0!</v>
      </c>
      <c r="O351" s="333" t="e">
        <f t="shared" si="62"/>
        <v>#DIV/0!</v>
      </c>
      <c r="P351" s="334" t="e">
        <f t="shared" si="63"/>
        <v>#DIV/0!</v>
      </c>
      <c r="Q351" s="334" t="e">
        <f t="shared" si="64"/>
        <v>#DIV/0!</v>
      </c>
    </row>
    <row r="352" spans="2:17" x14ac:dyDescent="0.3">
      <c r="B352" s="333">
        <v>80</v>
      </c>
      <c r="C352" s="333"/>
      <c r="D352" s="333"/>
      <c r="E352" s="333"/>
      <c r="F352" s="333"/>
      <c r="G352" s="333"/>
      <c r="H352" s="333"/>
      <c r="I352" s="333"/>
      <c r="J352" s="333"/>
      <c r="K352" s="333"/>
      <c r="M352" s="333">
        <f t="shared" si="60"/>
        <v>40</v>
      </c>
      <c r="N352" s="333" t="e">
        <f t="shared" si="61"/>
        <v>#DIV/0!</v>
      </c>
      <c r="O352" s="333" t="e">
        <f t="shared" si="62"/>
        <v>#DIV/0!</v>
      </c>
      <c r="P352" s="334" t="e">
        <f t="shared" si="63"/>
        <v>#DIV/0!</v>
      </c>
      <c r="Q352" s="334" t="e">
        <f t="shared" si="64"/>
        <v>#DIV/0!</v>
      </c>
    </row>
    <row r="355" spans="2:17" x14ac:dyDescent="0.3">
      <c r="B355" s="451" t="s">
        <v>761</v>
      </c>
      <c r="C355" s="452"/>
      <c r="D355" s="452"/>
      <c r="E355" s="452"/>
      <c r="F355" s="452"/>
      <c r="G355" s="452"/>
      <c r="H355" s="452"/>
      <c r="I355" s="452"/>
      <c r="J355" s="452"/>
      <c r="K355" s="452"/>
      <c r="M355" s="451" t="s">
        <v>762</v>
      </c>
      <c r="N355" s="452"/>
      <c r="O355" s="452"/>
      <c r="P355" s="407" t="s">
        <v>763</v>
      </c>
      <c r="Q355" s="409"/>
    </row>
    <row r="356" spans="2:17" x14ac:dyDescent="0.3">
      <c r="B356" s="230" t="s">
        <v>222</v>
      </c>
      <c r="C356" s="230" t="s">
        <v>779</v>
      </c>
      <c r="D356" s="230" t="s">
        <v>223</v>
      </c>
      <c r="E356" s="230" t="s">
        <v>224</v>
      </c>
      <c r="F356" s="230" t="s">
        <v>225</v>
      </c>
      <c r="G356" s="230" t="s">
        <v>226</v>
      </c>
      <c r="H356" s="230" t="s">
        <v>227</v>
      </c>
      <c r="I356" s="230" t="s">
        <v>789</v>
      </c>
      <c r="J356" s="230" t="s">
        <v>790</v>
      </c>
      <c r="K356" s="230" t="s">
        <v>230</v>
      </c>
      <c r="M356" s="230" t="s">
        <v>764</v>
      </c>
      <c r="N356" s="230" t="s">
        <v>437</v>
      </c>
      <c r="O356" s="230" t="s">
        <v>438</v>
      </c>
      <c r="P356" s="226" t="s">
        <v>437</v>
      </c>
      <c r="Q356" s="226" t="s">
        <v>438</v>
      </c>
    </row>
    <row r="357" spans="2:17" x14ac:dyDescent="0.3">
      <c r="B357" s="333">
        <v>0</v>
      </c>
      <c r="C357" s="333"/>
      <c r="D357" s="333"/>
      <c r="E357" s="333"/>
      <c r="F357" s="333"/>
      <c r="G357" s="333"/>
      <c r="H357" s="333"/>
      <c r="I357" s="333"/>
      <c r="J357" s="333"/>
      <c r="K357" s="333"/>
      <c r="M357" s="333">
        <f t="shared" ref="M357:M420" si="65">B357/2</f>
        <v>0</v>
      </c>
      <c r="N357" s="333" t="e">
        <f>(SUM(C357:E357)-SUM($C$190:$E$190))*$F$71</f>
        <v>#DIV/0!</v>
      </c>
      <c r="O357" s="333" t="e">
        <f>(SUM(F357:H357)-SUM($F$190:$H$190))*$G$71</f>
        <v>#DIV/0!</v>
      </c>
      <c r="P357" s="334" t="e">
        <f>N357-M357</f>
        <v>#DIV/0!</v>
      </c>
      <c r="Q357" s="334" t="e">
        <f>O357-M357</f>
        <v>#DIV/0!</v>
      </c>
    </row>
    <row r="358" spans="2:17" x14ac:dyDescent="0.3">
      <c r="B358" s="333">
        <v>0</v>
      </c>
      <c r="C358" s="333"/>
      <c r="D358" s="333"/>
      <c r="E358" s="333"/>
      <c r="F358" s="333"/>
      <c r="G358" s="333"/>
      <c r="H358" s="333"/>
      <c r="I358" s="333"/>
      <c r="J358" s="333"/>
      <c r="K358" s="333"/>
      <c r="M358" s="333">
        <f t="shared" si="65"/>
        <v>0</v>
      </c>
      <c r="N358" s="333" t="e">
        <f>(SUM(C358:E358)-SUM($C$190:$E$190))*$F$71</f>
        <v>#DIV/0!</v>
      </c>
      <c r="O358" s="333" t="e">
        <f>(SUM(F358:H358)-SUM($F$190:$H$190))*$G$71</f>
        <v>#DIV/0!</v>
      </c>
      <c r="P358" s="334" t="e">
        <f>N358-M358</f>
        <v>#DIV/0!</v>
      </c>
      <c r="Q358" s="334" t="e">
        <f>O358-M358</f>
        <v>#DIV/0!</v>
      </c>
    </row>
    <row r="359" spans="2:17" x14ac:dyDescent="0.3">
      <c r="B359" s="333">
        <v>0</v>
      </c>
      <c r="C359" s="333"/>
      <c r="D359" s="333"/>
      <c r="E359" s="333"/>
      <c r="F359" s="333"/>
      <c r="G359" s="333"/>
      <c r="H359" s="333"/>
      <c r="I359" s="333"/>
      <c r="J359" s="333"/>
      <c r="K359" s="333"/>
      <c r="M359" s="333">
        <f t="shared" si="65"/>
        <v>0</v>
      </c>
      <c r="N359" s="333" t="e">
        <f t="shared" ref="N359:N422" si="66">(SUM(C359:E359)-SUM($C$190:$E$190))*$F$71</f>
        <v>#DIV/0!</v>
      </c>
      <c r="O359" s="333" t="e">
        <f t="shared" ref="O359:O422" si="67">(SUM(F359:H359)-SUM($F$190:$H$190))*$G$71</f>
        <v>#DIV/0!</v>
      </c>
      <c r="P359" s="334" t="e">
        <f t="shared" ref="P359:P422" si="68">N359-M359</f>
        <v>#DIV/0!</v>
      </c>
      <c r="Q359" s="334" t="e">
        <f t="shared" ref="Q359:Q422" si="69">O359-M359</f>
        <v>#DIV/0!</v>
      </c>
    </row>
    <row r="360" spans="2:17" x14ac:dyDescent="0.3">
      <c r="B360" s="333">
        <v>0</v>
      </c>
      <c r="C360" s="333"/>
      <c r="D360" s="333"/>
      <c r="E360" s="333"/>
      <c r="F360" s="333"/>
      <c r="G360" s="333"/>
      <c r="H360" s="333"/>
      <c r="I360" s="333"/>
      <c r="J360" s="333"/>
      <c r="K360" s="333"/>
      <c r="M360" s="333">
        <f t="shared" si="65"/>
        <v>0</v>
      </c>
      <c r="N360" s="333" t="e">
        <f t="shared" si="66"/>
        <v>#DIV/0!</v>
      </c>
      <c r="O360" s="333" t="e">
        <f t="shared" si="67"/>
        <v>#DIV/0!</v>
      </c>
      <c r="P360" s="334" t="e">
        <f t="shared" si="68"/>
        <v>#DIV/0!</v>
      </c>
      <c r="Q360" s="334" t="e">
        <f t="shared" si="69"/>
        <v>#DIV/0!</v>
      </c>
    </row>
    <row r="361" spans="2:17" x14ac:dyDescent="0.3">
      <c r="B361" s="333">
        <v>0</v>
      </c>
      <c r="C361" s="333"/>
      <c r="D361" s="333"/>
      <c r="E361" s="333"/>
      <c r="F361" s="333"/>
      <c r="G361" s="333"/>
      <c r="H361" s="333"/>
      <c r="I361" s="333"/>
      <c r="J361" s="333"/>
      <c r="K361" s="333"/>
      <c r="M361" s="333">
        <f t="shared" si="65"/>
        <v>0</v>
      </c>
      <c r="N361" s="333" t="e">
        <f t="shared" si="66"/>
        <v>#DIV/0!</v>
      </c>
      <c r="O361" s="333" t="e">
        <f t="shared" si="67"/>
        <v>#DIV/0!</v>
      </c>
      <c r="P361" s="334" t="e">
        <f t="shared" si="68"/>
        <v>#DIV/0!</v>
      </c>
      <c r="Q361" s="334" t="e">
        <f t="shared" si="69"/>
        <v>#DIV/0!</v>
      </c>
    </row>
    <row r="362" spans="2:17" x14ac:dyDescent="0.3">
      <c r="B362" s="333">
        <v>0</v>
      </c>
      <c r="C362" s="333"/>
      <c r="D362" s="333"/>
      <c r="E362" s="333"/>
      <c r="F362" s="333"/>
      <c r="G362" s="333"/>
      <c r="H362" s="333"/>
      <c r="I362" s="333"/>
      <c r="J362" s="333"/>
      <c r="K362" s="333"/>
      <c r="M362" s="333">
        <f t="shared" si="65"/>
        <v>0</v>
      </c>
      <c r="N362" s="333" t="e">
        <f t="shared" si="66"/>
        <v>#DIV/0!</v>
      </c>
      <c r="O362" s="333" t="e">
        <f t="shared" si="67"/>
        <v>#DIV/0!</v>
      </c>
      <c r="P362" s="334" t="e">
        <f t="shared" si="68"/>
        <v>#DIV/0!</v>
      </c>
      <c r="Q362" s="334" t="e">
        <f t="shared" si="69"/>
        <v>#DIV/0!</v>
      </c>
    </row>
    <row r="363" spans="2:17" x14ac:dyDescent="0.3">
      <c r="B363" s="333">
        <v>0</v>
      </c>
      <c r="C363" s="333"/>
      <c r="D363" s="333"/>
      <c r="E363" s="333"/>
      <c r="F363" s="333"/>
      <c r="G363" s="333"/>
      <c r="H363" s="333"/>
      <c r="I363" s="333"/>
      <c r="J363" s="333"/>
      <c r="K363" s="333"/>
      <c r="M363" s="333">
        <f t="shared" si="65"/>
        <v>0</v>
      </c>
      <c r="N363" s="333" t="e">
        <f t="shared" si="66"/>
        <v>#DIV/0!</v>
      </c>
      <c r="O363" s="333" t="e">
        <f t="shared" si="67"/>
        <v>#DIV/0!</v>
      </c>
      <c r="P363" s="334" t="e">
        <f t="shared" si="68"/>
        <v>#DIV/0!</v>
      </c>
      <c r="Q363" s="334" t="e">
        <f t="shared" si="69"/>
        <v>#DIV/0!</v>
      </c>
    </row>
    <row r="364" spans="2:17" x14ac:dyDescent="0.3">
      <c r="B364" s="333">
        <v>0</v>
      </c>
      <c r="C364" s="333"/>
      <c r="D364" s="333"/>
      <c r="E364" s="333"/>
      <c r="F364" s="333"/>
      <c r="G364" s="333"/>
      <c r="H364" s="333"/>
      <c r="I364" s="333"/>
      <c r="J364" s="333"/>
      <c r="K364" s="333"/>
      <c r="M364" s="333">
        <f t="shared" si="65"/>
        <v>0</v>
      </c>
      <c r="N364" s="333" t="e">
        <f t="shared" si="66"/>
        <v>#DIV/0!</v>
      </c>
      <c r="O364" s="333" t="e">
        <f t="shared" si="67"/>
        <v>#DIV/0!</v>
      </c>
      <c r="P364" s="334" t="e">
        <f t="shared" si="68"/>
        <v>#DIV/0!</v>
      </c>
      <c r="Q364" s="334" t="e">
        <f t="shared" si="69"/>
        <v>#DIV/0!</v>
      </c>
    </row>
    <row r="365" spans="2:17" x14ac:dyDescent="0.3">
      <c r="B365" s="333">
        <v>0</v>
      </c>
      <c r="C365" s="333"/>
      <c r="D365" s="333"/>
      <c r="E365" s="333"/>
      <c r="F365" s="333"/>
      <c r="G365" s="333"/>
      <c r="H365" s="333"/>
      <c r="I365" s="333"/>
      <c r="J365" s="333"/>
      <c r="K365" s="333"/>
      <c r="M365" s="333">
        <f t="shared" si="65"/>
        <v>0</v>
      </c>
      <c r="N365" s="333" t="e">
        <f t="shared" si="66"/>
        <v>#DIV/0!</v>
      </c>
      <c r="O365" s="333" t="e">
        <f t="shared" si="67"/>
        <v>#DIV/0!</v>
      </c>
      <c r="P365" s="334" t="e">
        <f t="shared" si="68"/>
        <v>#DIV/0!</v>
      </c>
      <c r="Q365" s="334" t="e">
        <f t="shared" si="69"/>
        <v>#DIV/0!</v>
      </c>
    </row>
    <row r="366" spans="2:17" x14ac:dyDescent="0.3">
      <c r="B366" s="333">
        <v>0</v>
      </c>
      <c r="C366" s="333"/>
      <c r="D366" s="333"/>
      <c r="E366" s="333"/>
      <c r="F366" s="333"/>
      <c r="G366" s="333"/>
      <c r="H366" s="333"/>
      <c r="I366" s="333"/>
      <c r="J366" s="333"/>
      <c r="K366" s="333"/>
      <c r="M366" s="333">
        <f t="shared" si="65"/>
        <v>0</v>
      </c>
      <c r="N366" s="333" t="e">
        <f t="shared" si="66"/>
        <v>#DIV/0!</v>
      </c>
      <c r="O366" s="333" t="e">
        <f t="shared" si="67"/>
        <v>#DIV/0!</v>
      </c>
      <c r="P366" s="334" t="e">
        <f t="shared" si="68"/>
        <v>#DIV/0!</v>
      </c>
      <c r="Q366" s="334" t="e">
        <f t="shared" si="69"/>
        <v>#DIV/0!</v>
      </c>
    </row>
    <row r="367" spans="2:17" x14ac:dyDescent="0.3">
      <c r="B367" s="333">
        <v>0</v>
      </c>
      <c r="C367" s="333"/>
      <c r="D367" s="333"/>
      <c r="E367" s="333"/>
      <c r="F367" s="333"/>
      <c r="G367" s="333"/>
      <c r="H367" s="333"/>
      <c r="I367" s="333"/>
      <c r="J367" s="333"/>
      <c r="K367" s="333"/>
      <c r="M367" s="333">
        <f t="shared" si="65"/>
        <v>0</v>
      </c>
      <c r="N367" s="333" t="e">
        <f t="shared" si="66"/>
        <v>#DIV/0!</v>
      </c>
      <c r="O367" s="333" t="e">
        <f t="shared" si="67"/>
        <v>#DIV/0!</v>
      </c>
      <c r="P367" s="334" t="e">
        <f t="shared" si="68"/>
        <v>#DIV/0!</v>
      </c>
      <c r="Q367" s="334" t="e">
        <f t="shared" si="69"/>
        <v>#DIV/0!</v>
      </c>
    </row>
    <row r="368" spans="2:17" x14ac:dyDescent="0.3">
      <c r="B368" s="333">
        <v>0</v>
      </c>
      <c r="C368" s="333"/>
      <c r="D368" s="333"/>
      <c r="E368" s="333"/>
      <c r="F368" s="333"/>
      <c r="G368" s="333"/>
      <c r="H368" s="333"/>
      <c r="I368" s="333"/>
      <c r="J368" s="333"/>
      <c r="K368" s="333"/>
      <c r="M368" s="333">
        <f t="shared" si="65"/>
        <v>0</v>
      </c>
      <c r="N368" s="333" t="e">
        <f t="shared" si="66"/>
        <v>#DIV/0!</v>
      </c>
      <c r="O368" s="333" t="e">
        <f t="shared" si="67"/>
        <v>#DIV/0!</v>
      </c>
      <c r="P368" s="334" t="e">
        <f t="shared" si="68"/>
        <v>#DIV/0!</v>
      </c>
      <c r="Q368" s="334" t="e">
        <f t="shared" si="69"/>
        <v>#DIV/0!</v>
      </c>
    </row>
    <row r="369" spans="2:17" x14ac:dyDescent="0.3">
      <c r="B369" s="333">
        <v>0</v>
      </c>
      <c r="C369" s="333"/>
      <c r="D369" s="333"/>
      <c r="E369" s="333"/>
      <c r="F369" s="333"/>
      <c r="G369" s="333"/>
      <c r="H369" s="333"/>
      <c r="I369" s="333"/>
      <c r="J369" s="333"/>
      <c r="K369" s="333"/>
      <c r="M369" s="333">
        <f t="shared" si="65"/>
        <v>0</v>
      </c>
      <c r="N369" s="333" t="e">
        <f t="shared" si="66"/>
        <v>#DIV/0!</v>
      </c>
      <c r="O369" s="333" t="e">
        <f t="shared" si="67"/>
        <v>#DIV/0!</v>
      </c>
      <c r="P369" s="334" t="e">
        <f t="shared" si="68"/>
        <v>#DIV/0!</v>
      </c>
      <c r="Q369" s="334" t="e">
        <f t="shared" si="69"/>
        <v>#DIV/0!</v>
      </c>
    </row>
    <row r="370" spans="2:17" x14ac:dyDescent="0.3">
      <c r="B370" s="333">
        <v>0</v>
      </c>
      <c r="C370" s="333"/>
      <c r="D370" s="333"/>
      <c r="E370" s="333"/>
      <c r="F370" s="333"/>
      <c r="G370" s="333"/>
      <c r="H370" s="333"/>
      <c r="I370" s="333"/>
      <c r="J370" s="333"/>
      <c r="K370" s="333"/>
      <c r="M370" s="333">
        <f t="shared" si="65"/>
        <v>0</v>
      </c>
      <c r="N370" s="333" t="e">
        <f t="shared" si="66"/>
        <v>#DIV/0!</v>
      </c>
      <c r="O370" s="333" t="e">
        <f t="shared" si="67"/>
        <v>#DIV/0!</v>
      </c>
      <c r="P370" s="334" t="e">
        <f t="shared" si="68"/>
        <v>#DIV/0!</v>
      </c>
      <c r="Q370" s="334" t="e">
        <f t="shared" si="69"/>
        <v>#DIV/0!</v>
      </c>
    </row>
    <row r="371" spans="2:17" x14ac:dyDescent="0.3">
      <c r="B371" s="333">
        <v>0</v>
      </c>
      <c r="C371" s="333"/>
      <c r="D371" s="333"/>
      <c r="E371" s="333"/>
      <c r="F371" s="333"/>
      <c r="G371" s="333"/>
      <c r="H371" s="333"/>
      <c r="I371" s="333"/>
      <c r="J371" s="333"/>
      <c r="K371" s="333"/>
      <c r="M371" s="333">
        <f t="shared" si="65"/>
        <v>0</v>
      </c>
      <c r="N371" s="333" t="e">
        <f t="shared" si="66"/>
        <v>#DIV/0!</v>
      </c>
      <c r="O371" s="333" t="e">
        <f t="shared" si="67"/>
        <v>#DIV/0!</v>
      </c>
      <c r="P371" s="334" t="e">
        <f t="shared" si="68"/>
        <v>#DIV/0!</v>
      </c>
      <c r="Q371" s="334" t="e">
        <f t="shared" si="69"/>
        <v>#DIV/0!</v>
      </c>
    </row>
    <row r="372" spans="2:17" x14ac:dyDescent="0.3">
      <c r="B372" s="333">
        <v>0</v>
      </c>
      <c r="C372" s="333"/>
      <c r="D372" s="333"/>
      <c r="E372" s="333"/>
      <c r="F372" s="333"/>
      <c r="G372" s="333"/>
      <c r="H372" s="333"/>
      <c r="I372" s="333"/>
      <c r="J372" s="333"/>
      <c r="K372" s="333"/>
      <c r="M372" s="333">
        <f t="shared" si="65"/>
        <v>0</v>
      </c>
      <c r="N372" s="333" t="e">
        <f t="shared" si="66"/>
        <v>#DIV/0!</v>
      </c>
      <c r="O372" s="333" t="e">
        <f t="shared" si="67"/>
        <v>#DIV/0!</v>
      </c>
      <c r="P372" s="334" t="e">
        <f t="shared" si="68"/>
        <v>#DIV/0!</v>
      </c>
      <c r="Q372" s="334" t="e">
        <f t="shared" si="69"/>
        <v>#DIV/0!</v>
      </c>
    </row>
    <row r="373" spans="2:17" x14ac:dyDescent="0.3">
      <c r="B373" s="333">
        <v>0</v>
      </c>
      <c r="C373" s="333"/>
      <c r="D373" s="333"/>
      <c r="E373" s="333"/>
      <c r="F373" s="333"/>
      <c r="G373" s="333"/>
      <c r="H373" s="333"/>
      <c r="I373" s="333"/>
      <c r="J373" s="333"/>
      <c r="K373" s="333"/>
      <c r="M373" s="333">
        <f t="shared" si="65"/>
        <v>0</v>
      </c>
      <c r="N373" s="333" t="e">
        <f t="shared" si="66"/>
        <v>#DIV/0!</v>
      </c>
      <c r="O373" s="333" t="e">
        <f t="shared" si="67"/>
        <v>#DIV/0!</v>
      </c>
      <c r="P373" s="334" t="e">
        <f t="shared" si="68"/>
        <v>#DIV/0!</v>
      </c>
      <c r="Q373" s="334" t="e">
        <f t="shared" si="69"/>
        <v>#DIV/0!</v>
      </c>
    </row>
    <row r="374" spans="2:17" x14ac:dyDescent="0.3">
      <c r="B374" s="333">
        <v>0</v>
      </c>
      <c r="C374" s="333"/>
      <c r="D374" s="333"/>
      <c r="E374" s="333"/>
      <c r="F374" s="333"/>
      <c r="G374" s="333"/>
      <c r="H374" s="333"/>
      <c r="I374" s="333"/>
      <c r="J374" s="333"/>
      <c r="K374" s="333"/>
      <c r="M374" s="333">
        <f t="shared" si="65"/>
        <v>0</v>
      </c>
      <c r="N374" s="333" t="e">
        <f t="shared" si="66"/>
        <v>#DIV/0!</v>
      </c>
      <c r="O374" s="333" t="e">
        <f t="shared" si="67"/>
        <v>#DIV/0!</v>
      </c>
      <c r="P374" s="334" t="e">
        <f t="shared" si="68"/>
        <v>#DIV/0!</v>
      </c>
      <c r="Q374" s="334" t="e">
        <f t="shared" si="69"/>
        <v>#DIV/0!</v>
      </c>
    </row>
    <row r="375" spans="2:17" x14ac:dyDescent="0.3">
      <c r="B375" s="333">
        <v>0</v>
      </c>
      <c r="C375" s="333"/>
      <c r="D375" s="333"/>
      <c r="E375" s="333"/>
      <c r="F375" s="333"/>
      <c r="G375" s="333"/>
      <c r="H375" s="333"/>
      <c r="I375" s="333"/>
      <c r="J375" s="333"/>
      <c r="K375" s="333"/>
      <c r="M375" s="333">
        <f t="shared" si="65"/>
        <v>0</v>
      </c>
      <c r="N375" s="333" t="e">
        <f t="shared" si="66"/>
        <v>#DIV/0!</v>
      </c>
      <c r="O375" s="333" t="e">
        <f t="shared" si="67"/>
        <v>#DIV/0!</v>
      </c>
      <c r="P375" s="334" t="e">
        <f t="shared" si="68"/>
        <v>#DIV/0!</v>
      </c>
      <c r="Q375" s="334" t="e">
        <f t="shared" si="69"/>
        <v>#DIV/0!</v>
      </c>
    </row>
    <row r="376" spans="2:17" x14ac:dyDescent="0.3">
      <c r="B376" s="333">
        <v>0</v>
      </c>
      <c r="C376" s="333"/>
      <c r="D376" s="333"/>
      <c r="E376" s="333"/>
      <c r="F376" s="333"/>
      <c r="G376" s="333"/>
      <c r="H376" s="333"/>
      <c r="I376" s="333"/>
      <c r="J376" s="333"/>
      <c r="K376" s="333"/>
      <c r="M376" s="333">
        <f t="shared" si="65"/>
        <v>0</v>
      </c>
      <c r="N376" s="333" t="e">
        <f t="shared" si="66"/>
        <v>#DIV/0!</v>
      </c>
      <c r="O376" s="333" t="e">
        <f t="shared" si="67"/>
        <v>#DIV/0!</v>
      </c>
      <c r="P376" s="334" t="e">
        <f t="shared" si="68"/>
        <v>#DIV/0!</v>
      </c>
      <c r="Q376" s="334" t="e">
        <f t="shared" si="69"/>
        <v>#DIV/0!</v>
      </c>
    </row>
    <row r="377" spans="2:17" x14ac:dyDescent="0.3">
      <c r="B377" s="333">
        <v>10</v>
      </c>
      <c r="C377" s="333"/>
      <c r="D377" s="333"/>
      <c r="E377" s="333"/>
      <c r="F377" s="333"/>
      <c r="G377" s="333"/>
      <c r="H377" s="333"/>
      <c r="I377" s="333"/>
      <c r="J377" s="333"/>
      <c r="K377" s="333"/>
      <c r="M377" s="333">
        <f t="shared" si="65"/>
        <v>5</v>
      </c>
      <c r="N377" s="333" t="e">
        <f t="shared" si="66"/>
        <v>#DIV/0!</v>
      </c>
      <c r="O377" s="333" t="e">
        <f t="shared" si="67"/>
        <v>#DIV/0!</v>
      </c>
      <c r="P377" s="334" t="e">
        <f t="shared" si="68"/>
        <v>#DIV/0!</v>
      </c>
      <c r="Q377" s="334" t="e">
        <f t="shared" si="69"/>
        <v>#DIV/0!</v>
      </c>
    </row>
    <row r="378" spans="2:17" x14ac:dyDescent="0.3">
      <c r="B378" s="333">
        <v>10</v>
      </c>
      <c r="C378" s="333"/>
      <c r="D378" s="333"/>
      <c r="E378" s="333"/>
      <c r="F378" s="333"/>
      <c r="G378" s="333"/>
      <c r="H378" s="333"/>
      <c r="I378" s="333"/>
      <c r="J378" s="333"/>
      <c r="K378" s="333"/>
      <c r="M378" s="333">
        <f t="shared" si="65"/>
        <v>5</v>
      </c>
      <c r="N378" s="333" t="e">
        <f t="shared" si="66"/>
        <v>#DIV/0!</v>
      </c>
      <c r="O378" s="333" t="e">
        <f t="shared" si="67"/>
        <v>#DIV/0!</v>
      </c>
      <c r="P378" s="334" t="e">
        <f t="shared" si="68"/>
        <v>#DIV/0!</v>
      </c>
      <c r="Q378" s="334" t="e">
        <f t="shared" si="69"/>
        <v>#DIV/0!</v>
      </c>
    </row>
    <row r="379" spans="2:17" x14ac:dyDescent="0.3">
      <c r="B379" s="333">
        <v>10</v>
      </c>
      <c r="C379" s="333"/>
      <c r="D379" s="333"/>
      <c r="E379" s="333"/>
      <c r="F379" s="333"/>
      <c r="G379" s="333"/>
      <c r="H379" s="333"/>
      <c r="I379" s="333"/>
      <c r="J379" s="333"/>
      <c r="K379" s="333"/>
      <c r="M379" s="333">
        <f t="shared" si="65"/>
        <v>5</v>
      </c>
      <c r="N379" s="333" t="e">
        <f t="shared" si="66"/>
        <v>#DIV/0!</v>
      </c>
      <c r="O379" s="333" t="e">
        <f t="shared" si="67"/>
        <v>#DIV/0!</v>
      </c>
      <c r="P379" s="334" t="e">
        <f t="shared" si="68"/>
        <v>#DIV/0!</v>
      </c>
      <c r="Q379" s="334" t="e">
        <f t="shared" si="69"/>
        <v>#DIV/0!</v>
      </c>
    </row>
    <row r="380" spans="2:17" x14ac:dyDescent="0.3">
      <c r="B380" s="333">
        <v>10</v>
      </c>
      <c r="C380" s="333"/>
      <c r="D380" s="333"/>
      <c r="E380" s="333"/>
      <c r="F380" s="333"/>
      <c r="G380" s="333"/>
      <c r="H380" s="333"/>
      <c r="I380" s="333"/>
      <c r="J380" s="333"/>
      <c r="K380" s="333"/>
      <c r="M380" s="333">
        <f t="shared" si="65"/>
        <v>5</v>
      </c>
      <c r="N380" s="333" t="e">
        <f t="shared" si="66"/>
        <v>#DIV/0!</v>
      </c>
      <c r="O380" s="333" t="e">
        <f t="shared" si="67"/>
        <v>#DIV/0!</v>
      </c>
      <c r="P380" s="334" t="e">
        <f t="shared" si="68"/>
        <v>#DIV/0!</v>
      </c>
      <c r="Q380" s="334" t="e">
        <f t="shared" si="69"/>
        <v>#DIV/0!</v>
      </c>
    </row>
    <row r="381" spans="2:17" x14ac:dyDescent="0.3">
      <c r="B381" s="333">
        <v>10</v>
      </c>
      <c r="C381" s="333"/>
      <c r="D381" s="333"/>
      <c r="E381" s="333"/>
      <c r="F381" s="333"/>
      <c r="G381" s="333"/>
      <c r="H381" s="333"/>
      <c r="I381" s="333"/>
      <c r="J381" s="333"/>
      <c r="K381" s="333"/>
      <c r="M381" s="333">
        <f t="shared" si="65"/>
        <v>5</v>
      </c>
      <c r="N381" s="333" t="e">
        <f t="shared" si="66"/>
        <v>#DIV/0!</v>
      </c>
      <c r="O381" s="333" t="e">
        <f t="shared" si="67"/>
        <v>#DIV/0!</v>
      </c>
      <c r="P381" s="334" t="e">
        <f t="shared" si="68"/>
        <v>#DIV/0!</v>
      </c>
      <c r="Q381" s="334" t="e">
        <f t="shared" si="69"/>
        <v>#DIV/0!</v>
      </c>
    </row>
    <row r="382" spans="2:17" x14ac:dyDescent="0.3">
      <c r="B382" s="333">
        <v>10</v>
      </c>
      <c r="C382" s="333"/>
      <c r="D382" s="333"/>
      <c r="E382" s="333"/>
      <c r="F382" s="333"/>
      <c r="G382" s="333"/>
      <c r="H382" s="333"/>
      <c r="I382" s="333"/>
      <c r="J382" s="333"/>
      <c r="K382" s="333"/>
      <c r="M382" s="333">
        <f t="shared" si="65"/>
        <v>5</v>
      </c>
      <c r="N382" s="333" t="e">
        <f t="shared" si="66"/>
        <v>#DIV/0!</v>
      </c>
      <c r="O382" s="333" t="e">
        <f t="shared" si="67"/>
        <v>#DIV/0!</v>
      </c>
      <c r="P382" s="334" t="e">
        <f t="shared" si="68"/>
        <v>#DIV/0!</v>
      </c>
      <c r="Q382" s="334" t="e">
        <f t="shared" si="69"/>
        <v>#DIV/0!</v>
      </c>
    </row>
    <row r="383" spans="2:17" x14ac:dyDescent="0.3">
      <c r="B383" s="333">
        <v>10</v>
      </c>
      <c r="C383" s="333"/>
      <c r="D383" s="333"/>
      <c r="E383" s="333"/>
      <c r="F383" s="333"/>
      <c r="G383" s="333"/>
      <c r="H383" s="333"/>
      <c r="I383" s="333"/>
      <c r="J383" s="333"/>
      <c r="K383" s="333"/>
      <c r="M383" s="333">
        <f t="shared" si="65"/>
        <v>5</v>
      </c>
      <c r="N383" s="333" t="e">
        <f t="shared" si="66"/>
        <v>#DIV/0!</v>
      </c>
      <c r="O383" s="333" t="e">
        <f t="shared" si="67"/>
        <v>#DIV/0!</v>
      </c>
      <c r="P383" s="334" t="e">
        <f t="shared" si="68"/>
        <v>#DIV/0!</v>
      </c>
      <c r="Q383" s="334" t="e">
        <f t="shared" si="69"/>
        <v>#DIV/0!</v>
      </c>
    </row>
    <row r="384" spans="2:17" x14ac:dyDescent="0.3">
      <c r="B384" s="333">
        <v>10</v>
      </c>
      <c r="C384" s="333"/>
      <c r="D384" s="333"/>
      <c r="E384" s="333"/>
      <c r="F384" s="333"/>
      <c r="G384" s="333"/>
      <c r="H384" s="333"/>
      <c r="I384" s="333"/>
      <c r="J384" s="333"/>
      <c r="K384" s="333"/>
      <c r="M384" s="333">
        <f t="shared" si="65"/>
        <v>5</v>
      </c>
      <c r="N384" s="333" t="e">
        <f t="shared" si="66"/>
        <v>#DIV/0!</v>
      </c>
      <c r="O384" s="333" t="e">
        <f t="shared" si="67"/>
        <v>#DIV/0!</v>
      </c>
      <c r="P384" s="334" t="e">
        <f t="shared" si="68"/>
        <v>#DIV/0!</v>
      </c>
      <c r="Q384" s="334" t="e">
        <f t="shared" si="69"/>
        <v>#DIV/0!</v>
      </c>
    </row>
    <row r="385" spans="2:17" x14ac:dyDescent="0.3">
      <c r="B385" s="333">
        <v>10</v>
      </c>
      <c r="C385" s="333"/>
      <c r="D385" s="333"/>
      <c r="E385" s="333"/>
      <c r="F385" s="333"/>
      <c r="G385" s="333"/>
      <c r="H385" s="333"/>
      <c r="I385" s="333"/>
      <c r="J385" s="333"/>
      <c r="K385" s="333"/>
      <c r="M385" s="333">
        <f t="shared" si="65"/>
        <v>5</v>
      </c>
      <c r="N385" s="333" t="e">
        <f t="shared" si="66"/>
        <v>#DIV/0!</v>
      </c>
      <c r="O385" s="333" t="e">
        <f t="shared" si="67"/>
        <v>#DIV/0!</v>
      </c>
      <c r="P385" s="334" t="e">
        <f t="shared" si="68"/>
        <v>#DIV/0!</v>
      </c>
      <c r="Q385" s="334" t="e">
        <f t="shared" si="69"/>
        <v>#DIV/0!</v>
      </c>
    </row>
    <row r="386" spans="2:17" x14ac:dyDescent="0.3">
      <c r="B386" s="333">
        <v>10</v>
      </c>
      <c r="C386" s="333"/>
      <c r="D386" s="333"/>
      <c r="E386" s="333"/>
      <c r="F386" s="333"/>
      <c r="G386" s="333"/>
      <c r="H386" s="333"/>
      <c r="I386" s="333"/>
      <c r="J386" s="333"/>
      <c r="K386" s="333"/>
      <c r="M386" s="333">
        <f t="shared" si="65"/>
        <v>5</v>
      </c>
      <c r="N386" s="333" t="e">
        <f t="shared" si="66"/>
        <v>#DIV/0!</v>
      </c>
      <c r="O386" s="333" t="e">
        <f t="shared" si="67"/>
        <v>#DIV/0!</v>
      </c>
      <c r="P386" s="334" t="e">
        <f t="shared" si="68"/>
        <v>#DIV/0!</v>
      </c>
      <c r="Q386" s="334" t="e">
        <f t="shared" si="69"/>
        <v>#DIV/0!</v>
      </c>
    </row>
    <row r="387" spans="2:17" x14ac:dyDescent="0.3">
      <c r="B387" s="333">
        <v>10</v>
      </c>
      <c r="C387" s="333"/>
      <c r="D387" s="333"/>
      <c r="E387" s="333"/>
      <c r="F387" s="333"/>
      <c r="G387" s="333"/>
      <c r="H387" s="333"/>
      <c r="I387" s="333"/>
      <c r="J387" s="333"/>
      <c r="K387" s="333"/>
      <c r="M387" s="333">
        <f t="shared" si="65"/>
        <v>5</v>
      </c>
      <c r="N387" s="333" t="e">
        <f t="shared" si="66"/>
        <v>#DIV/0!</v>
      </c>
      <c r="O387" s="333" t="e">
        <f t="shared" si="67"/>
        <v>#DIV/0!</v>
      </c>
      <c r="P387" s="334" t="e">
        <f t="shared" si="68"/>
        <v>#DIV/0!</v>
      </c>
      <c r="Q387" s="334" t="e">
        <f t="shared" si="69"/>
        <v>#DIV/0!</v>
      </c>
    </row>
    <row r="388" spans="2:17" x14ac:dyDescent="0.3">
      <c r="B388" s="333">
        <v>10</v>
      </c>
      <c r="C388" s="333"/>
      <c r="D388" s="333"/>
      <c r="E388" s="333"/>
      <c r="F388" s="333"/>
      <c r="G388" s="333"/>
      <c r="H388" s="333"/>
      <c r="I388" s="333"/>
      <c r="J388" s="333"/>
      <c r="K388" s="333"/>
      <c r="M388" s="333">
        <f t="shared" si="65"/>
        <v>5</v>
      </c>
      <c r="N388" s="333" t="e">
        <f t="shared" si="66"/>
        <v>#DIV/0!</v>
      </c>
      <c r="O388" s="333" t="e">
        <f t="shared" si="67"/>
        <v>#DIV/0!</v>
      </c>
      <c r="P388" s="334" t="e">
        <f t="shared" si="68"/>
        <v>#DIV/0!</v>
      </c>
      <c r="Q388" s="334" t="e">
        <f t="shared" si="69"/>
        <v>#DIV/0!</v>
      </c>
    </row>
    <row r="389" spans="2:17" x14ac:dyDescent="0.3">
      <c r="B389" s="333">
        <v>10</v>
      </c>
      <c r="C389" s="333"/>
      <c r="D389" s="333"/>
      <c r="E389" s="333"/>
      <c r="F389" s="333"/>
      <c r="G389" s="333"/>
      <c r="H389" s="333"/>
      <c r="I389" s="333"/>
      <c r="J389" s="333"/>
      <c r="K389" s="333"/>
      <c r="M389" s="333">
        <f t="shared" si="65"/>
        <v>5</v>
      </c>
      <c r="N389" s="333" t="e">
        <f t="shared" si="66"/>
        <v>#DIV/0!</v>
      </c>
      <c r="O389" s="333" t="e">
        <f t="shared" si="67"/>
        <v>#DIV/0!</v>
      </c>
      <c r="P389" s="334" t="e">
        <f t="shared" si="68"/>
        <v>#DIV/0!</v>
      </c>
      <c r="Q389" s="334" t="e">
        <f t="shared" si="69"/>
        <v>#DIV/0!</v>
      </c>
    </row>
    <row r="390" spans="2:17" x14ac:dyDescent="0.3">
      <c r="B390" s="333">
        <v>10</v>
      </c>
      <c r="C390" s="333"/>
      <c r="D390" s="333"/>
      <c r="E390" s="333"/>
      <c r="F390" s="333"/>
      <c r="G390" s="333"/>
      <c r="H390" s="333"/>
      <c r="I390" s="333"/>
      <c r="J390" s="333"/>
      <c r="K390" s="333"/>
      <c r="M390" s="333">
        <f t="shared" si="65"/>
        <v>5</v>
      </c>
      <c r="N390" s="333" t="e">
        <f t="shared" si="66"/>
        <v>#DIV/0!</v>
      </c>
      <c r="O390" s="333" t="e">
        <f t="shared" si="67"/>
        <v>#DIV/0!</v>
      </c>
      <c r="P390" s="334" t="e">
        <f t="shared" si="68"/>
        <v>#DIV/0!</v>
      </c>
      <c r="Q390" s="334" t="e">
        <f t="shared" si="69"/>
        <v>#DIV/0!</v>
      </c>
    </row>
    <row r="391" spans="2:17" x14ac:dyDescent="0.3">
      <c r="B391" s="333">
        <v>10</v>
      </c>
      <c r="C391" s="333"/>
      <c r="D391" s="333"/>
      <c r="E391" s="333"/>
      <c r="F391" s="333"/>
      <c r="G391" s="333"/>
      <c r="H391" s="333"/>
      <c r="I391" s="333"/>
      <c r="J391" s="333"/>
      <c r="K391" s="333"/>
      <c r="M391" s="333">
        <f t="shared" si="65"/>
        <v>5</v>
      </c>
      <c r="N391" s="333" t="e">
        <f t="shared" si="66"/>
        <v>#DIV/0!</v>
      </c>
      <c r="O391" s="333" t="e">
        <f t="shared" si="67"/>
        <v>#DIV/0!</v>
      </c>
      <c r="P391" s="334" t="e">
        <f t="shared" si="68"/>
        <v>#DIV/0!</v>
      </c>
      <c r="Q391" s="334" t="e">
        <f t="shared" si="69"/>
        <v>#DIV/0!</v>
      </c>
    </row>
    <row r="392" spans="2:17" x14ac:dyDescent="0.3">
      <c r="B392" s="333">
        <v>10</v>
      </c>
      <c r="C392" s="333"/>
      <c r="D392" s="333"/>
      <c r="E392" s="333"/>
      <c r="F392" s="333"/>
      <c r="G392" s="333"/>
      <c r="H392" s="333"/>
      <c r="I392" s="333"/>
      <c r="J392" s="333"/>
      <c r="K392" s="333"/>
      <c r="M392" s="333">
        <f t="shared" si="65"/>
        <v>5</v>
      </c>
      <c r="N392" s="333" t="e">
        <f t="shared" si="66"/>
        <v>#DIV/0!</v>
      </c>
      <c r="O392" s="333" t="e">
        <f t="shared" si="67"/>
        <v>#DIV/0!</v>
      </c>
      <c r="P392" s="334" t="e">
        <f t="shared" si="68"/>
        <v>#DIV/0!</v>
      </c>
      <c r="Q392" s="334" t="e">
        <f t="shared" si="69"/>
        <v>#DIV/0!</v>
      </c>
    </row>
    <row r="393" spans="2:17" x14ac:dyDescent="0.3">
      <c r="B393" s="333">
        <v>10</v>
      </c>
      <c r="C393" s="333"/>
      <c r="D393" s="333"/>
      <c r="E393" s="333"/>
      <c r="F393" s="333"/>
      <c r="G393" s="333"/>
      <c r="H393" s="333"/>
      <c r="I393" s="333"/>
      <c r="J393" s="333"/>
      <c r="K393" s="333"/>
      <c r="M393" s="333">
        <f t="shared" si="65"/>
        <v>5</v>
      </c>
      <c r="N393" s="333" t="e">
        <f t="shared" si="66"/>
        <v>#DIV/0!</v>
      </c>
      <c r="O393" s="333" t="e">
        <f t="shared" si="67"/>
        <v>#DIV/0!</v>
      </c>
      <c r="P393" s="334" t="e">
        <f t="shared" si="68"/>
        <v>#DIV/0!</v>
      </c>
      <c r="Q393" s="334" t="e">
        <f t="shared" si="69"/>
        <v>#DIV/0!</v>
      </c>
    </row>
    <row r="394" spans="2:17" x14ac:dyDescent="0.3">
      <c r="B394" s="333">
        <v>10</v>
      </c>
      <c r="C394" s="333"/>
      <c r="D394" s="333"/>
      <c r="E394" s="333"/>
      <c r="F394" s="333"/>
      <c r="G394" s="333"/>
      <c r="H394" s="333"/>
      <c r="I394" s="333"/>
      <c r="J394" s="333"/>
      <c r="K394" s="333"/>
      <c r="M394" s="333">
        <f t="shared" si="65"/>
        <v>5</v>
      </c>
      <c r="N394" s="333" t="e">
        <f t="shared" si="66"/>
        <v>#DIV/0!</v>
      </c>
      <c r="O394" s="333" t="e">
        <f t="shared" si="67"/>
        <v>#DIV/0!</v>
      </c>
      <c r="P394" s="334" t="e">
        <f t="shared" si="68"/>
        <v>#DIV/0!</v>
      </c>
      <c r="Q394" s="334" t="e">
        <f t="shared" si="69"/>
        <v>#DIV/0!</v>
      </c>
    </row>
    <row r="395" spans="2:17" x14ac:dyDescent="0.3">
      <c r="B395" s="333">
        <v>10</v>
      </c>
      <c r="C395" s="333"/>
      <c r="D395" s="333"/>
      <c r="E395" s="333"/>
      <c r="F395" s="333"/>
      <c r="G395" s="333"/>
      <c r="H395" s="333"/>
      <c r="I395" s="333"/>
      <c r="J395" s="333"/>
      <c r="K395" s="333"/>
      <c r="M395" s="333">
        <f t="shared" si="65"/>
        <v>5</v>
      </c>
      <c r="N395" s="333" t="e">
        <f t="shared" si="66"/>
        <v>#DIV/0!</v>
      </c>
      <c r="O395" s="333" t="e">
        <f t="shared" si="67"/>
        <v>#DIV/0!</v>
      </c>
      <c r="P395" s="334" t="e">
        <f t="shared" si="68"/>
        <v>#DIV/0!</v>
      </c>
      <c r="Q395" s="334" t="e">
        <f t="shared" si="69"/>
        <v>#DIV/0!</v>
      </c>
    </row>
    <row r="396" spans="2:17" x14ac:dyDescent="0.3">
      <c r="B396" s="333">
        <v>10</v>
      </c>
      <c r="C396" s="333"/>
      <c r="D396" s="333"/>
      <c r="E396" s="333"/>
      <c r="F396" s="333"/>
      <c r="G396" s="333"/>
      <c r="H396" s="333"/>
      <c r="I396" s="333"/>
      <c r="J396" s="333"/>
      <c r="K396" s="333"/>
      <c r="M396" s="333">
        <f t="shared" si="65"/>
        <v>5</v>
      </c>
      <c r="N396" s="333" t="e">
        <f t="shared" si="66"/>
        <v>#DIV/0!</v>
      </c>
      <c r="O396" s="333" t="e">
        <f t="shared" si="67"/>
        <v>#DIV/0!</v>
      </c>
      <c r="P396" s="334" t="e">
        <f t="shared" si="68"/>
        <v>#DIV/0!</v>
      </c>
      <c r="Q396" s="334" t="e">
        <f t="shared" si="69"/>
        <v>#DIV/0!</v>
      </c>
    </row>
    <row r="397" spans="2:17" x14ac:dyDescent="0.3">
      <c r="B397" s="333">
        <v>20</v>
      </c>
      <c r="C397" s="333"/>
      <c r="D397" s="333"/>
      <c r="E397" s="333"/>
      <c r="F397" s="333"/>
      <c r="G397" s="333"/>
      <c r="H397" s="333"/>
      <c r="I397" s="333"/>
      <c r="J397" s="333"/>
      <c r="K397" s="333"/>
      <c r="M397" s="333">
        <f t="shared" si="65"/>
        <v>10</v>
      </c>
      <c r="N397" s="333" t="e">
        <f t="shared" si="66"/>
        <v>#DIV/0!</v>
      </c>
      <c r="O397" s="333" t="e">
        <f t="shared" si="67"/>
        <v>#DIV/0!</v>
      </c>
      <c r="P397" s="334" t="e">
        <f t="shared" si="68"/>
        <v>#DIV/0!</v>
      </c>
      <c r="Q397" s="334" t="e">
        <f t="shared" si="69"/>
        <v>#DIV/0!</v>
      </c>
    </row>
    <row r="398" spans="2:17" x14ac:dyDescent="0.3">
      <c r="B398" s="333">
        <v>20</v>
      </c>
      <c r="C398" s="333"/>
      <c r="D398" s="333"/>
      <c r="E398" s="333"/>
      <c r="F398" s="333"/>
      <c r="G398" s="333"/>
      <c r="H398" s="333"/>
      <c r="I398" s="333"/>
      <c r="J398" s="333"/>
      <c r="K398" s="333"/>
      <c r="M398" s="333">
        <f t="shared" si="65"/>
        <v>10</v>
      </c>
      <c r="N398" s="333" t="e">
        <f t="shared" si="66"/>
        <v>#DIV/0!</v>
      </c>
      <c r="O398" s="333" t="e">
        <f t="shared" si="67"/>
        <v>#DIV/0!</v>
      </c>
      <c r="P398" s="334" t="e">
        <f t="shared" si="68"/>
        <v>#DIV/0!</v>
      </c>
      <c r="Q398" s="334" t="e">
        <f t="shared" si="69"/>
        <v>#DIV/0!</v>
      </c>
    </row>
    <row r="399" spans="2:17" x14ac:dyDescent="0.3">
      <c r="B399" s="333">
        <v>20</v>
      </c>
      <c r="C399" s="333"/>
      <c r="D399" s="333"/>
      <c r="E399" s="333"/>
      <c r="F399" s="333"/>
      <c r="G399" s="333"/>
      <c r="H399" s="333"/>
      <c r="I399" s="333"/>
      <c r="J399" s="333"/>
      <c r="K399" s="333"/>
      <c r="M399" s="333">
        <f t="shared" si="65"/>
        <v>10</v>
      </c>
      <c r="N399" s="333" t="e">
        <f t="shared" si="66"/>
        <v>#DIV/0!</v>
      </c>
      <c r="O399" s="333" t="e">
        <f t="shared" si="67"/>
        <v>#DIV/0!</v>
      </c>
      <c r="P399" s="334" t="e">
        <f t="shared" si="68"/>
        <v>#DIV/0!</v>
      </c>
      <c r="Q399" s="334" t="e">
        <f t="shared" si="69"/>
        <v>#DIV/0!</v>
      </c>
    </row>
    <row r="400" spans="2:17" x14ac:dyDescent="0.3">
      <c r="B400" s="333">
        <v>20</v>
      </c>
      <c r="C400" s="333"/>
      <c r="D400" s="333"/>
      <c r="E400" s="333"/>
      <c r="F400" s="333"/>
      <c r="G400" s="333"/>
      <c r="H400" s="333"/>
      <c r="I400" s="333"/>
      <c r="J400" s="333"/>
      <c r="K400" s="333"/>
      <c r="M400" s="333">
        <f t="shared" si="65"/>
        <v>10</v>
      </c>
      <c r="N400" s="333" t="e">
        <f t="shared" si="66"/>
        <v>#DIV/0!</v>
      </c>
      <c r="O400" s="333" t="e">
        <f t="shared" si="67"/>
        <v>#DIV/0!</v>
      </c>
      <c r="P400" s="334" t="e">
        <f t="shared" si="68"/>
        <v>#DIV/0!</v>
      </c>
      <c r="Q400" s="334" t="e">
        <f t="shared" si="69"/>
        <v>#DIV/0!</v>
      </c>
    </row>
    <row r="401" spans="2:17" x14ac:dyDescent="0.3">
      <c r="B401" s="333">
        <v>20</v>
      </c>
      <c r="C401" s="333"/>
      <c r="D401" s="333"/>
      <c r="E401" s="333"/>
      <c r="F401" s="333"/>
      <c r="G401" s="333"/>
      <c r="H401" s="333"/>
      <c r="I401" s="333"/>
      <c r="J401" s="333"/>
      <c r="K401" s="333"/>
      <c r="M401" s="333">
        <f t="shared" si="65"/>
        <v>10</v>
      </c>
      <c r="N401" s="333" t="e">
        <f t="shared" si="66"/>
        <v>#DIV/0!</v>
      </c>
      <c r="O401" s="333" t="e">
        <f t="shared" si="67"/>
        <v>#DIV/0!</v>
      </c>
      <c r="P401" s="334" t="e">
        <f t="shared" si="68"/>
        <v>#DIV/0!</v>
      </c>
      <c r="Q401" s="334" t="e">
        <f t="shared" si="69"/>
        <v>#DIV/0!</v>
      </c>
    </row>
    <row r="402" spans="2:17" x14ac:dyDescent="0.3">
      <c r="B402" s="333">
        <v>20</v>
      </c>
      <c r="C402" s="333"/>
      <c r="D402" s="333"/>
      <c r="E402" s="333"/>
      <c r="F402" s="333"/>
      <c r="G402" s="333"/>
      <c r="H402" s="333"/>
      <c r="I402" s="333"/>
      <c r="J402" s="333"/>
      <c r="K402" s="333"/>
      <c r="M402" s="333">
        <f t="shared" si="65"/>
        <v>10</v>
      </c>
      <c r="N402" s="333" t="e">
        <f t="shared" si="66"/>
        <v>#DIV/0!</v>
      </c>
      <c r="O402" s="333" t="e">
        <f t="shared" si="67"/>
        <v>#DIV/0!</v>
      </c>
      <c r="P402" s="334" t="e">
        <f t="shared" si="68"/>
        <v>#DIV/0!</v>
      </c>
      <c r="Q402" s="334" t="e">
        <f t="shared" si="69"/>
        <v>#DIV/0!</v>
      </c>
    </row>
    <row r="403" spans="2:17" x14ac:dyDescent="0.3">
      <c r="B403" s="333">
        <v>20</v>
      </c>
      <c r="C403" s="333"/>
      <c r="D403" s="333"/>
      <c r="E403" s="333"/>
      <c r="F403" s="333"/>
      <c r="G403" s="333"/>
      <c r="H403" s="333"/>
      <c r="I403" s="333"/>
      <c r="J403" s="333"/>
      <c r="K403" s="333"/>
      <c r="M403" s="333">
        <f t="shared" si="65"/>
        <v>10</v>
      </c>
      <c r="N403" s="333" t="e">
        <f t="shared" si="66"/>
        <v>#DIV/0!</v>
      </c>
      <c r="O403" s="333" t="e">
        <f t="shared" si="67"/>
        <v>#DIV/0!</v>
      </c>
      <c r="P403" s="334" t="e">
        <f t="shared" si="68"/>
        <v>#DIV/0!</v>
      </c>
      <c r="Q403" s="334" t="e">
        <f t="shared" si="69"/>
        <v>#DIV/0!</v>
      </c>
    </row>
    <row r="404" spans="2:17" x14ac:dyDescent="0.3">
      <c r="B404" s="333">
        <v>20</v>
      </c>
      <c r="C404" s="333"/>
      <c r="D404" s="333"/>
      <c r="E404" s="333"/>
      <c r="F404" s="333"/>
      <c r="G404" s="333"/>
      <c r="H404" s="333"/>
      <c r="I404" s="333"/>
      <c r="J404" s="333"/>
      <c r="K404" s="333"/>
      <c r="M404" s="333">
        <f t="shared" si="65"/>
        <v>10</v>
      </c>
      <c r="N404" s="333" t="e">
        <f t="shared" si="66"/>
        <v>#DIV/0!</v>
      </c>
      <c r="O404" s="333" t="e">
        <f t="shared" si="67"/>
        <v>#DIV/0!</v>
      </c>
      <c r="P404" s="334" t="e">
        <f t="shared" si="68"/>
        <v>#DIV/0!</v>
      </c>
      <c r="Q404" s="334" t="e">
        <f t="shared" si="69"/>
        <v>#DIV/0!</v>
      </c>
    </row>
    <row r="405" spans="2:17" x14ac:dyDescent="0.3">
      <c r="B405" s="333">
        <v>20</v>
      </c>
      <c r="C405" s="333"/>
      <c r="D405" s="333"/>
      <c r="E405" s="333"/>
      <c r="F405" s="333"/>
      <c r="G405" s="333"/>
      <c r="H405" s="333"/>
      <c r="I405" s="333"/>
      <c r="J405" s="333"/>
      <c r="K405" s="333"/>
      <c r="M405" s="333">
        <f t="shared" si="65"/>
        <v>10</v>
      </c>
      <c r="N405" s="333" t="e">
        <f t="shared" si="66"/>
        <v>#DIV/0!</v>
      </c>
      <c r="O405" s="333" t="e">
        <f t="shared" si="67"/>
        <v>#DIV/0!</v>
      </c>
      <c r="P405" s="334" t="e">
        <f t="shared" si="68"/>
        <v>#DIV/0!</v>
      </c>
      <c r="Q405" s="334" t="e">
        <f t="shared" si="69"/>
        <v>#DIV/0!</v>
      </c>
    </row>
    <row r="406" spans="2:17" x14ac:dyDescent="0.3">
      <c r="B406" s="333">
        <v>20</v>
      </c>
      <c r="C406" s="333"/>
      <c r="D406" s="333"/>
      <c r="E406" s="333"/>
      <c r="F406" s="333"/>
      <c r="G406" s="333"/>
      <c r="H406" s="333"/>
      <c r="I406" s="333"/>
      <c r="J406" s="333"/>
      <c r="K406" s="333"/>
      <c r="M406" s="333">
        <f t="shared" si="65"/>
        <v>10</v>
      </c>
      <c r="N406" s="333" t="e">
        <f t="shared" si="66"/>
        <v>#DIV/0!</v>
      </c>
      <c r="O406" s="333" t="e">
        <f t="shared" si="67"/>
        <v>#DIV/0!</v>
      </c>
      <c r="P406" s="334" t="e">
        <f t="shared" si="68"/>
        <v>#DIV/0!</v>
      </c>
      <c r="Q406" s="334" t="e">
        <f t="shared" si="69"/>
        <v>#DIV/0!</v>
      </c>
    </row>
    <row r="407" spans="2:17" x14ac:dyDescent="0.3">
      <c r="B407" s="333">
        <v>20</v>
      </c>
      <c r="C407" s="333"/>
      <c r="D407" s="333"/>
      <c r="E407" s="333"/>
      <c r="F407" s="333"/>
      <c r="G407" s="333"/>
      <c r="H407" s="333"/>
      <c r="I407" s="333"/>
      <c r="J407" s="333"/>
      <c r="K407" s="333"/>
      <c r="M407" s="333">
        <f t="shared" si="65"/>
        <v>10</v>
      </c>
      <c r="N407" s="333" t="e">
        <f t="shared" si="66"/>
        <v>#DIV/0!</v>
      </c>
      <c r="O407" s="333" t="e">
        <f t="shared" si="67"/>
        <v>#DIV/0!</v>
      </c>
      <c r="P407" s="334" t="e">
        <f t="shared" si="68"/>
        <v>#DIV/0!</v>
      </c>
      <c r="Q407" s="334" t="e">
        <f t="shared" si="69"/>
        <v>#DIV/0!</v>
      </c>
    </row>
    <row r="408" spans="2:17" x14ac:dyDescent="0.3">
      <c r="B408" s="333">
        <v>20</v>
      </c>
      <c r="C408" s="333"/>
      <c r="D408" s="333"/>
      <c r="E408" s="333"/>
      <c r="F408" s="333"/>
      <c r="G408" s="333"/>
      <c r="H408" s="333"/>
      <c r="I408" s="333"/>
      <c r="J408" s="333"/>
      <c r="K408" s="333"/>
      <c r="M408" s="333">
        <f t="shared" si="65"/>
        <v>10</v>
      </c>
      <c r="N408" s="333" t="e">
        <f t="shared" si="66"/>
        <v>#DIV/0!</v>
      </c>
      <c r="O408" s="333" t="e">
        <f t="shared" si="67"/>
        <v>#DIV/0!</v>
      </c>
      <c r="P408" s="334" t="e">
        <f t="shared" si="68"/>
        <v>#DIV/0!</v>
      </c>
      <c r="Q408" s="334" t="e">
        <f t="shared" si="69"/>
        <v>#DIV/0!</v>
      </c>
    </row>
    <row r="409" spans="2:17" x14ac:dyDescent="0.3">
      <c r="B409" s="333">
        <v>20</v>
      </c>
      <c r="C409" s="333"/>
      <c r="D409" s="333"/>
      <c r="E409" s="333"/>
      <c r="F409" s="333"/>
      <c r="G409" s="333"/>
      <c r="H409" s="333"/>
      <c r="I409" s="333"/>
      <c r="J409" s="333"/>
      <c r="K409" s="333"/>
      <c r="M409" s="333">
        <f t="shared" si="65"/>
        <v>10</v>
      </c>
      <c r="N409" s="333" t="e">
        <f t="shared" si="66"/>
        <v>#DIV/0!</v>
      </c>
      <c r="O409" s="333" t="e">
        <f t="shared" si="67"/>
        <v>#DIV/0!</v>
      </c>
      <c r="P409" s="334" t="e">
        <f t="shared" si="68"/>
        <v>#DIV/0!</v>
      </c>
      <c r="Q409" s="334" t="e">
        <f t="shared" si="69"/>
        <v>#DIV/0!</v>
      </c>
    </row>
    <row r="410" spans="2:17" x14ac:dyDescent="0.3">
      <c r="B410" s="333">
        <v>20</v>
      </c>
      <c r="C410" s="333"/>
      <c r="D410" s="333"/>
      <c r="E410" s="333"/>
      <c r="F410" s="333"/>
      <c r="G410" s="333"/>
      <c r="H410" s="333"/>
      <c r="I410" s="333"/>
      <c r="J410" s="333"/>
      <c r="K410" s="333"/>
      <c r="M410" s="333">
        <f t="shared" si="65"/>
        <v>10</v>
      </c>
      <c r="N410" s="333" t="e">
        <f t="shared" si="66"/>
        <v>#DIV/0!</v>
      </c>
      <c r="O410" s="333" t="e">
        <f t="shared" si="67"/>
        <v>#DIV/0!</v>
      </c>
      <c r="P410" s="334" t="e">
        <f t="shared" si="68"/>
        <v>#DIV/0!</v>
      </c>
      <c r="Q410" s="334" t="e">
        <f t="shared" si="69"/>
        <v>#DIV/0!</v>
      </c>
    </row>
    <row r="411" spans="2:17" x14ac:dyDescent="0.3">
      <c r="B411" s="333">
        <v>20</v>
      </c>
      <c r="C411" s="333"/>
      <c r="D411" s="333"/>
      <c r="E411" s="333"/>
      <c r="F411" s="333"/>
      <c r="G411" s="333"/>
      <c r="H411" s="333"/>
      <c r="I411" s="333"/>
      <c r="J411" s="333"/>
      <c r="K411" s="333"/>
      <c r="M411" s="333">
        <f t="shared" si="65"/>
        <v>10</v>
      </c>
      <c r="N411" s="333" t="e">
        <f t="shared" si="66"/>
        <v>#DIV/0!</v>
      </c>
      <c r="O411" s="333" t="e">
        <f t="shared" si="67"/>
        <v>#DIV/0!</v>
      </c>
      <c r="P411" s="334" t="e">
        <f t="shared" si="68"/>
        <v>#DIV/0!</v>
      </c>
      <c r="Q411" s="334" t="e">
        <f t="shared" si="69"/>
        <v>#DIV/0!</v>
      </c>
    </row>
    <row r="412" spans="2:17" x14ac:dyDescent="0.3">
      <c r="B412" s="333">
        <v>20</v>
      </c>
      <c r="C412" s="333"/>
      <c r="D412" s="333"/>
      <c r="E412" s="333"/>
      <c r="F412" s="333"/>
      <c r="G412" s="333"/>
      <c r="H412" s="333"/>
      <c r="I412" s="333"/>
      <c r="J412" s="333"/>
      <c r="K412" s="333"/>
      <c r="M412" s="333">
        <f t="shared" si="65"/>
        <v>10</v>
      </c>
      <c r="N412" s="333" t="e">
        <f t="shared" si="66"/>
        <v>#DIV/0!</v>
      </c>
      <c r="O412" s="333" t="e">
        <f t="shared" si="67"/>
        <v>#DIV/0!</v>
      </c>
      <c r="P412" s="334" t="e">
        <f t="shared" si="68"/>
        <v>#DIV/0!</v>
      </c>
      <c r="Q412" s="334" t="e">
        <f t="shared" si="69"/>
        <v>#DIV/0!</v>
      </c>
    </row>
    <row r="413" spans="2:17" x14ac:dyDescent="0.3">
      <c r="B413" s="333">
        <v>20</v>
      </c>
      <c r="C413" s="333"/>
      <c r="D413" s="333"/>
      <c r="E413" s="333"/>
      <c r="F413" s="333"/>
      <c r="G413" s="333"/>
      <c r="H413" s="333"/>
      <c r="I413" s="333"/>
      <c r="J413" s="333"/>
      <c r="K413" s="333"/>
      <c r="M413" s="333">
        <f t="shared" si="65"/>
        <v>10</v>
      </c>
      <c r="N413" s="333" t="e">
        <f t="shared" si="66"/>
        <v>#DIV/0!</v>
      </c>
      <c r="O413" s="333" t="e">
        <f t="shared" si="67"/>
        <v>#DIV/0!</v>
      </c>
      <c r="P413" s="334" t="e">
        <f t="shared" si="68"/>
        <v>#DIV/0!</v>
      </c>
      <c r="Q413" s="334" t="e">
        <f t="shared" si="69"/>
        <v>#DIV/0!</v>
      </c>
    </row>
    <row r="414" spans="2:17" x14ac:dyDescent="0.3">
      <c r="B414" s="333">
        <v>20</v>
      </c>
      <c r="C414" s="333"/>
      <c r="D414" s="333"/>
      <c r="E414" s="333"/>
      <c r="F414" s="333"/>
      <c r="G414" s="333"/>
      <c r="H414" s="333"/>
      <c r="I414" s="333"/>
      <c r="J414" s="333"/>
      <c r="K414" s="333"/>
      <c r="M414" s="333">
        <f t="shared" si="65"/>
        <v>10</v>
      </c>
      <c r="N414" s="333" t="e">
        <f t="shared" si="66"/>
        <v>#DIV/0!</v>
      </c>
      <c r="O414" s="333" t="e">
        <f t="shared" si="67"/>
        <v>#DIV/0!</v>
      </c>
      <c r="P414" s="334" t="e">
        <f t="shared" si="68"/>
        <v>#DIV/0!</v>
      </c>
      <c r="Q414" s="334" t="e">
        <f t="shared" si="69"/>
        <v>#DIV/0!</v>
      </c>
    </row>
    <row r="415" spans="2:17" x14ac:dyDescent="0.3">
      <c r="B415" s="333">
        <v>20</v>
      </c>
      <c r="C415" s="333"/>
      <c r="D415" s="333"/>
      <c r="E415" s="333"/>
      <c r="F415" s="333"/>
      <c r="G415" s="333"/>
      <c r="H415" s="333"/>
      <c r="I415" s="333"/>
      <c r="J415" s="333"/>
      <c r="K415" s="333"/>
      <c r="M415" s="333">
        <f t="shared" si="65"/>
        <v>10</v>
      </c>
      <c r="N415" s="333" t="e">
        <f t="shared" si="66"/>
        <v>#DIV/0!</v>
      </c>
      <c r="O415" s="333" t="e">
        <f t="shared" si="67"/>
        <v>#DIV/0!</v>
      </c>
      <c r="P415" s="334" t="e">
        <f t="shared" si="68"/>
        <v>#DIV/0!</v>
      </c>
      <c r="Q415" s="334" t="e">
        <f t="shared" si="69"/>
        <v>#DIV/0!</v>
      </c>
    </row>
    <row r="416" spans="2:17" x14ac:dyDescent="0.3">
      <c r="B416" s="333">
        <v>20</v>
      </c>
      <c r="C416" s="333"/>
      <c r="D416" s="333"/>
      <c r="E416" s="333"/>
      <c r="F416" s="333"/>
      <c r="G416" s="333"/>
      <c r="H416" s="333"/>
      <c r="I416" s="333"/>
      <c r="J416" s="333"/>
      <c r="K416" s="333"/>
      <c r="M416" s="333">
        <f t="shared" si="65"/>
        <v>10</v>
      </c>
      <c r="N416" s="333" t="e">
        <f t="shared" si="66"/>
        <v>#DIV/0!</v>
      </c>
      <c r="O416" s="333" t="e">
        <f t="shared" si="67"/>
        <v>#DIV/0!</v>
      </c>
      <c r="P416" s="334" t="e">
        <f t="shared" si="68"/>
        <v>#DIV/0!</v>
      </c>
      <c r="Q416" s="334" t="e">
        <f t="shared" si="69"/>
        <v>#DIV/0!</v>
      </c>
    </row>
    <row r="417" spans="2:17" x14ac:dyDescent="0.3">
      <c r="B417" s="333">
        <v>40</v>
      </c>
      <c r="C417" s="333"/>
      <c r="D417" s="333"/>
      <c r="E417" s="333"/>
      <c r="F417" s="333"/>
      <c r="G417" s="333"/>
      <c r="H417" s="333"/>
      <c r="I417" s="333"/>
      <c r="J417" s="333"/>
      <c r="K417" s="333"/>
      <c r="M417" s="333">
        <f t="shared" si="65"/>
        <v>20</v>
      </c>
      <c r="N417" s="333" t="e">
        <f t="shared" si="66"/>
        <v>#DIV/0!</v>
      </c>
      <c r="O417" s="333" t="e">
        <f t="shared" si="67"/>
        <v>#DIV/0!</v>
      </c>
      <c r="P417" s="334" t="e">
        <f t="shared" si="68"/>
        <v>#DIV/0!</v>
      </c>
      <c r="Q417" s="334" t="e">
        <f t="shared" si="69"/>
        <v>#DIV/0!</v>
      </c>
    </row>
    <row r="418" spans="2:17" x14ac:dyDescent="0.3">
      <c r="B418" s="333">
        <v>40</v>
      </c>
      <c r="C418" s="333"/>
      <c r="D418" s="333"/>
      <c r="E418" s="333"/>
      <c r="F418" s="333"/>
      <c r="G418" s="333"/>
      <c r="H418" s="333"/>
      <c r="I418" s="333"/>
      <c r="J418" s="333"/>
      <c r="K418" s="333"/>
      <c r="M418" s="333">
        <f t="shared" si="65"/>
        <v>20</v>
      </c>
      <c r="N418" s="333" t="e">
        <f t="shared" si="66"/>
        <v>#DIV/0!</v>
      </c>
      <c r="O418" s="333" t="e">
        <f t="shared" si="67"/>
        <v>#DIV/0!</v>
      </c>
      <c r="P418" s="334" t="e">
        <f t="shared" si="68"/>
        <v>#DIV/0!</v>
      </c>
      <c r="Q418" s="334" t="e">
        <f t="shared" si="69"/>
        <v>#DIV/0!</v>
      </c>
    </row>
    <row r="419" spans="2:17" x14ac:dyDescent="0.3">
      <c r="B419" s="333">
        <v>40</v>
      </c>
      <c r="C419" s="333"/>
      <c r="D419" s="333"/>
      <c r="E419" s="333"/>
      <c r="F419" s="333"/>
      <c r="G419" s="333"/>
      <c r="H419" s="333"/>
      <c r="I419" s="333"/>
      <c r="J419" s="333"/>
      <c r="K419" s="333"/>
      <c r="M419" s="333">
        <f t="shared" si="65"/>
        <v>20</v>
      </c>
      <c r="N419" s="333" t="e">
        <f t="shared" si="66"/>
        <v>#DIV/0!</v>
      </c>
      <c r="O419" s="333" t="e">
        <f t="shared" si="67"/>
        <v>#DIV/0!</v>
      </c>
      <c r="P419" s="334" t="e">
        <f t="shared" si="68"/>
        <v>#DIV/0!</v>
      </c>
      <c r="Q419" s="334" t="e">
        <f t="shared" si="69"/>
        <v>#DIV/0!</v>
      </c>
    </row>
    <row r="420" spans="2:17" x14ac:dyDescent="0.3">
      <c r="B420" s="333">
        <v>40</v>
      </c>
      <c r="C420" s="333"/>
      <c r="D420" s="333"/>
      <c r="E420" s="333"/>
      <c r="F420" s="333"/>
      <c r="G420" s="333"/>
      <c r="H420" s="333"/>
      <c r="I420" s="333"/>
      <c r="J420" s="333"/>
      <c r="K420" s="333"/>
      <c r="M420" s="333">
        <f t="shared" si="65"/>
        <v>20</v>
      </c>
      <c r="N420" s="333" t="e">
        <f t="shared" si="66"/>
        <v>#DIV/0!</v>
      </c>
      <c r="O420" s="333" t="e">
        <f t="shared" si="67"/>
        <v>#DIV/0!</v>
      </c>
      <c r="P420" s="334" t="e">
        <f t="shared" si="68"/>
        <v>#DIV/0!</v>
      </c>
      <c r="Q420" s="334" t="e">
        <f t="shared" si="69"/>
        <v>#DIV/0!</v>
      </c>
    </row>
    <row r="421" spans="2:17" x14ac:dyDescent="0.3">
      <c r="B421" s="333">
        <v>40</v>
      </c>
      <c r="C421" s="333"/>
      <c r="D421" s="333"/>
      <c r="E421" s="333"/>
      <c r="F421" s="333"/>
      <c r="G421" s="333"/>
      <c r="H421" s="333"/>
      <c r="I421" s="333"/>
      <c r="J421" s="333"/>
      <c r="K421" s="333"/>
      <c r="M421" s="333">
        <f t="shared" ref="M421:M476" si="70">B421/2</f>
        <v>20</v>
      </c>
      <c r="N421" s="333" t="e">
        <f t="shared" si="66"/>
        <v>#DIV/0!</v>
      </c>
      <c r="O421" s="333" t="e">
        <f t="shared" si="67"/>
        <v>#DIV/0!</v>
      </c>
      <c r="P421" s="334" t="e">
        <f t="shared" si="68"/>
        <v>#DIV/0!</v>
      </c>
      <c r="Q421" s="334" t="e">
        <f t="shared" si="69"/>
        <v>#DIV/0!</v>
      </c>
    </row>
    <row r="422" spans="2:17" x14ac:dyDescent="0.3">
      <c r="B422" s="333">
        <v>40</v>
      </c>
      <c r="C422" s="333"/>
      <c r="D422" s="333"/>
      <c r="E422" s="333"/>
      <c r="F422" s="333"/>
      <c r="G422" s="333"/>
      <c r="H422" s="333"/>
      <c r="I422" s="333"/>
      <c r="J422" s="333"/>
      <c r="K422" s="333"/>
      <c r="M422" s="333">
        <f t="shared" si="70"/>
        <v>20</v>
      </c>
      <c r="N422" s="333" t="e">
        <f t="shared" si="66"/>
        <v>#DIV/0!</v>
      </c>
      <c r="O422" s="333" t="e">
        <f t="shared" si="67"/>
        <v>#DIV/0!</v>
      </c>
      <c r="P422" s="334" t="e">
        <f t="shared" si="68"/>
        <v>#DIV/0!</v>
      </c>
      <c r="Q422" s="334" t="e">
        <f t="shared" si="69"/>
        <v>#DIV/0!</v>
      </c>
    </row>
    <row r="423" spans="2:17" x14ac:dyDescent="0.3">
      <c r="B423" s="333">
        <v>40</v>
      </c>
      <c r="C423" s="333"/>
      <c r="D423" s="333"/>
      <c r="E423" s="333"/>
      <c r="F423" s="333"/>
      <c r="G423" s="333"/>
      <c r="H423" s="333"/>
      <c r="I423" s="333"/>
      <c r="J423" s="333"/>
      <c r="K423" s="333"/>
      <c r="M423" s="333">
        <f t="shared" si="70"/>
        <v>20</v>
      </c>
      <c r="N423" s="333" t="e">
        <f t="shared" ref="N423:N476" si="71">(SUM(C423:E423)-SUM($C$190:$E$190))*$F$71</f>
        <v>#DIV/0!</v>
      </c>
      <c r="O423" s="333" t="e">
        <f t="shared" ref="O423:O476" si="72">(SUM(F423:H423)-SUM($F$190:$H$190))*$G$71</f>
        <v>#DIV/0!</v>
      </c>
      <c r="P423" s="334" t="e">
        <f t="shared" ref="P423:P476" si="73">N423-M423</f>
        <v>#DIV/0!</v>
      </c>
      <c r="Q423" s="334" t="e">
        <f t="shared" ref="Q423:Q476" si="74">O423-M423</f>
        <v>#DIV/0!</v>
      </c>
    </row>
    <row r="424" spans="2:17" x14ac:dyDescent="0.3">
      <c r="B424" s="333">
        <v>40</v>
      </c>
      <c r="C424" s="333"/>
      <c r="D424" s="333"/>
      <c r="E424" s="333"/>
      <c r="F424" s="333"/>
      <c r="G424" s="333"/>
      <c r="H424" s="333"/>
      <c r="I424" s="333"/>
      <c r="J424" s="333"/>
      <c r="K424" s="333"/>
      <c r="M424" s="333">
        <f t="shared" si="70"/>
        <v>20</v>
      </c>
      <c r="N424" s="333" t="e">
        <f t="shared" si="71"/>
        <v>#DIV/0!</v>
      </c>
      <c r="O424" s="333" t="e">
        <f t="shared" si="72"/>
        <v>#DIV/0!</v>
      </c>
      <c r="P424" s="334" t="e">
        <f t="shared" si="73"/>
        <v>#DIV/0!</v>
      </c>
      <c r="Q424" s="334" t="e">
        <f t="shared" si="74"/>
        <v>#DIV/0!</v>
      </c>
    </row>
    <row r="425" spans="2:17" x14ac:dyDescent="0.3">
      <c r="B425" s="333">
        <v>40</v>
      </c>
      <c r="C425" s="333"/>
      <c r="D425" s="333"/>
      <c r="E425" s="333"/>
      <c r="F425" s="333"/>
      <c r="G425" s="333"/>
      <c r="H425" s="333"/>
      <c r="I425" s="333"/>
      <c r="J425" s="333"/>
      <c r="K425" s="333"/>
      <c r="M425" s="333">
        <f t="shared" si="70"/>
        <v>20</v>
      </c>
      <c r="N425" s="333" t="e">
        <f t="shared" si="71"/>
        <v>#DIV/0!</v>
      </c>
      <c r="O425" s="333" t="e">
        <f t="shared" si="72"/>
        <v>#DIV/0!</v>
      </c>
      <c r="P425" s="334" t="e">
        <f t="shared" si="73"/>
        <v>#DIV/0!</v>
      </c>
      <c r="Q425" s="334" t="e">
        <f t="shared" si="74"/>
        <v>#DIV/0!</v>
      </c>
    </row>
    <row r="426" spans="2:17" x14ac:dyDescent="0.3">
      <c r="B426" s="333">
        <v>40</v>
      </c>
      <c r="C426" s="333"/>
      <c r="D426" s="333"/>
      <c r="E426" s="333"/>
      <c r="F426" s="333"/>
      <c r="G426" s="333"/>
      <c r="H426" s="333"/>
      <c r="I426" s="333"/>
      <c r="J426" s="333"/>
      <c r="K426" s="333"/>
      <c r="M426" s="333">
        <f t="shared" si="70"/>
        <v>20</v>
      </c>
      <c r="N426" s="333" t="e">
        <f t="shared" si="71"/>
        <v>#DIV/0!</v>
      </c>
      <c r="O426" s="333" t="e">
        <f t="shared" si="72"/>
        <v>#DIV/0!</v>
      </c>
      <c r="P426" s="334" t="e">
        <f t="shared" si="73"/>
        <v>#DIV/0!</v>
      </c>
      <c r="Q426" s="334" t="e">
        <f t="shared" si="74"/>
        <v>#DIV/0!</v>
      </c>
    </row>
    <row r="427" spans="2:17" x14ac:dyDescent="0.3">
      <c r="B427" s="333">
        <v>40</v>
      </c>
      <c r="C427" s="333"/>
      <c r="D427" s="333"/>
      <c r="E427" s="333"/>
      <c r="F427" s="333"/>
      <c r="G427" s="333"/>
      <c r="H427" s="333"/>
      <c r="I427" s="333"/>
      <c r="J427" s="333"/>
      <c r="K427" s="333"/>
      <c r="M427" s="333">
        <f t="shared" si="70"/>
        <v>20</v>
      </c>
      <c r="N427" s="333" t="e">
        <f t="shared" si="71"/>
        <v>#DIV/0!</v>
      </c>
      <c r="O427" s="333" t="e">
        <f t="shared" si="72"/>
        <v>#DIV/0!</v>
      </c>
      <c r="P427" s="334" t="e">
        <f t="shared" si="73"/>
        <v>#DIV/0!</v>
      </c>
      <c r="Q427" s="334" t="e">
        <f t="shared" si="74"/>
        <v>#DIV/0!</v>
      </c>
    </row>
    <row r="428" spans="2:17" x14ac:dyDescent="0.3">
      <c r="B428" s="333">
        <v>40</v>
      </c>
      <c r="C428" s="333"/>
      <c r="D428" s="333"/>
      <c r="E428" s="333"/>
      <c r="F428" s="333"/>
      <c r="G428" s="333"/>
      <c r="H428" s="333"/>
      <c r="I428" s="333"/>
      <c r="J428" s="333"/>
      <c r="K428" s="333"/>
      <c r="M428" s="333">
        <f t="shared" si="70"/>
        <v>20</v>
      </c>
      <c r="N428" s="333" t="e">
        <f t="shared" si="71"/>
        <v>#DIV/0!</v>
      </c>
      <c r="O428" s="333" t="e">
        <f t="shared" si="72"/>
        <v>#DIV/0!</v>
      </c>
      <c r="P428" s="334" t="e">
        <f t="shared" si="73"/>
        <v>#DIV/0!</v>
      </c>
      <c r="Q428" s="334" t="e">
        <f t="shared" si="74"/>
        <v>#DIV/0!</v>
      </c>
    </row>
    <row r="429" spans="2:17" x14ac:dyDescent="0.3">
      <c r="B429" s="333">
        <v>40</v>
      </c>
      <c r="C429" s="333"/>
      <c r="D429" s="333"/>
      <c r="E429" s="333"/>
      <c r="F429" s="333"/>
      <c r="G429" s="333"/>
      <c r="H429" s="333"/>
      <c r="I429" s="333"/>
      <c r="J429" s="333"/>
      <c r="K429" s="333"/>
      <c r="M429" s="333">
        <f t="shared" si="70"/>
        <v>20</v>
      </c>
      <c r="N429" s="333" t="e">
        <f t="shared" si="71"/>
        <v>#DIV/0!</v>
      </c>
      <c r="O429" s="333" t="e">
        <f t="shared" si="72"/>
        <v>#DIV/0!</v>
      </c>
      <c r="P429" s="334" t="e">
        <f t="shared" si="73"/>
        <v>#DIV/0!</v>
      </c>
      <c r="Q429" s="334" t="e">
        <f t="shared" si="74"/>
        <v>#DIV/0!</v>
      </c>
    </row>
    <row r="430" spans="2:17" x14ac:dyDescent="0.3">
      <c r="B430" s="333">
        <v>40</v>
      </c>
      <c r="C430" s="333"/>
      <c r="D430" s="333"/>
      <c r="E430" s="333"/>
      <c r="F430" s="333"/>
      <c r="G430" s="333"/>
      <c r="H430" s="333"/>
      <c r="I430" s="333"/>
      <c r="J430" s="333"/>
      <c r="K430" s="333"/>
      <c r="M430" s="333">
        <f t="shared" si="70"/>
        <v>20</v>
      </c>
      <c r="N430" s="333" t="e">
        <f t="shared" si="71"/>
        <v>#DIV/0!</v>
      </c>
      <c r="O430" s="333" t="e">
        <f t="shared" si="72"/>
        <v>#DIV/0!</v>
      </c>
      <c r="P430" s="334" t="e">
        <f t="shared" si="73"/>
        <v>#DIV/0!</v>
      </c>
      <c r="Q430" s="334" t="e">
        <f t="shared" si="74"/>
        <v>#DIV/0!</v>
      </c>
    </row>
    <row r="431" spans="2:17" x14ac:dyDescent="0.3">
      <c r="B431" s="333">
        <v>40</v>
      </c>
      <c r="C431" s="333"/>
      <c r="D431" s="333"/>
      <c r="E431" s="333"/>
      <c r="F431" s="333"/>
      <c r="G431" s="333"/>
      <c r="H431" s="333"/>
      <c r="I431" s="333"/>
      <c r="J431" s="333"/>
      <c r="K431" s="333"/>
      <c r="M431" s="333">
        <f t="shared" si="70"/>
        <v>20</v>
      </c>
      <c r="N431" s="333" t="e">
        <f t="shared" si="71"/>
        <v>#DIV/0!</v>
      </c>
      <c r="O431" s="333" t="e">
        <f t="shared" si="72"/>
        <v>#DIV/0!</v>
      </c>
      <c r="P431" s="334" t="e">
        <f t="shared" si="73"/>
        <v>#DIV/0!</v>
      </c>
      <c r="Q431" s="334" t="e">
        <f t="shared" si="74"/>
        <v>#DIV/0!</v>
      </c>
    </row>
    <row r="432" spans="2:17" x14ac:dyDescent="0.3">
      <c r="B432" s="333">
        <v>40</v>
      </c>
      <c r="C432" s="333"/>
      <c r="D432" s="333"/>
      <c r="E432" s="333"/>
      <c r="F432" s="333"/>
      <c r="G432" s="333"/>
      <c r="H432" s="333"/>
      <c r="I432" s="333"/>
      <c r="J432" s="333"/>
      <c r="K432" s="333"/>
      <c r="M432" s="333">
        <f t="shared" si="70"/>
        <v>20</v>
      </c>
      <c r="N432" s="333" t="e">
        <f t="shared" si="71"/>
        <v>#DIV/0!</v>
      </c>
      <c r="O432" s="333" t="e">
        <f t="shared" si="72"/>
        <v>#DIV/0!</v>
      </c>
      <c r="P432" s="334" t="e">
        <f t="shared" si="73"/>
        <v>#DIV/0!</v>
      </c>
      <c r="Q432" s="334" t="e">
        <f t="shared" si="74"/>
        <v>#DIV/0!</v>
      </c>
    </row>
    <row r="433" spans="2:17" x14ac:dyDescent="0.3">
      <c r="B433" s="333">
        <v>40</v>
      </c>
      <c r="C433" s="333"/>
      <c r="D433" s="333"/>
      <c r="E433" s="333"/>
      <c r="F433" s="333"/>
      <c r="G433" s="333"/>
      <c r="H433" s="333"/>
      <c r="I433" s="333"/>
      <c r="J433" s="333"/>
      <c r="K433" s="333"/>
      <c r="M433" s="333">
        <f t="shared" si="70"/>
        <v>20</v>
      </c>
      <c r="N433" s="333" t="e">
        <f t="shared" si="71"/>
        <v>#DIV/0!</v>
      </c>
      <c r="O433" s="333" t="e">
        <f t="shared" si="72"/>
        <v>#DIV/0!</v>
      </c>
      <c r="P433" s="334" t="e">
        <f t="shared" si="73"/>
        <v>#DIV/0!</v>
      </c>
      <c r="Q433" s="334" t="e">
        <f t="shared" si="74"/>
        <v>#DIV/0!</v>
      </c>
    </row>
    <row r="434" spans="2:17" x14ac:dyDescent="0.3">
      <c r="B434" s="333">
        <v>40</v>
      </c>
      <c r="C434" s="333"/>
      <c r="D434" s="333"/>
      <c r="E434" s="333"/>
      <c r="F434" s="333"/>
      <c r="G434" s="333"/>
      <c r="H434" s="333"/>
      <c r="I434" s="333"/>
      <c r="J434" s="333"/>
      <c r="K434" s="333"/>
      <c r="M434" s="333">
        <f t="shared" si="70"/>
        <v>20</v>
      </c>
      <c r="N434" s="333" t="e">
        <f t="shared" si="71"/>
        <v>#DIV/0!</v>
      </c>
      <c r="O434" s="333" t="e">
        <f t="shared" si="72"/>
        <v>#DIV/0!</v>
      </c>
      <c r="P434" s="334" t="e">
        <f t="shared" si="73"/>
        <v>#DIV/0!</v>
      </c>
      <c r="Q434" s="334" t="e">
        <f t="shared" si="74"/>
        <v>#DIV/0!</v>
      </c>
    </row>
    <row r="435" spans="2:17" x14ac:dyDescent="0.3">
      <c r="B435" s="333">
        <v>40</v>
      </c>
      <c r="C435" s="333"/>
      <c r="D435" s="333"/>
      <c r="E435" s="333"/>
      <c r="F435" s="333"/>
      <c r="G435" s="333"/>
      <c r="H435" s="333"/>
      <c r="I435" s="333"/>
      <c r="J435" s="333"/>
      <c r="K435" s="333"/>
      <c r="M435" s="333">
        <f t="shared" si="70"/>
        <v>20</v>
      </c>
      <c r="N435" s="333" t="e">
        <f t="shared" si="71"/>
        <v>#DIV/0!</v>
      </c>
      <c r="O435" s="333" t="e">
        <f t="shared" si="72"/>
        <v>#DIV/0!</v>
      </c>
      <c r="P435" s="334" t="e">
        <f t="shared" si="73"/>
        <v>#DIV/0!</v>
      </c>
      <c r="Q435" s="334" t="e">
        <f t="shared" si="74"/>
        <v>#DIV/0!</v>
      </c>
    </row>
    <row r="436" spans="2:17" x14ac:dyDescent="0.3">
      <c r="B436" s="333">
        <v>40</v>
      </c>
      <c r="C436" s="333"/>
      <c r="D436" s="333"/>
      <c r="E436" s="333"/>
      <c r="F436" s="333"/>
      <c r="G436" s="333"/>
      <c r="H436" s="333"/>
      <c r="I436" s="333"/>
      <c r="J436" s="333"/>
      <c r="K436" s="333"/>
      <c r="M436" s="333">
        <f t="shared" si="70"/>
        <v>20</v>
      </c>
      <c r="N436" s="333" t="e">
        <f t="shared" si="71"/>
        <v>#DIV/0!</v>
      </c>
      <c r="O436" s="333" t="e">
        <f t="shared" si="72"/>
        <v>#DIV/0!</v>
      </c>
      <c r="P436" s="334" t="e">
        <f t="shared" si="73"/>
        <v>#DIV/0!</v>
      </c>
      <c r="Q436" s="334" t="e">
        <f t="shared" si="74"/>
        <v>#DIV/0!</v>
      </c>
    </row>
    <row r="437" spans="2:17" x14ac:dyDescent="0.3">
      <c r="B437" s="333">
        <v>60</v>
      </c>
      <c r="C437" s="333"/>
      <c r="D437" s="333"/>
      <c r="E437" s="333"/>
      <c r="F437" s="333"/>
      <c r="G437" s="333"/>
      <c r="H437" s="333"/>
      <c r="I437" s="333"/>
      <c r="J437" s="333"/>
      <c r="K437" s="333"/>
      <c r="M437" s="333">
        <f t="shared" si="70"/>
        <v>30</v>
      </c>
      <c r="N437" s="333" t="e">
        <f t="shared" si="71"/>
        <v>#DIV/0!</v>
      </c>
      <c r="O437" s="333" t="e">
        <f t="shared" si="72"/>
        <v>#DIV/0!</v>
      </c>
      <c r="P437" s="334" t="e">
        <f t="shared" si="73"/>
        <v>#DIV/0!</v>
      </c>
      <c r="Q437" s="334" t="e">
        <f t="shared" si="74"/>
        <v>#DIV/0!</v>
      </c>
    </row>
    <row r="438" spans="2:17" x14ac:dyDescent="0.3">
      <c r="B438" s="333">
        <v>60</v>
      </c>
      <c r="C438" s="333"/>
      <c r="D438" s="333"/>
      <c r="E438" s="333"/>
      <c r="F438" s="333"/>
      <c r="G438" s="333"/>
      <c r="H438" s="333"/>
      <c r="I438" s="333"/>
      <c r="J438" s="333"/>
      <c r="K438" s="333"/>
      <c r="M438" s="333">
        <f t="shared" si="70"/>
        <v>30</v>
      </c>
      <c r="N438" s="333" t="e">
        <f t="shared" si="71"/>
        <v>#DIV/0!</v>
      </c>
      <c r="O438" s="333" t="e">
        <f t="shared" si="72"/>
        <v>#DIV/0!</v>
      </c>
      <c r="P438" s="334" t="e">
        <f t="shared" si="73"/>
        <v>#DIV/0!</v>
      </c>
      <c r="Q438" s="334" t="e">
        <f t="shared" si="74"/>
        <v>#DIV/0!</v>
      </c>
    </row>
    <row r="439" spans="2:17" x14ac:dyDescent="0.3">
      <c r="B439" s="333">
        <v>60</v>
      </c>
      <c r="C439" s="333"/>
      <c r="D439" s="333"/>
      <c r="E439" s="333"/>
      <c r="F439" s="333"/>
      <c r="G439" s="333"/>
      <c r="H439" s="333"/>
      <c r="I439" s="333"/>
      <c r="J439" s="333"/>
      <c r="K439" s="333"/>
      <c r="M439" s="333">
        <f t="shared" si="70"/>
        <v>30</v>
      </c>
      <c r="N439" s="333" t="e">
        <f t="shared" si="71"/>
        <v>#DIV/0!</v>
      </c>
      <c r="O439" s="333" t="e">
        <f t="shared" si="72"/>
        <v>#DIV/0!</v>
      </c>
      <c r="P439" s="334" t="e">
        <f t="shared" si="73"/>
        <v>#DIV/0!</v>
      </c>
      <c r="Q439" s="334" t="e">
        <f t="shared" si="74"/>
        <v>#DIV/0!</v>
      </c>
    </row>
    <row r="440" spans="2:17" x14ac:dyDescent="0.3">
      <c r="B440" s="333">
        <v>60</v>
      </c>
      <c r="C440" s="333"/>
      <c r="D440" s="333"/>
      <c r="E440" s="333"/>
      <c r="F440" s="333"/>
      <c r="G440" s="333"/>
      <c r="H440" s="333"/>
      <c r="I440" s="333"/>
      <c r="J440" s="333"/>
      <c r="K440" s="333"/>
      <c r="M440" s="333">
        <f t="shared" si="70"/>
        <v>30</v>
      </c>
      <c r="N440" s="333" t="e">
        <f t="shared" si="71"/>
        <v>#DIV/0!</v>
      </c>
      <c r="O440" s="333" t="e">
        <f t="shared" si="72"/>
        <v>#DIV/0!</v>
      </c>
      <c r="P440" s="334" t="e">
        <f t="shared" si="73"/>
        <v>#DIV/0!</v>
      </c>
      <c r="Q440" s="334" t="e">
        <f t="shared" si="74"/>
        <v>#DIV/0!</v>
      </c>
    </row>
    <row r="441" spans="2:17" x14ac:dyDescent="0.3">
      <c r="B441" s="333">
        <v>60</v>
      </c>
      <c r="C441" s="333"/>
      <c r="D441" s="333"/>
      <c r="E441" s="333"/>
      <c r="F441" s="333"/>
      <c r="G441" s="333"/>
      <c r="H441" s="333"/>
      <c r="I441" s="333"/>
      <c r="J441" s="333"/>
      <c r="K441" s="333"/>
      <c r="M441" s="333">
        <f t="shared" si="70"/>
        <v>30</v>
      </c>
      <c r="N441" s="333" t="e">
        <f t="shared" si="71"/>
        <v>#DIV/0!</v>
      </c>
      <c r="O441" s="333" t="e">
        <f t="shared" si="72"/>
        <v>#DIV/0!</v>
      </c>
      <c r="P441" s="334" t="e">
        <f t="shared" si="73"/>
        <v>#DIV/0!</v>
      </c>
      <c r="Q441" s="334" t="e">
        <f t="shared" si="74"/>
        <v>#DIV/0!</v>
      </c>
    </row>
    <row r="442" spans="2:17" x14ac:dyDescent="0.3">
      <c r="B442" s="333">
        <v>60</v>
      </c>
      <c r="C442" s="333"/>
      <c r="D442" s="333"/>
      <c r="E442" s="333"/>
      <c r="F442" s="333"/>
      <c r="G442" s="333"/>
      <c r="H442" s="333"/>
      <c r="I442" s="333"/>
      <c r="J442" s="333"/>
      <c r="K442" s="333"/>
      <c r="M442" s="333">
        <f t="shared" si="70"/>
        <v>30</v>
      </c>
      <c r="N442" s="333" t="e">
        <f t="shared" si="71"/>
        <v>#DIV/0!</v>
      </c>
      <c r="O442" s="333" t="e">
        <f t="shared" si="72"/>
        <v>#DIV/0!</v>
      </c>
      <c r="P442" s="334" t="e">
        <f t="shared" si="73"/>
        <v>#DIV/0!</v>
      </c>
      <c r="Q442" s="334" t="e">
        <f t="shared" si="74"/>
        <v>#DIV/0!</v>
      </c>
    </row>
    <row r="443" spans="2:17" x14ac:dyDescent="0.3">
      <c r="B443" s="333">
        <v>60</v>
      </c>
      <c r="C443" s="333"/>
      <c r="D443" s="333"/>
      <c r="E443" s="333"/>
      <c r="F443" s="333"/>
      <c r="G443" s="333"/>
      <c r="H443" s="333"/>
      <c r="I443" s="333"/>
      <c r="J443" s="333"/>
      <c r="K443" s="333"/>
      <c r="M443" s="333">
        <f t="shared" si="70"/>
        <v>30</v>
      </c>
      <c r="N443" s="333" t="e">
        <f t="shared" si="71"/>
        <v>#DIV/0!</v>
      </c>
      <c r="O443" s="333" t="e">
        <f t="shared" si="72"/>
        <v>#DIV/0!</v>
      </c>
      <c r="P443" s="334" t="e">
        <f t="shared" si="73"/>
        <v>#DIV/0!</v>
      </c>
      <c r="Q443" s="334" t="e">
        <f t="shared" si="74"/>
        <v>#DIV/0!</v>
      </c>
    </row>
    <row r="444" spans="2:17" x14ac:dyDescent="0.3">
      <c r="B444" s="333">
        <v>60</v>
      </c>
      <c r="C444" s="333"/>
      <c r="D444" s="333"/>
      <c r="E444" s="333"/>
      <c r="F444" s="333"/>
      <c r="G444" s="333"/>
      <c r="H444" s="333"/>
      <c r="I444" s="333"/>
      <c r="J444" s="333"/>
      <c r="K444" s="333"/>
      <c r="M444" s="333">
        <f t="shared" si="70"/>
        <v>30</v>
      </c>
      <c r="N444" s="333" t="e">
        <f t="shared" si="71"/>
        <v>#DIV/0!</v>
      </c>
      <c r="O444" s="333" t="e">
        <f t="shared" si="72"/>
        <v>#DIV/0!</v>
      </c>
      <c r="P444" s="334" t="e">
        <f t="shared" si="73"/>
        <v>#DIV/0!</v>
      </c>
      <c r="Q444" s="334" t="e">
        <f t="shared" si="74"/>
        <v>#DIV/0!</v>
      </c>
    </row>
    <row r="445" spans="2:17" x14ac:dyDescent="0.3">
      <c r="B445" s="333">
        <v>60</v>
      </c>
      <c r="C445" s="333"/>
      <c r="D445" s="333"/>
      <c r="E445" s="333"/>
      <c r="F445" s="333"/>
      <c r="G445" s="333"/>
      <c r="H445" s="333"/>
      <c r="I445" s="333"/>
      <c r="J445" s="333"/>
      <c r="K445" s="333"/>
      <c r="M445" s="333">
        <f t="shared" si="70"/>
        <v>30</v>
      </c>
      <c r="N445" s="333" t="e">
        <f t="shared" si="71"/>
        <v>#DIV/0!</v>
      </c>
      <c r="O445" s="333" t="e">
        <f t="shared" si="72"/>
        <v>#DIV/0!</v>
      </c>
      <c r="P445" s="334" t="e">
        <f t="shared" si="73"/>
        <v>#DIV/0!</v>
      </c>
      <c r="Q445" s="334" t="e">
        <f t="shared" si="74"/>
        <v>#DIV/0!</v>
      </c>
    </row>
    <row r="446" spans="2:17" x14ac:dyDescent="0.3">
      <c r="B446" s="333">
        <v>60</v>
      </c>
      <c r="C446" s="333"/>
      <c r="D446" s="333"/>
      <c r="E446" s="333"/>
      <c r="F446" s="333"/>
      <c r="G446" s="333"/>
      <c r="H446" s="333"/>
      <c r="I446" s="333"/>
      <c r="J446" s="333"/>
      <c r="K446" s="333"/>
      <c r="M446" s="333">
        <f t="shared" si="70"/>
        <v>30</v>
      </c>
      <c r="N446" s="333" t="e">
        <f t="shared" si="71"/>
        <v>#DIV/0!</v>
      </c>
      <c r="O446" s="333" t="e">
        <f t="shared" si="72"/>
        <v>#DIV/0!</v>
      </c>
      <c r="P446" s="334" t="e">
        <f t="shared" si="73"/>
        <v>#DIV/0!</v>
      </c>
      <c r="Q446" s="334" t="e">
        <f t="shared" si="74"/>
        <v>#DIV/0!</v>
      </c>
    </row>
    <row r="447" spans="2:17" x14ac:dyDescent="0.3">
      <c r="B447" s="333">
        <v>60</v>
      </c>
      <c r="C447" s="333"/>
      <c r="D447" s="333"/>
      <c r="E447" s="333"/>
      <c r="F447" s="333"/>
      <c r="G447" s="333"/>
      <c r="H447" s="333"/>
      <c r="I447" s="333"/>
      <c r="J447" s="333"/>
      <c r="K447" s="333"/>
      <c r="M447" s="333">
        <f t="shared" si="70"/>
        <v>30</v>
      </c>
      <c r="N447" s="333" t="e">
        <f t="shared" si="71"/>
        <v>#DIV/0!</v>
      </c>
      <c r="O447" s="333" t="e">
        <f t="shared" si="72"/>
        <v>#DIV/0!</v>
      </c>
      <c r="P447" s="334" t="e">
        <f t="shared" si="73"/>
        <v>#DIV/0!</v>
      </c>
      <c r="Q447" s="334" t="e">
        <f t="shared" si="74"/>
        <v>#DIV/0!</v>
      </c>
    </row>
    <row r="448" spans="2:17" x14ac:dyDescent="0.3">
      <c r="B448" s="333">
        <v>60</v>
      </c>
      <c r="C448" s="333"/>
      <c r="D448" s="333"/>
      <c r="E448" s="333"/>
      <c r="F448" s="333"/>
      <c r="G448" s="333"/>
      <c r="H448" s="333"/>
      <c r="I448" s="333"/>
      <c r="J448" s="333"/>
      <c r="K448" s="333"/>
      <c r="M448" s="333">
        <f t="shared" si="70"/>
        <v>30</v>
      </c>
      <c r="N448" s="333" t="e">
        <f t="shared" si="71"/>
        <v>#DIV/0!</v>
      </c>
      <c r="O448" s="333" t="e">
        <f t="shared" si="72"/>
        <v>#DIV/0!</v>
      </c>
      <c r="P448" s="334" t="e">
        <f t="shared" si="73"/>
        <v>#DIV/0!</v>
      </c>
      <c r="Q448" s="334" t="e">
        <f t="shared" si="74"/>
        <v>#DIV/0!</v>
      </c>
    </row>
    <row r="449" spans="2:17" x14ac:dyDescent="0.3">
      <c r="B449" s="333">
        <v>60</v>
      </c>
      <c r="C449" s="333"/>
      <c r="D449" s="333"/>
      <c r="E449" s="333"/>
      <c r="F449" s="333"/>
      <c r="G449" s="333"/>
      <c r="H449" s="333"/>
      <c r="I449" s="333"/>
      <c r="J449" s="333"/>
      <c r="K449" s="333"/>
      <c r="M449" s="333">
        <f t="shared" si="70"/>
        <v>30</v>
      </c>
      <c r="N449" s="333" t="e">
        <f t="shared" si="71"/>
        <v>#DIV/0!</v>
      </c>
      <c r="O449" s="333" t="e">
        <f t="shared" si="72"/>
        <v>#DIV/0!</v>
      </c>
      <c r="P449" s="334" t="e">
        <f t="shared" si="73"/>
        <v>#DIV/0!</v>
      </c>
      <c r="Q449" s="334" t="e">
        <f t="shared" si="74"/>
        <v>#DIV/0!</v>
      </c>
    </row>
    <row r="450" spans="2:17" x14ac:dyDescent="0.3">
      <c r="B450" s="333">
        <v>60</v>
      </c>
      <c r="C450" s="333"/>
      <c r="D450" s="333"/>
      <c r="E450" s="333"/>
      <c r="F450" s="333"/>
      <c r="G450" s="333"/>
      <c r="H450" s="333"/>
      <c r="I450" s="333"/>
      <c r="J450" s="333"/>
      <c r="K450" s="333"/>
      <c r="M450" s="333">
        <f t="shared" si="70"/>
        <v>30</v>
      </c>
      <c r="N450" s="333" t="e">
        <f t="shared" si="71"/>
        <v>#DIV/0!</v>
      </c>
      <c r="O450" s="333" t="e">
        <f t="shared" si="72"/>
        <v>#DIV/0!</v>
      </c>
      <c r="P450" s="334" t="e">
        <f t="shared" si="73"/>
        <v>#DIV/0!</v>
      </c>
      <c r="Q450" s="334" t="e">
        <f t="shared" si="74"/>
        <v>#DIV/0!</v>
      </c>
    </row>
    <row r="451" spans="2:17" x14ac:dyDescent="0.3">
      <c r="B451" s="333">
        <v>60</v>
      </c>
      <c r="C451" s="333"/>
      <c r="D451" s="333"/>
      <c r="E451" s="333"/>
      <c r="F451" s="333"/>
      <c r="G451" s="333"/>
      <c r="H451" s="333"/>
      <c r="I451" s="333"/>
      <c r="J451" s="333"/>
      <c r="K451" s="333"/>
      <c r="M451" s="333">
        <f t="shared" si="70"/>
        <v>30</v>
      </c>
      <c r="N451" s="333" t="e">
        <f t="shared" si="71"/>
        <v>#DIV/0!</v>
      </c>
      <c r="O451" s="333" t="e">
        <f t="shared" si="72"/>
        <v>#DIV/0!</v>
      </c>
      <c r="P451" s="334" t="e">
        <f t="shared" si="73"/>
        <v>#DIV/0!</v>
      </c>
      <c r="Q451" s="334" t="e">
        <f t="shared" si="74"/>
        <v>#DIV/0!</v>
      </c>
    </row>
    <row r="452" spans="2:17" x14ac:dyDescent="0.3">
      <c r="B452" s="333">
        <v>60</v>
      </c>
      <c r="C452" s="333"/>
      <c r="D452" s="333"/>
      <c r="E452" s="333"/>
      <c r="F452" s="333"/>
      <c r="G452" s="333"/>
      <c r="H452" s="333"/>
      <c r="I452" s="333"/>
      <c r="J452" s="333"/>
      <c r="K452" s="333"/>
      <c r="M452" s="333">
        <f t="shared" si="70"/>
        <v>30</v>
      </c>
      <c r="N452" s="333" t="e">
        <f t="shared" si="71"/>
        <v>#DIV/0!</v>
      </c>
      <c r="O452" s="333" t="e">
        <f t="shared" si="72"/>
        <v>#DIV/0!</v>
      </c>
      <c r="P452" s="334" t="e">
        <f t="shared" si="73"/>
        <v>#DIV/0!</v>
      </c>
      <c r="Q452" s="334" t="e">
        <f t="shared" si="74"/>
        <v>#DIV/0!</v>
      </c>
    </row>
    <row r="453" spans="2:17" x14ac:dyDescent="0.3">
      <c r="B453" s="333">
        <v>60</v>
      </c>
      <c r="C453" s="333"/>
      <c r="D453" s="333"/>
      <c r="E453" s="333"/>
      <c r="F453" s="333"/>
      <c r="G453" s="333"/>
      <c r="H453" s="333"/>
      <c r="I453" s="333"/>
      <c r="J453" s="333"/>
      <c r="K453" s="333"/>
      <c r="M453" s="333">
        <f t="shared" si="70"/>
        <v>30</v>
      </c>
      <c r="N453" s="333" t="e">
        <f t="shared" si="71"/>
        <v>#DIV/0!</v>
      </c>
      <c r="O453" s="333" t="e">
        <f t="shared" si="72"/>
        <v>#DIV/0!</v>
      </c>
      <c r="P453" s="334" t="e">
        <f t="shared" si="73"/>
        <v>#DIV/0!</v>
      </c>
      <c r="Q453" s="334" t="e">
        <f t="shared" si="74"/>
        <v>#DIV/0!</v>
      </c>
    </row>
    <row r="454" spans="2:17" x14ac:dyDescent="0.3">
      <c r="B454" s="333">
        <v>60</v>
      </c>
      <c r="C454" s="333"/>
      <c r="D454" s="333"/>
      <c r="E454" s="333"/>
      <c r="F454" s="333"/>
      <c r="G454" s="333"/>
      <c r="H454" s="333"/>
      <c r="I454" s="333"/>
      <c r="J454" s="333"/>
      <c r="K454" s="333"/>
      <c r="M454" s="333">
        <f t="shared" si="70"/>
        <v>30</v>
      </c>
      <c r="N454" s="333" t="e">
        <f t="shared" si="71"/>
        <v>#DIV/0!</v>
      </c>
      <c r="O454" s="333" t="e">
        <f t="shared" si="72"/>
        <v>#DIV/0!</v>
      </c>
      <c r="P454" s="334" t="e">
        <f t="shared" si="73"/>
        <v>#DIV/0!</v>
      </c>
      <c r="Q454" s="334" t="e">
        <f t="shared" si="74"/>
        <v>#DIV/0!</v>
      </c>
    </row>
    <row r="455" spans="2:17" x14ac:dyDescent="0.3">
      <c r="B455" s="333">
        <v>60</v>
      </c>
      <c r="C455" s="333"/>
      <c r="D455" s="333"/>
      <c r="E455" s="333"/>
      <c r="F455" s="333"/>
      <c r="G455" s="333"/>
      <c r="H455" s="333"/>
      <c r="I455" s="333"/>
      <c r="J455" s="333"/>
      <c r="K455" s="333"/>
      <c r="M455" s="333">
        <f t="shared" si="70"/>
        <v>30</v>
      </c>
      <c r="N455" s="333" t="e">
        <f t="shared" si="71"/>
        <v>#DIV/0!</v>
      </c>
      <c r="O455" s="333" t="e">
        <f t="shared" si="72"/>
        <v>#DIV/0!</v>
      </c>
      <c r="P455" s="334" t="e">
        <f t="shared" si="73"/>
        <v>#DIV/0!</v>
      </c>
      <c r="Q455" s="334" t="e">
        <f t="shared" si="74"/>
        <v>#DIV/0!</v>
      </c>
    </row>
    <row r="456" spans="2:17" x14ac:dyDescent="0.3">
      <c r="B456" s="333">
        <v>60</v>
      </c>
      <c r="C456" s="333"/>
      <c r="D456" s="333"/>
      <c r="E456" s="333"/>
      <c r="F456" s="333"/>
      <c r="G456" s="333"/>
      <c r="H456" s="333"/>
      <c r="I456" s="333"/>
      <c r="J456" s="333"/>
      <c r="K456" s="333"/>
      <c r="M456" s="333">
        <f t="shared" si="70"/>
        <v>30</v>
      </c>
      <c r="N456" s="333" t="e">
        <f t="shared" si="71"/>
        <v>#DIV/0!</v>
      </c>
      <c r="O456" s="333" t="e">
        <f t="shared" si="72"/>
        <v>#DIV/0!</v>
      </c>
      <c r="P456" s="334" t="e">
        <f t="shared" si="73"/>
        <v>#DIV/0!</v>
      </c>
      <c r="Q456" s="334" t="e">
        <f t="shared" si="74"/>
        <v>#DIV/0!</v>
      </c>
    </row>
    <row r="457" spans="2:17" x14ac:dyDescent="0.3">
      <c r="B457" s="333">
        <v>80</v>
      </c>
      <c r="C457" s="333"/>
      <c r="D457" s="333"/>
      <c r="E457" s="333"/>
      <c r="F457" s="333"/>
      <c r="G457" s="333"/>
      <c r="H457" s="333"/>
      <c r="I457" s="333"/>
      <c r="J457" s="333"/>
      <c r="K457" s="333"/>
      <c r="M457" s="333">
        <f t="shared" si="70"/>
        <v>40</v>
      </c>
      <c r="N457" s="333" t="e">
        <f t="shared" si="71"/>
        <v>#DIV/0!</v>
      </c>
      <c r="O457" s="333" t="e">
        <f t="shared" si="72"/>
        <v>#DIV/0!</v>
      </c>
      <c r="P457" s="334" t="e">
        <f t="shared" si="73"/>
        <v>#DIV/0!</v>
      </c>
      <c r="Q457" s="334" t="e">
        <f t="shared" si="74"/>
        <v>#DIV/0!</v>
      </c>
    </row>
    <row r="458" spans="2:17" x14ac:dyDescent="0.3">
      <c r="B458" s="333">
        <v>80</v>
      </c>
      <c r="C458" s="333"/>
      <c r="D458" s="333"/>
      <c r="E458" s="333"/>
      <c r="F458" s="333"/>
      <c r="G458" s="333"/>
      <c r="H458" s="333"/>
      <c r="I458" s="333"/>
      <c r="J458" s="333"/>
      <c r="K458" s="333"/>
      <c r="M458" s="333">
        <f t="shared" si="70"/>
        <v>40</v>
      </c>
      <c r="N458" s="333" t="e">
        <f t="shared" si="71"/>
        <v>#DIV/0!</v>
      </c>
      <c r="O458" s="333" t="e">
        <f t="shared" si="72"/>
        <v>#DIV/0!</v>
      </c>
      <c r="P458" s="334" t="e">
        <f t="shared" si="73"/>
        <v>#DIV/0!</v>
      </c>
      <c r="Q458" s="334" t="e">
        <f t="shared" si="74"/>
        <v>#DIV/0!</v>
      </c>
    </row>
    <row r="459" spans="2:17" x14ac:dyDescent="0.3">
      <c r="B459" s="333">
        <v>80</v>
      </c>
      <c r="C459" s="333"/>
      <c r="D459" s="333"/>
      <c r="E459" s="333"/>
      <c r="F459" s="333"/>
      <c r="G459" s="333"/>
      <c r="H459" s="333"/>
      <c r="I459" s="333"/>
      <c r="J459" s="333"/>
      <c r="K459" s="333"/>
      <c r="M459" s="333">
        <f t="shared" si="70"/>
        <v>40</v>
      </c>
      <c r="N459" s="333" t="e">
        <f t="shared" si="71"/>
        <v>#DIV/0!</v>
      </c>
      <c r="O459" s="333" t="e">
        <f t="shared" si="72"/>
        <v>#DIV/0!</v>
      </c>
      <c r="P459" s="334" t="e">
        <f t="shared" si="73"/>
        <v>#DIV/0!</v>
      </c>
      <c r="Q459" s="334" t="e">
        <f t="shared" si="74"/>
        <v>#DIV/0!</v>
      </c>
    </row>
    <row r="460" spans="2:17" x14ac:dyDescent="0.3">
      <c r="B460" s="333">
        <v>80</v>
      </c>
      <c r="C460" s="333"/>
      <c r="D460" s="333"/>
      <c r="E460" s="333"/>
      <c r="F460" s="333"/>
      <c r="G460" s="333"/>
      <c r="H460" s="333"/>
      <c r="I460" s="333"/>
      <c r="J460" s="333"/>
      <c r="K460" s="333"/>
      <c r="M460" s="333">
        <f t="shared" si="70"/>
        <v>40</v>
      </c>
      <c r="N460" s="333" t="e">
        <f t="shared" si="71"/>
        <v>#DIV/0!</v>
      </c>
      <c r="O460" s="333" t="e">
        <f t="shared" si="72"/>
        <v>#DIV/0!</v>
      </c>
      <c r="P460" s="334" t="e">
        <f t="shared" si="73"/>
        <v>#DIV/0!</v>
      </c>
      <c r="Q460" s="334" t="e">
        <f t="shared" si="74"/>
        <v>#DIV/0!</v>
      </c>
    </row>
    <row r="461" spans="2:17" x14ac:dyDescent="0.3">
      <c r="B461" s="333">
        <v>80</v>
      </c>
      <c r="C461" s="333"/>
      <c r="D461" s="333"/>
      <c r="E461" s="333"/>
      <c r="F461" s="333"/>
      <c r="G461" s="333"/>
      <c r="H461" s="333"/>
      <c r="I461" s="333"/>
      <c r="J461" s="333"/>
      <c r="K461" s="333"/>
      <c r="M461" s="333">
        <f t="shared" si="70"/>
        <v>40</v>
      </c>
      <c r="N461" s="333" t="e">
        <f t="shared" si="71"/>
        <v>#DIV/0!</v>
      </c>
      <c r="O461" s="333" t="e">
        <f t="shared" si="72"/>
        <v>#DIV/0!</v>
      </c>
      <c r="P461" s="334" t="e">
        <f t="shared" si="73"/>
        <v>#DIV/0!</v>
      </c>
      <c r="Q461" s="334" t="e">
        <f t="shared" si="74"/>
        <v>#DIV/0!</v>
      </c>
    </row>
    <row r="462" spans="2:17" x14ac:dyDescent="0.3">
      <c r="B462" s="333">
        <v>80</v>
      </c>
      <c r="C462" s="333"/>
      <c r="D462" s="333"/>
      <c r="E462" s="333"/>
      <c r="F462" s="333"/>
      <c r="G462" s="333"/>
      <c r="H462" s="333"/>
      <c r="I462" s="333"/>
      <c r="J462" s="333"/>
      <c r="K462" s="333"/>
      <c r="M462" s="333">
        <f t="shared" si="70"/>
        <v>40</v>
      </c>
      <c r="N462" s="333" t="e">
        <f t="shared" si="71"/>
        <v>#DIV/0!</v>
      </c>
      <c r="O462" s="333" t="e">
        <f t="shared" si="72"/>
        <v>#DIV/0!</v>
      </c>
      <c r="P462" s="334" t="e">
        <f t="shared" si="73"/>
        <v>#DIV/0!</v>
      </c>
      <c r="Q462" s="334" t="e">
        <f t="shared" si="74"/>
        <v>#DIV/0!</v>
      </c>
    </row>
    <row r="463" spans="2:17" x14ac:dyDescent="0.3">
      <c r="B463" s="333">
        <v>80</v>
      </c>
      <c r="C463" s="333"/>
      <c r="D463" s="333"/>
      <c r="E463" s="333"/>
      <c r="F463" s="333"/>
      <c r="G463" s="333"/>
      <c r="H463" s="333"/>
      <c r="I463" s="333"/>
      <c r="J463" s="333"/>
      <c r="K463" s="333"/>
      <c r="M463" s="333">
        <f t="shared" si="70"/>
        <v>40</v>
      </c>
      <c r="N463" s="333" t="e">
        <f t="shared" si="71"/>
        <v>#DIV/0!</v>
      </c>
      <c r="O463" s="333" t="e">
        <f t="shared" si="72"/>
        <v>#DIV/0!</v>
      </c>
      <c r="P463" s="334" t="e">
        <f t="shared" si="73"/>
        <v>#DIV/0!</v>
      </c>
      <c r="Q463" s="334" t="e">
        <f t="shared" si="74"/>
        <v>#DIV/0!</v>
      </c>
    </row>
    <row r="464" spans="2:17" x14ac:dyDescent="0.3">
      <c r="B464" s="333">
        <v>80</v>
      </c>
      <c r="C464" s="333"/>
      <c r="D464" s="333"/>
      <c r="E464" s="333"/>
      <c r="F464" s="333"/>
      <c r="G464" s="333"/>
      <c r="H464" s="333"/>
      <c r="I464" s="333"/>
      <c r="J464" s="333"/>
      <c r="K464" s="333"/>
      <c r="M464" s="333">
        <f t="shared" si="70"/>
        <v>40</v>
      </c>
      <c r="N464" s="333" t="e">
        <f t="shared" si="71"/>
        <v>#DIV/0!</v>
      </c>
      <c r="O464" s="333" t="e">
        <f t="shared" si="72"/>
        <v>#DIV/0!</v>
      </c>
      <c r="P464" s="334" t="e">
        <f t="shared" si="73"/>
        <v>#DIV/0!</v>
      </c>
      <c r="Q464" s="334" t="e">
        <f t="shared" si="74"/>
        <v>#DIV/0!</v>
      </c>
    </row>
    <row r="465" spans="2:17" x14ac:dyDescent="0.3">
      <c r="B465" s="333">
        <v>80</v>
      </c>
      <c r="C465" s="333"/>
      <c r="D465" s="333"/>
      <c r="E465" s="333"/>
      <c r="F465" s="333"/>
      <c r="G465" s="333"/>
      <c r="H465" s="333"/>
      <c r="I465" s="333"/>
      <c r="J465" s="333"/>
      <c r="K465" s="333"/>
      <c r="M465" s="333">
        <f t="shared" si="70"/>
        <v>40</v>
      </c>
      <c r="N465" s="333" t="e">
        <f t="shared" si="71"/>
        <v>#DIV/0!</v>
      </c>
      <c r="O465" s="333" t="e">
        <f t="shared" si="72"/>
        <v>#DIV/0!</v>
      </c>
      <c r="P465" s="334" t="e">
        <f t="shared" si="73"/>
        <v>#DIV/0!</v>
      </c>
      <c r="Q465" s="334" t="e">
        <f t="shared" si="74"/>
        <v>#DIV/0!</v>
      </c>
    </row>
    <row r="466" spans="2:17" x14ac:dyDescent="0.3">
      <c r="B466" s="333">
        <v>80</v>
      </c>
      <c r="C466" s="333"/>
      <c r="D466" s="333"/>
      <c r="E466" s="333"/>
      <c r="F466" s="333"/>
      <c r="G466" s="333"/>
      <c r="H466" s="333"/>
      <c r="I466" s="333"/>
      <c r="J466" s="333"/>
      <c r="K466" s="333"/>
      <c r="M466" s="333">
        <f t="shared" si="70"/>
        <v>40</v>
      </c>
      <c r="N466" s="333" t="e">
        <f t="shared" si="71"/>
        <v>#DIV/0!</v>
      </c>
      <c r="O466" s="333" t="e">
        <f t="shared" si="72"/>
        <v>#DIV/0!</v>
      </c>
      <c r="P466" s="334" t="e">
        <f t="shared" si="73"/>
        <v>#DIV/0!</v>
      </c>
      <c r="Q466" s="334" t="e">
        <f t="shared" si="74"/>
        <v>#DIV/0!</v>
      </c>
    </row>
    <row r="467" spans="2:17" x14ac:dyDescent="0.3">
      <c r="B467" s="333">
        <v>80</v>
      </c>
      <c r="C467" s="333"/>
      <c r="D467" s="333"/>
      <c r="E467" s="333"/>
      <c r="F467" s="333"/>
      <c r="G467" s="333"/>
      <c r="H467" s="333"/>
      <c r="I467" s="333"/>
      <c r="J467" s="333"/>
      <c r="K467" s="333"/>
      <c r="M467" s="333">
        <f t="shared" si="70"/>
        <v>40</v>
      </c>
      <c r="N467" s="333" t="e">
        <f t="shared" si="71"/>
        <v>#DIV/0!</v>
      </c>
      <c r="O467" s="333" t="e">
        <f t="shared" si="72"/>
        <v>#DIV/0!</v>
      </c>
      <c r="P467" s="334" t="e">
        <f t="shared" si="73"/>
        <v>#DIV/0!</v>
      </c>
      <c r="Q467" s="334" t="e">
        <f t="shared" si="74"/>
        <v>#DIV/0!</v>
      </c>
    </row>
    <row r="468" spans="2:17" x14ac:dyDescent="0.3">
      <c r="B468" s="333">
        <v>80</v>
      </c>
      <c r="C468" s="333"/>
      <c r="D468" s="333"/>
      <c r="E468" s="333"/>
      <c r="F468" s="333"/>
      <c r="G468" s="333"/>
      <c r="H468" s="333"/>
      <c r="I468" s="333"/>
      <c r="J468" s="333"/>
      <c r="K468" s="333"/>
      <c r="M468" s="333">
        <f t="shared" si="70"/>
        <v>40</v>
      </c>
      <c r="N468" s="333" t="e">
        <f t="shared" si="71"/>
        <v>#DIV/0!</v>
      </c>
      <c r="O468" s="333" t="e">
        <f t="shared" si="72"/>
        <v>#DIV/0!</v>
      </c>
      <c r="P468" s="334" t="e">
        <f t="shared" si="73"/>
        <v>#DIV/0!</v>
      </c>
      <c r="Q468" s="334" t="e">
        <f t="shared" si="74"/>
        <v>#DIV/0!</v>
      </c>
    </row>
    <row r="469" spans="2:17" x14ac:dyDescent="0.3">
      <c r="B469" s="333">
        <v>80</v>
      </c>
      <c r="C469" s="333"/>
      <c r="D469" s="333"/>
      <c r="E469" s="333"/>
      <c r="F469" s="333"/>
      <c r="G469" s="333"/>
      <c r="H469" s="333"/>
      <c r="I469" s="333"/>
      <c r="J469" s="333"/>
      <c r="K469" s="333"/>
      <c r="M469" s="333">
        <f t="shared" si="70"/>
        <v>40</v>
      </c>
      <c r="N469" s="333" t="e">
        <f t="shared" si="71"/>
        <v>#DIV/0!</v>
      </c>
      <c r="O469" s="333" t="e">
        <f t="shared" si="72"/>
        <v>#DIV/0!</v>
      </c>
      <c r="P469" s="334" t="e">
        <f t="shared" si="73"/>
        <v>#DIV/0!</v>
      </c>
      <c r="Q469" s="334" t="e">
        <f t="shared" si="74"/>
        <v>#DIV/0!</v>
      </c>
    </row>
    <row r="470" spans="2:17" x14ac:dyDescent="0.3">
      <c r="B470" s="333">
        <v>80</v>
      </c>
      <c r="C470" s="333"/>
      <c r="D470" s="333"/>
      <c r="E470" s="333"/>
      <c r="F470" s="333"/>
      <c r="G470" s="333"/>
      <c r="H470" s="333"/>
      <c r="I470" s="333"/>
      <c r="J470" s="333"/>
      <c r="K470" s="333"/>
      <c r="M470" s="333">
        <f t="shared" si="70"/>
        <v>40</v>
      </c>
      <c r="N470" s="333" t="e">
        <f t="shared" si="71"/>
        <v>#DIV/0!</v>
      </c>
      <c r="O470" s="333" t="e">
        <f t="shared" si="72"/>
        <v>#DIV/0!</v>
      </c>
      <c r="P470" s="334" t="e">
        <f t="shared" si="73"/>
        <v>#DIV/0!</v>
      </c>
      <c r="Q470" s="334" t="e">
        <f t="shared" si="74"/>
        <v>#DIV/0!</v>
      </c>
    </row>
    <row r="471" spans="2:17" x14ac:dyDescent="0.3">
      <c r="B471" s="333">
        <v>80</v>
      </c>
      <c r="C471" s="333"/>
      <c r="D471" s="333"/>
      <c r="E471" s="333"/>
      <c r="F471" s="333"/>
      <c r="G471" s="333"/>
      <c r="H471" s="333"/>
      <c r="I471" s="333"/>
      <c r="J471" s="333"/>
      <c r="K471" s="333"/>
      <c r="M471" s="333">
        <f t="shared" si="70"/>
        <v>40</v>
      </c>
      <c r="N471" s="333" t="e">
        <f t="shared" si="71"/>
        <v>#DIV/0!</v>
      </c>
      <c r="O471" s="333" t="e">
        <f t="shared" si="72"/>
        <v>#DIV/0!</v>
      </c>
      <c r="P471" s="334" t="e">
        <f t="shared" si="73"/>
        <v>#DIV/0!</v>
      </c>
      <c r="Q471" s="334" t="e">
        <f t="shared" si="74"/>
        <v>#DIV/0!</v>
      </c>
    </row>
    <row r="472" spans="2:17" x14ac:dyDescent="0.3">
      <c r="B472" s="333">
        <v>80</v>
      </c>
      <c r="C472" s="333"/>
      <c r="D472" s="333"/>
      <c r="E472" s="333"/>
      <c r="F472" s="333"/>
      <c r="G472" s="333"/>
      <c r="H472" s="333"/>
      <c r="I472" s="333"/>
      <c r="J472" s="333"/>
      <c r="K472" s="333"/>
      <c r="M472" s="333">
        <f t="shared" si="70"/>
        <v>40</v>
      </c>
      <c r="N472" s="333" t="e">
        <f t="shared" si="71"/>
        <v>#DIV/0!</v>
      </c>
      <c r="O472" s="333" t="e">
        <f t="shared" si="72"/>
        <v>#DIV/0!</v>
      </c>
      <c r="P472" s="334" t="e">
        <f t="shared" si="73"/>
        <v>#DIV/0!</v>
      </c>
      <c r="Q472" s="334" t="e">
        <f t="shared" si="74"/>
        <v>#DIV/0!</v>
      </c>
    </row>
    <row r="473" spans="2:17" x14ac:dyDescent="0.3">
      <c r="B473" s="333">
        <v>80</v>
      </c>
      <c r="C473" s="333"/>
      <c r="D473" s="333"/>
      <c r="E473" s="333"/>
      <c r="F473" s="333"/>
      <c r="G473" s="333"/>
      <c r="H473" s="333"/>
      <c r="I473" s="333"/>
      <c r="J473" s="333"/>
      <c r="K473" s="333"/>
      <c r="M473" s="333">
        <f t="shared" si="70"/>
        <v>40</v>
      </c>
      <c r="N473" s="333" t="e">
        <f t="shared" si="71"/>
        <v>#DIV/0!</v>
      </c>
      <c r="O473" s="333" t="e">
        <f t="shared" si="72"/>
        <v>#DIV/0!</v>
      </c>
      <c r="P473" s="334" t="e">
        <f t="shared" si="73"/>
        <v>#DIV/0!</v>
      </c>
      <c r="Q473" s="334" t="e">
        <f t="shared" si="74"/>
        <v>#DIV/0!</v>
      </c>
    </row>
    <row r="474" spans="2:17" x14ac:dyDescent="0.3">
      <c r="B474" s="333">
        <v>80</v>
      </c>
      <c r="C474" s="333"/>
      <c r="D474" s="333"/>
      <c r="E474" s="333"/>
      <c r="F474" s="333"/>
      <c r="G474" s="333"/>
      <c r="H474" s="333"/>
      <c r="I474" s="333"/>
      <c r="J474" s="333"/>
      <c r="K474" s="333"/>
      <c r="M474" s="333">
        <f t="shared" si="70"/>
        <v>40</v>
      </c>
      <c r="N474" s="333" t="e">
        <f t="shared" si="71"/>
        <v>#DIV/0!</v>
      </c>
      <c r="O474" s="333" t="e">
        <f t="shared" si="72"/>
        <v>#DIV/0!</v>
      </c>
      <c r="P474" s="334" t="e">
        <f t="shared" si="73"/>
        <v>#DIV/0!</v>
      </c>
      <c r="Q474" s="334" t="e">
        <f t="shared" si="74"/>
        <v>#DIV/0!</v>
      </c>
    </row>
    <row r="475" spans="2:17" x14ac:dyDescent="0.3">
      <c r="B475" s="333">
        <v>80</v>
      </c>
      <c r="C475" s="333"/>
      <c r="D475" s="333"/>
      <c r="E475" s="333"/>
      <c r="F475" s="333"/>
      <c r="G475" s="333"/>
      <c r="H475" s="333"/>
      <c r="I475" s="333"/>
      <c r="J475" s="333"/>
      <c r="K475" s="333"/>
      <c r="M475" s="333">
        <f t="shared" si="70"/>
        <v>40</v>
      </c>
      <c r="N475" s="333" t="e">
        <f t="shared" si="71"/>
        <v>#DIV/0!</v>
      </c>
      <c r="O475" s="333" t="e">
        <f t="shared" si="72"/>
        <v>#DIV/0!</v>
      </c>
      <c r="P475" s="334" t="e">
        <f t="shared" si="73"/>
        <v>#DIV/0!</v>
      </c>
      <c r="Q475" s="334" t="e">
        <f t="shared" si="74"/>
        <v>#DIV/0!</v>
      </c>
    </row>
    <row r="476" spans="2:17" x14ac:dyDescent="0.3">
      <c r="B476" s="333">
        <v>80</v>
      </c>
      <c r="C476" s="333"/>
      <c r="D476" s="333"/>
      <c r="E476" s="333"/>
      <c r="F476" s="333"/>
      <c r="G476" s="333"/>
      <c r="H476" s="333"/>
      <c r="I476" s="333"/>
      <c r="J476" s="333"/>
      <c r="K476" s="333"/>
      <c r="M476" s="333">
        <f t="shared" si="70"/>
        <v>40</v>
      </c>
      <c r="N476" s="333" t="e">
        <f t="shared" si="71"/>
        <v>#DIV/0!</v>
      </c>
      <c r="O476" s="333" t="e">
        <f t="shared" si="72"/>
        <v>#DIV/0!</v>
      </c>
      <c r="P476" s="334" t="e">
        <f t="shared" si="73"/>
        <v>#DIV/0!</v>
      </c>
      <c r="Q476" s="334" t="e">
        <f t="shared" si="74"/>
        <v>#DIV/0!</v>
      </c>
    </row>
    <row r="480" spans="2:17" x14ac:dyDescent="0.3">
      <c r="B480" s="451" t="s">
        <v>761</v>
      </c>
      <c r="C480" s="452"/>
      <c r="D480" s="452"/>
      <c r="E480" s="452"/>
      <c r="F480" s="452"/>
      <c r="G480" s="452"/>
      <c r="H480" s="452"/>
      <c r="I480" s="452"/>
      <c r="J480" s="452"/>
      <c r="K480" s="452"/>
      <c r="M480" s="451" t="s">
        <v>762</v>
      </c>
      <c r="N480" s="452"/>
      <c r="O480" s="452"/>
      <c r="P480" s="407" t="s">
        <v>763</v>
      </c>
      <c r="Q480" s="409"/>
    </row>
    <row r="481" spans="2:17" x14ac:dyDescent="0.3">
      <c r="B481" s="230" t="s">
        <v>222</v>
      </c>
      <c r="C481" s="230" t="s">
        <v>779</v>
      </c>
      <c r="D481" s="230" t="s">
        <v>223</v>
      </c>
      <c r="E481" s="230" t="s">
        <v>224</v>
      </c>
      <c r="F481" s="230" t="s">
        <v>225</v>
      </c>
      <c r="G481" s="230" t="s">
        <v>226</v>
      </c>
      <c r="H481" s="230" t="s">
        <v>227</v>
      </c>
      <c r="I481" s="230" t="s">
        <v>789</v>
      </c>
      <c r="J481" s="230" t="s">
        <v>790</v>
      </c>
      <c r="K481" s="230" t="s">
        <v>230</v>
      </c>
      <c r="M481" s="230" t="s">
        <v>764</v>
      </c>
      <c r="N481" s="230" t="s">
        <v>437</v>
      </c>
      <c r="O481" s="230" t="s">
        <v>438</v>
      </c>
      <c r="P481" s="226" t="s">
        <v>437</v>
      </c>
      <c r="Q481" s="226" t="s">
        <v>438</v>
      </c>
    </row>
    <row r="482" spans="2:17" x14ac:dyDescent="0.3">
      <c r="B482" s="333">
        <v>0</v>
      </c>
      <c r="C482" s="333"/>
      <c r="D482" s="333"/>
      <c r="E482" s="333"/>
      <c r="F482" s="333"/>
      <c r="G482" s="333"/>
      <c r="H482" s="333"/>
      <c r="I482" s="333"/>
      <c r="J482" s="333"/>
      <c r="K482" s="333"/>
      <c r="M482" s="333">
        <f t="shared" ref="M482:M545" si="75">B482/2</f>
        <v>0</v>
      </c>
      <c r="N482" s="333" t="e">
        <f>(SUM(C482:E482)-SUM($C$191:$E$191))*$F$71</f>
        <v>#DIV/0!</v>
      </c>
      <c r="O482" s="333" t="e">
        <f>(SUM(F482:H482)-SUM($F$191:$H$191))*$G$71</f>
        <v>#DIV/0!</v>
      </c>
      <c r="P482" s="334" t="e">
        <f>N482-M482</f>
        <v>#DIV/0!</v>
      </c>
      <c r="Q482" s="334" t="e">
        <f>O482-M482</f>
        <v>#DIV/0!</v>
      </c>
    </row>
    <row r="483" spans="2:17" x14ac:dyDescent="0.3">
      <c r="B483" s="333">
        <v>0</v>
      </c>
      <c r="C483" s="333"/>
      <c r="D483" s="333"/>
      <c r="E483" s="333"/>
      <c r="F483" s="333"/>
      <c r="G483" s="333"/>
      <c r="H483" s="333"/>
      <c r="I483" s="333"/>
      <c r="J483" s="333"/>
      <c r="K483" s="333"/>
      <c r="M483" s="333">
        <f t="shared" si="75"/>
        <v>0</v>
      </c>
      <c r="N483" s="333" t="e">
        <f>(SUM(C483:E483)-SUM($C$191:$E$191))*$F$71</f>
        <v>#DIV/0!</v>
      </c>
      <c r="O483" s="333" t="e">
        <f>(SUM(F483:H483)-SUM($F$191:$H$191))*$G$71</f>
        <v>#DIV/0!</v>
      </c>
      <c r="P483" s="334" t="e">
        <f>N483-M483</f>
        <v>#DIV/0!</v>
      </c>
      <c r="Q483" s="334" t="e">
        <f>O483-M483</f>
        <v>#DIV/0!</v>
      </c>
    </row>
    <row r="484" spans="2:17" x14ac:dyDescent="0.3">
      <c r="B484" s="333">
        <v>0</v>
      </c>
      <c r="C484" s="333"/>
      <c r="D484" s="333"/>
      <c r="E484" s="333"/>
      <c r="F484" s="333"/>
      <c r="G484" s="333"/>
      <c r="H484" s="333"/>
      <c r="I484" s="333"/>
      <c r="J484" s="333"/>
      <c r="K484" s="333"/>
      <c r="M484" s="333">
        <f t="shared" si="75"/>
        <v>0</v>
      </c>
      <c r="N484" s="333" t="e">
        <f t="shared" ref="N484:N547" si="76">(SUM(C484:E484)-SUM($C$191:$E$191))*$F$71</f>
        <v>#DIV/0!</v>
      </c>
      <c r="O484" s="333" t="e">
        <f t="shared" ref="O484:O547" si="77">(SUM(F484:H484)-SUM($F$191:$H$191))*$G$71</f>
        <v>#DIV/0!</v>
      </c>
      <c r="P484" s="334" t="e">
        <f t="shared" ref="P484:P547" si="78">N484-M484</f>
        <v>#DIV/0!</v>
      </c>
      <c r="Q484" s="334" t="e">
        <f t="shared" ref="Q484:Q547" si="79">O484-M484</f>
        <v>#DIV/0!</v>
      </c>
    </row>
    <row r="485" spans="2:17" x14ac:dyDescent="0.3">
      <c r="B485" s="333">
        <v>0</v>
      </c>
      <c r="C485" s="333"/>
      <c r="D485" s="333"/>
      <c r="E485" s="333"/>
      <c r="F485" s="333"/>
      <c r="G485" s="333"/>
      <c r="H485" s="333"/>
      <c r="I485" s="333"/>
      <c r="J485" s="333"/>
      <c r="K485" s="333"/>
      <c r="M485" s="333">
        <f t="shared" si="75"/>
        <v>0</v>
      </c>
      <c r="N485" s="333" t="e">
        <f t="shared" si="76"/>
        <v>#DIV/0!</v>
      </c>
      <c r="O485" s="333" t="e">
        <f t="shared" si="77"/>
        <v>#DIV/0!</v>
      </c>
      <c r="P485" s="334" t="e">
        <f t="shared" si="78"/>
        <v>#DIV/0!</v>
      </c>
      <c r="Q485" s="334" t="e">
        <f t="shared" si="79"/>
        <v>#DIV/0!</v>
      </c>
    </row>
    <row r="486" spans="2:17" x14ac:dyDescent="0.3">
      <c r="B486" s="333">
        <v>0</v>
      </c>
      <c r="C486" s="333"/>
      <c r="D486" s="333"/>
      <c r="E486" s="333"/>
      <c r="F486" s="333"/>
      <c r="G486" s="333"/>
      <c r="H486" s="333"/>
      <c r="I486" s="333"/>
      <c r="J486" s="333"/>
      <c r="K486" s="333"/>
      <c r="M486" s="333">
        <f t="shared" si="75"/>
        <v>0</v>
      </c>
      <c r="N486" s="333" t="e">
        <f t="shared" si="76"/>
        <v>#DIV/0!</v>
      </c>
      <c r="O486" s="333" t="e">
        <f t="shared" si="77"/>
        <v>#DIV/0!</v>
      </c>
      <c r="P486" s="334" t="e">
        <f t="shared" si="78"/>
        <v>#DIV/0!</v>
      </c>
      <c r="Q486" s="334" t="e">
        <f t="shared" si="79"/>
        <v>#DIV/0!</v>
      </c>
    </row>
    <row r="487" spans="2:17" x14ac:dyDescent="0.3">
      <c r="B487" s="333">
        <v>0</v>
      </c>
      <c r="C487" s="333"/>
      <c r="D487" s="333"/>
      <c r="E487" s="333"/>
      <c r="F487" s="333"/>
      <c r="G487" s="333"/>
      <c r="H487" s="333"/>
      <c r="I487" s="333"/>
      <c r="J487" s="333"/>
      <c r="K487" s="333"/>
      <c r="M487" s="333">
        <f t="shared" si="75"/>
        <v>0</v>
      </c>
      <c r="N487" s="333" t="e">
        <f t="shared" si="76"/>
        <v>#DIV/0!</v>
      </c>
      <c r="O487" s="333" t="e">
        <f t="shared" si="77"/>
        <v>#DIV/0!</v>
      </c>
      <c r="P487" s="334" t="e">
        <f t="shared" si="78"/>
        <v>#DIV/0!</v>
      </c>
      <c r="Q487" s="334" t="e">
        <f t="shared" si="79"/>
        <v>#DIV/0!</v>
      </c>
    </row>
    <row r="488" spans="2:17" x14ac:dyDescent="0.3">
      <c r="B488" s="333">
        <v>0</v>
      </c>
      <c r="C488" s="333"/>
      <c r="D488" s="333"/>
      <c r="E488" s="333"/>
      <c r="F488" s="333"/>
      <c r="G488" s="333"/>
      <c r="H488" s="333"/>
      <c r="I488" s="333"/>
      <c r="J488" s="333"/>
      <c r="K488" s="333"/>
      <c r="M488" s="333">
        <f t="shared" si="75"/>
        <v>0</v>
      </c>
      <c r="N488" s="333" t="e">
        <f t="shared" si="76"/>
        <v>#DIV/0!</v>
      </c>
      <c r="O488" s="333" t="e">
        <f t="shared" si="77"/>
        <v>#DIV/0!</v>
      </c>
      <c r="P488" s="334" t="e">
        <f t="shared" si="78"/>
        <v>#DIV/0!</v>
      </c>
      <c r="Q488" s="334" t="e">
        <f t="shared" si="79"/>
        <v>#DIV/0!</v>
      </c>
    </row>
    <row r="489" spans="2:17" x14ac:dyDescent="0.3">
      <c r="B489" s="333">
        <v>0</v>
      </c>
      <c r="C489" s="333"/>
      <c r="D489" s="333"/>
      <c r="E489" s="333"/>
      <c r="F489" s="333"/>
      <c r="G489" s="333"/>
      <c r="H489" s="333"/>
      <c r="I489" s="333"/>
      <c r="J489" s="333"/>
      <c r="K489" s="333"/>
      <c r="M489" s="333">
        <f t="shared" si="75"/>
        <v>0</v>
      </c>
      <c r="N489" s="333" t="e">
        <f t="shared" si="76"/>
        <v>#DIV/0!</v>
      </c>
      <c r="O489" s="333" t="e">
        <f t="shared" si="77"/>
        <v>#DIV/0!</v>
      </c>
      <c r="P489" s="334" t="e">
        <f t="shared" si="78"/>
        <v>#DIV/0!</v>
      </c>
      <c r="Q489" s="334" t="e">
        <f t="shared" si="79"/>
        <v>#DIV/0!</v>
      </c>
    </row>
    <row r="490" spans="2:17" x14ac:dyDescent="0.3">
      <c r="B490" s="333">
        <v>0</v>
      </c>
      <c r="C490" s="333"/>
      <c r="D490" s="333"/>
      <c r="E490" s="333"/>
      <c r="F490" s="333"/>
      <c r="G490" s="333"/>
      <c r="H490" s="333"/>
      <c r="I490" s="333"/>
      <c r="J490" s="333"/>
      <c r="K490" s="333"/>
      <c r="M490" s="333">
        <f t="shared" si="75"/>
        <v>0</v>
      </c>
      <c r="N490" s="333" t="e">
        <f t="shared" si="76"/>
        <v>#DIV/0!</v>
      </c>
      <c r="O490" s="333" t="e">
        <f t="shared" si="77"/>
        <v>#DIV/0!</v>
      </c>
      <c r="P490" s="334" t="e">
        <f t="shared" si="78"/>
        <v>#DIV/0!</v>
      </c>
      <c r="Q490" s="334" t="e">
        <f t="shared" si="79"/>
        <v>#DIV/0!</v>
      </c>
    </row>
    <row r="491" spans="2:17" x14ac:dyDescent="0.3">
      <c r="B491" s="333">
        <v>0</v>
      </c>
      <c r="C491" s="333"/>
      <c r="D491" s="333"/>
      <c r="E491" s="333"/>
      <c r="F491" s="333"/>
      <c r="G491" s="333"/>
      <c r="H491" s="333"/>
      <c r="I491" s="333"/>
      <c r="J491" s="333"/>
      <c r="K491" s="333"/>
      <c r="M491" s="333">
        <f t="shared" si="75"/>
        <v>0</v>
      </c>
      <c r="N491" s="333" t="e">
        <f t="shared" si="76"/>
        <v>#DIV/0!</v>
      </c>
      <c r="O491" s="333" t="e">
        <f t="shared" si="77"/>
        <v>#DIV/0!</v>
      </c>
      <c r="P491" s="334" t="e">
        <f t="shared" si="78"/>
        <v>#DIV/0!</v>
      </c>
      <c r="Q491" s="334" t="e">
        <f t="shared" si="79"/>
        <v>#DIV/0!</v>
      </c>
    </row>
    <row r="492" spans="2:17" x14ac:dyDescent="0.3">
      <c r="B492" s="333">
        <v>0</v>
      </c>
      <c r="C492" s="333"/>
      <c r="D492" s="333"/>
      <c r="E492" s="333"/>
      <c r="F492" s="333"/>
      <c r="G492" s="333"/>
      <c r="H492" s="333"/>
      <c r="I492" s="333"/>
      <c r="J492" s="333"/>
      <c r="K492" s="333"/>
      <c r="M492" s="333">
        <f t="shared" si="75"/>
        <v>0</v>
      </c>
      <c r="N492" s="333" t="e">
        <f t="shared" si="76"/>
        <v>#DIV/0!</v>
      </c>
      <c r="O492" s="333" t="e">
        <f t="shared" si="77"/>
        <v>#DIV/0!</v>
      </c>
      <c r="P492" s="334" t="e">
        <f t="shared" si="78"/>
        <v>#DIV/0!</v>
      </c>
      <c r="Q492" s="334" t="e">
        <f t="shared" si="79"/>
        <v>#DIV/0!</v>
      </c>
    </row>
    <row r="493" spans="2:17" x14ac:dyDescent="0.3">
      <c r="B493" s="333">
        <v>0</v>
      </c>
      <c r="C493" s="333"/>
      <c r="D493" s="333"/>
      <c r="E493" s="333"/>
      <c r="F493" s="333"/>
      <c r="G493" s="333"/>
      <c r="H493" s="333"/>
      <c r="I493" s="333"/>
      <c r="J493" s="333"/>
      <c r="K493" s="333"/>
      <c r="M493" s="333">
        <f t="shared" si="75"/>
        <v>0</v>
      </c>
      <c r="N493" s="333" t="e">
        <f t="shared" si="76"/>
        <v>#DIV/0!</v>
      </c>
      <c r="O493" s="333" t="e">
        <f t="shared" si="77"/>
        <v>#DIV/0!</v>
      </c>
      <c r="P493" s="334" t="e">
        <f t="shared" si="78"/>
        <v>#DIV/0!</v>
      </c>
      <c r="Q493" s="334" t="e">
        <f t="shared" si="79"/>
        <v>#DIV/0!</v>
      </c>
    </row>
    <row r="494" spans="2:17" x14ac:dyDescent="0.3">
      <c r="B494" s="333">
        <v>0</v>
      </c>
      <c r="C494" s="333"/>
      <c r="D494" s="333"/>
      <c r="E494" s="333"/>
      <c r="F494" s="333"/>
      <c r="G494" s="333"/>
      <c r="H494" s="333"/>
      <c r="I494" s="333"/>
      <c r="J494" s="333"/>
      <c r="K494" s="333"/>
      <c r="M494" s="333">
        <f t="shared" si="75"/>
        <v>0</v>
      </c>
      <c r="N494" s="333" t="e">
        <f t="shared" si="76"/>
        <v>#DIV/0!</v>
      </c>
      <c r="O494" s="333" t="e">
        <f t="shared" si="77"/>
        <v>#DIV/0!</v>
      </c>
      <c r="P494" s="334" t="e">
        <f t="shared" si="78"/>
        <v>#DIV/0!</v>
      </c>
      <c r="Q494" s="334" t="e">
        <f t="shared" si="79"/>
        <v>#DIV/0!</v>
      </c>
    </row>
    <row r="495" spans="2:17" x14ac:dyDescent="0.3">
      <c r="B495" s="333">
        <v>0</v>
      </c>
      <c r="C495" s="333"/>
      <c r="D495" s="333"/>
      <c r="E495" s="333"/>
      <c r="F495" s="333"/>
      <c r="G495" s="333"/>
      <c r="H495" s="333"/>
      <c r="I495" s="333"/>
      <c r="J495" s="333"/>
      <c r="K495" s="333"/>
      <c r="M495" s="333">
        <f t="shared" si="75"/>
        <v>0</v>
      </c>
      <c r="N495" s="333" t="e">
        <f t="shared" si="76"/>
        <v>#DIV/0!</v>
      </c>
      <c r="O495" s="333" t="e">
        <f t="shared" si="77"/>
        <v>#DIV/0!</v>
      </c>
      <c r="P495" s="334" t="e">
        <f t="shared" si="78"/>
        <v>#DIV/0!</v>
      </c>
      <c r="Q495" s="334" t="e">
        <f t="shared" si="79"/>
        <v>#DIV/0!</v>
      </c>
    </row>
    <row r="496" spans="2:17" x14ac:dyDescent="0.3">
      <c r="B496" s="333">
        <v>0</v>
      </c>
      <c r="C496" s="333"/>
      <c r="D496" s="333"/>
      <c r="E496" s="333"/>
      <c r="F496" s="333"/>
      <c r="G496" s="333"/>
      <c r="H496" s="333"/>
      <c r="I496" s="333"/>
      <c r="J496" s="333"/>
      <c r="K496" s="333"/>
      <c r="M496" s="333">
        <f t="shared" si="75"/>
        <v>0</v>
      </c>
      <c r="N496" s="333" t="e">
        <f t="shared" si="76"/>
        <v>#DIV/0!</v>
      </c>
      <c r="O496" s="333" t="e">
        <f t="shared" si="77"/>
        <v>#DIV/0!</v>
      </c>
      <c r="P496" s="334" t="e">
        <f t="shared" si="78"/>
        <v>#DIV/0!</v>
      </c>
      <c r="Q496" s="334" t="e">
        <f t="shared" si="79"/>
        <v>#DIV/0!</v>
      </c>
    </row>
    <row r="497" spans="2:17" x14ac:dyDescent="0.3">
      <c r="B497" s="333">
        <v>0</v>
      </c>
      <c r="C497" s="333"/>
      <c r="D497" s="333"/>
      <c r="E497" s="333"/>
      <c r="F497" s="333"/>
      <c r="G497" s="333"/>
      <c r="H497" s="333"/>
      <c r="I497" s="333"/>
      <c r="J497" s="333"/>
      <c r="K497" s="333"/>
      <c r="M497" s="333">
        <f t="shared" si="75"/>
        <v>0</v>
      </c>
      <c r="N497" s="333" t="e">
        <f t="shared" si="76"/>
        <v>#DIV/0!</v>
      </c>
      <c r="O497" s="333" t="e">
        <f t="shared" si="77"/>
        <v>#DIV/0!</v>
      </c>
      <c r="P497" s="334" t="e">
        <f t="shared" si="78"/>
        <v>#DIV/0!</v>
      </c>
      <c r="Q497" s="334" t="e">
        <f t="shared" si="79"/>
        <v>#DIV/0!</v>
      </c>
    </row>
    <row r="498" spans="2:17" x14ac:dyDescent="0.3">
      <c r="B498" s="333">
        <v>0</v>
      </c>
      <c r="C498" s="333"/>
      <c r="D498" s="333"/>
      <c r="E498" s="333"/>
      <c r="F498" s="333"/>
      <c r="G498" s="333"/>
      <c r="H498" s="333"/>
      <c r="I498" s="333"/>
      <c r="J498" s="333"/>
      <c r="K498" s="333"/>
      <c r="M498" s="333">
        <f t="shared" si="75"/>
        <v>0</v>
      </c>
      <c r="N498" s="333" t="e">
        <f t="shared" si="76"/>
        <v>#DIV/0!</v>
      </c>
      <c r="O498" s="333" t="e">
        <f t="shared" si="77"/>
        <v>#DIV/0!</v>
      </c>
      <c r="P498" s="334" t="e">
        <f t="shared" si="78"/>
        <v>#DIV/0!</v>
      </c>
      <c r="Q498" s="334" t="e">
        <f t="shared" si="79"/>
        <v>#DIV/0!</v>
      </c>
    </row>
    <row r="499" spans="2:17" x14ac:dyDescent="0.3">
      <c r="B499" s="333">
        <v>0</v>
      </c>
      <c r="C499" s="333"/>
      <c r="D499" s="333"/>
      <c r="E499" s="333"/>
      <c r="F499" s="333"/>
      <c r="G499" s="333"/>
      <c r="H499" s="333"/>
      <c r="I499" s="333"/>
      <c r="J499" s="333"/>
      <c r="K499" s="333"/>
      <c r="M499" s="333">
        <f t="shared" si="75"/>
        <v>0</v>
      </c>
      <c r="N499" s="333" t="e">
        <f t="shared" si="76"/>
        <v>#DIV/0!</v>
      </c>
      <c r="O499" s="333" t="e">
        <f t="shared" si="77"/>
        <v>#DIV/0!</v>
      </c>
      <c r="P499" s="334" t="e">
        <f t="shared" si="78"/>
        <v>#DIV/0!</v>
      </c>
      <c r="Q499" s="334" t="e">
        <f t="shared" si="79"/>
        <v>#DIV/0!</v>
      </c>
    </row>
    <row r="500" spans="2:17" x14ac:dyDescent="0.3">
      <c r="B500" s="333">
        <v>0</v>
      </c>
      <c r="C500" s="333"/>
      <c r="D500" s="333"/>
      <c r="E500" s="333"/>
      <c r="F500" s="333"/>
      <c r="G500" s="333"/>
      <c r="H500" s="333"/>
      <c r="I500" s="333"/>
      <c r="J500" s="333"/>
      <c r="K500" s="333"/>
      <c r="M500" s="333">
        <f t="shared" si="75"/>
        <v>0</v>
      </c>
      <c r="N500" s="333" t="e">
        <f t="shared" si="76"/>
        <v>#DIV/0!</v>
      </c>
      <c r="O500" s="333" t="e">
        <f t="shared" si="77"/>
        <v>#DIV/0!</v>
      </c>
      <c r="P500" s="334" t="e">
        <f t="shared" si="78"/>
        <v>#DIV/0!</v>
      </c>
      <c r="Q500" s="334" t="e">
        <f t="shared" si="79"/>
        <v>#DIV/0!</v>
      </c>
    </row>
    <row r="501" spans="2:17" x14ac:dyDescent="0.3">
      <c r="B501" s="333">
        <v>0</v>
      </c>
      <c r="C501" s="333"/>
      <c r="D501" s="333"/>
      <c r="E501" s="333"/>
      <c r="F501" s="333"/>
      <c r="G501" s="333"/>
      <c r="H501" s="333"/>
      <c r="I501" s="333"/>
      <c r="J501" s="333"/>
      <c r="K501" s="333"/>
      <c r="M501" s="333">
        <f t="shared" si="75"/>
        <v>0</v>
      </c>
      <c r="N501" s="333" t="e">
        <f t="shared" si="76"/>
        <v>#DIV/0!</v>
      </c>
      <c r="O501" s="333" t="e">
        <f t="shared" si="77"/>
        <v>#DIV/0!</v>
      </c>
      <c r="P501" s="334" t="e">
        <f t="shared" si="78"/>
        <v>#DIV/0!</v>
      </c>
      <c r="Q501" s="334" t="e">
        <f t="shared" si="79"/>
        <v>#DIV/0!</v>
      </c>
    </row>
    <row r="502" spans="2:17" x14ac:dyDescent="0.3">
      <c r="B502" s="333">
        <v>10</v>
      </c>
      <c r="C502" s="333"/>
      <c r="D502" s="333"/>
      <c r="E502" s="333"/>
      <c r="F502" s="333"/>
      <c r="G502" s="333"/>
      <c r="H502" s="333"/>
      <c r="I502" s="333"/>
      <c r="J502" s="333"/>
      <c r="K502" s="333"/>
      <c r="M502" s="333">
        <f t="shared" si="75"/>
        <v>5</v>
      </c>
      <c r="N502" s="333" t="e">
        <f t="shared" si="76"/>
        <v>#DIV/0!</v>
      </c>
      <c r="O502" s="333" t="e">
        <f t="shared" si="77"/>
        <v>#DIV/0!</v>
      </c>
      <c r="P502" s="334" t="e">
        <f t="shared" si="78"/>
        <v>#DIV/0!</v>
      </c>
      <c r="Q502" s="334" t="e">
        <f t="shared" si="79"/>
        <v>#DIV/0!</v>
      </c>
    </row>
    <row r="503" spans="2:17" x14ac:dyDescent="0.3">
      <c r="B503" s="333">
        <v>10</v>
      </c>
      <c r="C503" s="333"/>
      <c r="D503" s="333"/>
      <c r="E503" s="333"/>
      <c r="F503" s="333"/>
      <c r="G503" s="333"/>
      <c r="H503" s="333"/>
      <c r="I503" s="333"/>
      <c r="J503" s="333"/>
      <c r="K503" s="333"/>
      <c r="M503" s="333">
        <f t="shared" si="75"/>
        <v>5</v>
      </c>
      <c r="N503" s="333" t="e">
        <f t="shared" si="76"/>
        <v>#DIV/0!</v>
      </c>
      <c r="O503" s="333" t="e">
        <f t="shared" si="77"/>
        <v>#DIV/0!</v>
      </c>
      <c r="P503" s="334" t="e">
        <f t="shared" si="78"/>
        <v>#DIV/0!</v>
      </c>
      <c r="Q503" s="334" t="e">
        <f t="shared" si="79"/>
        <v>#DIV/0!</v>
      </c>
    </row>
    <row r="504" spans="2:17" x14ac:dyDescent="0.3">
      <c r="B504" s="333">
        <v>10</v>
      </c>
      <c r="C504" s="333"/>
      <c r="D504" s="333"/>
      <c r="E504" s="333"/>
      <c r="F504" s="333"/>
      <c r="G504" s="333"/>
      <c r="H504" s="333"/>
      <c r="I504" s="333"/>
      <c r="J504" s="333"/>
      <c r="K504" s="333"/>
      <c r="M504" s="333">
        <f t="shared" si="75"/>
        <v>5</v>
      </c>
      <c r="N504" s="333" t="e">
        <f t="shared" si="76"/>
        <v>#DIV/0!</v>
      </c>
      <c r="O504" s="333" t="e">
        <f t="shared" si="77"/>
        <v>#DIV/0!</v>
      </c>
      <c r="P504" s="334" t="e">
        <f t="shared" si="78"/>
        <v>#DIV/0!</v>
      </c>
      <c r="Q504" s="334" t="e">
        <f t="shared" si="79"/>
        <v>#DIV/0!</v>
      </c>
    </row>
    <row r="505" spans="2:17" x14ac:dyDescent="0.3">
      <c r="B505" s="333">
        <v>10</v>
      </c>
      <c r="C505" s="333"/>
      <c r="D505" s="333"/>
      <c r="E505" s="333"/>
      <c r="F505" s="333"/>
      <c r="G505" s="333"/>
      <c r="H505" s="333"/>
      <c r="I505" s="333"/>
      <c r="J505" s="333"/>
      <c r="K505" s="333"/>
      <c r="M505" s="333">
        <f t="shared" si="75"/>
        <v>5</v>
      </c>
      <c r="N505" s="333" t="e">
        <f t="shared" si="76"/>
        <v>#DIV/0!</v>
      </c>
      <c r="O505" s="333" t="e">
        <f t="shared" si="77"/>
        <v>#DIV/0!</v>
      </c>
      <c r="P505" s="334" t="e">
        <f t="shared" si="78"/>
        <v>#DIV/0!</v>
      </c>
      <c r="Q505" s="334" t="e">
        <f t="shared" si="79"/>
        <v>#DIV/0!</v>
      </c>
    </row>
    <row r="506" spans="2:17" x14ac:dyDescent="0.3">
      <c r="B506" s="333">
        <v>10</v>
      </c>
      <c r="C506" s="333"/>
      <c r="D506" s="333"/>
      <c r="E506" s="333"/>
      <c r="F506" s="333"/>
      <c r="G506" s="333"/>
      <c r="H506" s="333"/>
      <c r="I506" s="333"/>
      <c r="J506" s="333"/>
      <c r="K506" s="333"/>
      <c r="M506" s="333">
        <f t="shared" si="75"/>
        <v>5</v>
      </c>
      <c r="N506" s="333" t="e">
        <f t="shared" si="76"/>
        <v>#DIV/0!</v>
      </c>
      <c r="O506" s="333" t="e">
        <f t="shared" si="77"/>
        <v>#DIV/0!</v>
      </c>
      <c r="P506" s="334" t="e">
        <f t="shared" si="78"/>
        <v>#DIV/0!</v>
      </c>
      <c r="Q506" s="334" t="e">
        <f t="shared" si="79"/>
        <v>#DIV/0!</v>
      </c>
    </row>
    <row r="507" spans="2:17" x14ac:dyDescent="0.3">
      <c r="B507" s="333">
        <v>10</v>
      </c>
      <c r="C507" s="333"/>
      <c r="D507" s="333"/>
      <c r="E507" s="333"/>
      <c r="F507" s="333"/>
      <c r="G507" s="333"/>
      <c r="H507" s="333"/>
      <c r="I507" s="333"/>
      <c r="J507" s="333"/>
      <c r="K507" s="333"/>
      <c r="M507" s="333">
        <f t="shared" si="75"/>
        <v>5</v>
      </c>
      <c r="N507" s="333" t="e">
        <f t="shared" si="76"/>
        <v>#DIV/0!</v>
      </c>
      <c r="O507" s="333" t="e">
        <f t="shared" si="77"/>
        <v>#DIV/0!</v>
      </c>
      <c r="P507" s="334" t="e">
        <f t="shared" si="78"/>
        <v>#DIV/0!</v>
      </c>
      <c r="Q507" s="334" t="e">
        <f t="shared" si="79"/>
        <v>#DIV/0!</v>
      </c>
    </row>
    <row r="508" spans="2:17" x14ac:dyDescent="0.3">
      <c r="B508" s="333">
        <v>10</v>
      </c>
      <c r="C508" s="333"/>
      <c r="D508" s="333"/>
      <c r="E508" s="333"/>
      <c r="F508" s="333"/>
      <c r="G508" s="333"/>
      <c r="H508" s="333"/>
      <c r="I508" s="333"/>
      <c r="J508" s="333"/>
      <c r="K508" s="333"/>
      <c r="M508" s="333">
        <f t="shared" si="75"/>
        <v>5</v>
      </c>
      <c r="N508" s="333" t="e">
        <f t="shared" si="76"/>
        <v>#DIV/0!</v>
      </c>
      <c r="O508" s="333" t="e">
        <f t="shared" si="77"/>
        <v>#DIV/0!</v>
      </c>
      <c r="P508" s="334" t="e">
        <f t="shared" si="78"/>
        <v>#DIV/0!</v>
      </c>
      <c r="Q508" s="334" t="e">
        <f t="shared" si="79"/>
        <v>#DIV/0!</v>
      </c>
    </row>
    <row r="509" spans="2:17" x14ac:dyDescent="0.3">
      <c r="B509" s="333">
        <v>10</v>
      </c>
      <c r="C509" s="333"/>
      <c r="D509" s="333"/>
      <c r="E509" s="333"/>
      <c r="F509" s="333"/>
      <c r="G509" s="333"/>
      <c r="H509" s="333"/>
      <c r="I509" s="333"/>
      <c r="J509" s="333"/>
      <c r="K509" s="333"/>
      <c r="M509" s="333">
        <f t="shared" si="75"/>
        <v>5</v>
      </c>
      <c r="N509" s="333" t="e">
        <f t="shared" si="76"/>
        <v>#DIV/0!</v>
      </c>
      <c r="O509" s="333" t="e">
        <f t="shared" si="77"/>
        <v>#DIV/0!</v>
      </c>
      <c r="P509" s="334" t="e">
        <f t="shared" si="78"/>
        <v>#DIV/0!</v>
      </c>
      <c r="Q509" s="334" t="e">
        <f t="shared" si="79"/>
        <v>#DIV/0!</v>
      </c>
    </row>
    <row r="510" spans="2:17" x14ac:dyDescent="0.3">
      <c r="B510" s="333">
        <v>10</v>
      </c>
      <c r="C510" s="333"/>
      <c r="D510" s="333"/>
      <c r="E510" s="333"/>
      <c r="F510" s="333"/>
      <c r="G510" s="333"/>
      <c r="H510" s="333"/>
      <c r="I510" s="333"/>
      <c r="J510" s="333"/>
      <c r="K510" s="333"/>
      <c r="M510" s="333">
        <f t="shared" si="75"/>
        <v>5</v>
      </c>
      <c r="N510" s="333" t="e">
        <f t="shared" si="76"/>
        <v>#DIV/0!</v>
      </c>
      <c r="O510" s="333" t="e">
        <f t="shared" si="77"/>
        <v>#DIV/0!</v>
      </c>
      <c r="P510" s="334" t="e">
        <f t="shared" si="78"/>
        <v>#DIV/0!</v>
      </c>
      <c r="Q510" s="334" t="e">
        <f t="shared" si="79"/>
        <v>#DIV/0!</v>
      </c>
    </row>
    <row r="511" spans="2:17" x14ac:dyDescent="0.3">
      <c r="B511" s="333">
        <v>10</v>
      </c>
      <c r="C511" s="333"/>
      <c r="D511" s="333"/>
      <c r="E511" s="333"/>
      <c r="F511" s="333"/>
      <c r="G511" s="333"/>
      <c r="H511" s="333"/>
      <c r="I511" s="333"/>
      <c r="J511" s="333"/>
      <c r="K511" s="333"/>
      <c r="M511" s="333">
        <f t="shared" si="75"/>
        <v>5</v>
      </c>
      <c r="N511" s="333" t="e">
        <f t="shared" si="76"/>
        <v>#DIV/0!</v>
      </c>
      <c r="O511" s="333" t="e">
        <f t="shared" si="77"/>
        <v>#DIV/0!</v>
      </c>
      <c r="P511" s="334" t="e">
        <f t="shared" si="78"/>
        <v>#DIV/0!</v>
      </c>
      <c r="Q511" s="334" t="e">
        <f t="shared" si="79"/>
        <v>#DIV/0!</v>
      </c>
    </row>
    <row r="512" spans="2:17" x14ac:dyDescent="0.3">
      <c r="B512" s="333">
        <v>10</v>
      </c>
      <c r="C512" s="333"/>
      <c r="D512" s="333"/>
      <c r="E512" s="333"/>
      <c r="F512" s="333"/>
      <c r="G512" s="333"/>
      <c r="H512" s="333"/>
      <c r="I512" s="333"/>
      <c r="J512" s="333"/>
      <c r="K512" s="333"/>
      <c r="M512" s="333">
        <f t="shared" si="75"/>
        <v>5</v>
      </c>
      <c r="N512" s="333" t="e">
        <f t="shared" si="76"/>
        <v>#DIV/0!</v>
      </c>
      <c r="O512" s="333" t="e">
        <f t="shared" si="77"/>
        <v>#DIV/0!</v>
      </c>
      <c r="P512" s="334" t="e">
        <f t="shared" si="78"/>
        <v>#DIV/0!</v>
      </c>
      <c r="Q512" s="334" t="e">
        <f t="shared" si="79"/>
        <v>#DIV/0!</v>
      </c>
    </row>
    <row r="513" spans="2:17" x14ac:dyDescent="0.3">
      <c r="B513" s="333">
        <v>10</v>
      </c>
      <c r="C513" s="333"/>
      <c r="D513" s="333"/>
      <c r="E513" s="333"/>
      <c r="F513" s="333"/>
      <c r="G513" s="333"/>
      <c r="H513" s="333"/>
      <c r="I513" s="333"/>
      <c r="J513" s="333"/>
      <c r="K513" s="333"/>
      <c r="M513" s="333">
        <f t="shared" si="75"/>
        <v>5</v>
      </c>
      <c r="N513" s="333" t="e">
        <f t="shared" si="76"/>
        <v>#DIV/0!</v>
      </c>
      <c r="O513" s="333" t="e">
        <f t="shared" si="77"/>
        <v>#DIV/0!</v>
      </c>
      <c r="P513" s="334" t="e">
        <f t="shared" si="78"/>
        <v>#DIV/0!</v>
      </c>
      <c r="Q513" s="334" t="e">
        <f t="shared" si="79"/>
        <v>#DIV/0!</v>
      </c>
    </row>
    <row r="514" spans="2:17" x14ac:dyDescent="0.3">
      <c r="B514" s="333">
        <v>10</v>
      </c>
      <c r="C514" s="333"/>
      <c r="D514" s="333"/>
      <c r="E514" s="333"/>
      <c r="F514" s="333"/>
      <c r="G514" s="333"/>
      <c r="H514" s="333"/>
      <c r="I514" s="333"/>
      <c r="J514" s="333"/>
      <c r="K514" s="333"/>
      <c r="M514" s="333">
        <f t="shared" si="75"/>
        <v>5</v>
      </c>
      <c r="N514" s="333" t="e">
        <f t="shared" si="76"/>
        <v>#DIV/0!</v>
      </c>
      <c r="O514" s="333" t="e">
        <f t="shared" si="77"/>
        <v>#DIV/0!</v>
      </c>
      <c r="P514" s="334" t="e">
        <f t="shared" si="78"/>
        <v>#DIV/0!</v>
      </c>
      <c r="Q514" s="334" t="e">
        <f t="shared" si="79"/>
        <v>#DIV/0!</v>
      </c>
    </row>
    <row r="515" spans="2:17" x14ac:dyDescent="0.3">
      <c r="B515" s="333">
        <v>10</v>
      </c>
      <c r="C515" s="333"/>
      <c r="D515" s="333"/>
      <c r="E515" s="333"/>
      <c r="F515" s="333"/>
      <c r="G515" s="333"/>
      <c r="H515" s="333"/>
      <c r="I515" s="333"/>
      <c r="J515" s="333"/>
      <c r="K515" s="333"/>
      <c r="M515" s="333">
        <f t="shared" si="75"/>
        <v>5</v>
      </c>
      <c r="N515" s="333" t="e">
        <f t="shared" si="76"/>
        <v>#DIV/0!</v>
      </c>
      <c r="O515" s="333" t="e">
        <f t="shared" si="77"/>
        <v>#DIV/0!</v>
      </c>
      <c r="P515" s="334" t="e">
        <f t="shared" si="78"/>
        <v>#DIV/0!</v>
      </c>
      <c r="Q515" s="334" t="e">
        <f t="shared" si="79"/>
        <v>#DIV/0!</v>
      </c>
    </row>
    <row r="516" spans="2:17" x14ac:dyDescent="0.3">
      <c r="B516" s="333">
        <v>10</v>
      </c>
      <c r="C516" s="333"/>
      <c r="D516" s="333"/>
      <c r="E516" s="333"/>
      <c r="F516" s="333"/>
      <c r="G516" s="333"/>
      <c r="H516" s="333"/>
      <c r="I516" s="333"/>
      <c r="J516" s="333"/>
      <c r="K516" s="333"/>
      <c r="M516" s="333">
        <f t="shared" si="75"/>
        <v>5</v>
      </c>
      <c r="N516" s="333" t="e">
        <f t="shared" si="76"/>
        <v>#DIV/0!</v>
      </c>
      <c r="O516" s="333" t="e">
        <f t="shared" si="77"/>
        <v>#DIV/0!</v>
      </c>
      <c r="P516" s="334" t="e">
        <f t="shared" si="78"/>
        <v>#DIV/0!</v>
      </c>
      <c r="Q516" s="334" t="e">
        <f t="shared" si="79"/>
        <v>#DIV/0!</v>
      </c>
    </row>
    <row r="517" spans="2:17" x14ac:dyDescent="0.3">
      <c r="B517" s="333">
        <v>10</v>
      </c>
      <c r="C517" s="333"/>
      <c r="D517" s="333"/>
      <c r="E517" s="333"/>
      <c r="F517" s="333"/>
      <c r="G517" s="333"/>
      <c r="H517" s="333"/>
      <c r="I517" s="333"/>
      <c r="J517" s="333"/>
      <c r="K517" s="333"/>
      <c r="M517" s="333">
        <f t="shared" si="75"/>
        <v>5</v>
      </c>
      <c r="N517" s="333" t="e">
        <f t="shared" si="76"/>
        <v>#DIV/0!</v>
      </c>
      <c r="O517" s="333" t="e">
        <f t="shared" si="77"/>
        <v>#DIV/0!</v>
      </c>
      <c r="P517" s="334" t="e">
        <f t="shared" si="78"/>
        <v>#DIV/0!</v>
      </c>
      <c r="Q517" s="334" t="e">
        <f t="shared" si="79"/>
        <v>#DIV/0!</v>
      </c>
    </row>
    <row r="518" spans="2:17" x14ac:dyDescent="0.3">
      <c r="B518" s="333">
        <v>10</v>
      </c>
      <c r="C518" s="333"/>
      <c r="D518" s="333"/>
      <c r="E518" s="333"/>
      <c r="F518" s="333"/>
      <c r="G518" s="333"/>
      <c r="H518" s="333"/>
      <c r="I518" s="333"/>
      <c r="J518" s="333"/>
      <c r="K518" s="333"/>
      <c r="M518" s="333">
        <f t="shared" si="75"/>
        <v>5</v>
      </c>
      <c r="N518" s="333" t="e">
        <f t="shared" si="76"/>
        <v>#DIV/0!</v>
      </c>
      <c r="O518" s="333" t="e">
        <f t="shared" si="77"/>
        <v>#DIV/0!</v>
      </c>
      <c r="P518" s="334" t="e">
        <f t="shared" si="78"/>
        <v>#DIV/0!</v>
      </c>
      <c r="Q518" s="334" t="e">
        <f t="shared" si="79"/>
        <v>#DIV/0!</v>
      </c>
    </row>
    <row r="519" spans="2:17" x14ac:dyDescent="0.3">
      <c r="B519" s="333">
        <v>10</v>
      </c>
      <c r="C519" s="333"/>
      <c r="D519" s="333"/>
      <c r="E519" s="333"/>
      <c r="F519" s="333"/>
      <c r="G519" s="333"/>
      <c r="H519" s="333"/>
      <c r="I519" s="333"/>
      <c r="J519" s="333"/>
      <c r="K519" s="333"/>
      <c r="M519" s="333">
        <f t="shared" si="75"/>
        <v>5</v>
      </c>
      <c r="N519" s="333" t="e">
        <f t="shared" si="76"/>
        <v>#DIV/0!</v>
      </c>
      <c r="O519" s="333" t="e">
        <f t="shared" si="77"/>
        <v>#DIV/0!</v>
      </c>
      <c r="P519" s="334" t="e">
        <f t="shared" si="78"/>
        <v>#DIV/0!</v>
      </c>
      <c r="Q519" s="334" t="e">
        <f t="shared" si="79"/>
        <v>#DIV/0!</v>
      </c>
    </row>
    <row r="520" spans="2:17" x14ac:dyDescent="0.3">
      <c r="B520" s="333">
        <v>10</v>
      </c>
      <c r="C520" s="333"/>
      <c r="D520" s="333"/>
      <c r="E520" s="333"/>
      <c r="F520" s="333"/>
      <c r="G520" s="333"/>
      <c r="H520" s="333"/>
      <c r="I520" s="333"/>
      <c r="J520" s="333"/>
      <c r="K520" s="333"/>
      <c r="M520" s="333">
        <f t="shared" si="75"/>
        <v>5</v>
      </c>
      <c r="N520" s="333" t="e">
        <f t="shared" si="76"/>
        <v>#DIV/0!</v>
      </c>
      <c r="O520" s="333" t="e">
        <f t="shared" si="77"/>
        <v>#DIV/0!</v>
      </c>
      <c r="P520" s="334" t="e">
        <f t="shared" si="78"/>
        <v>#DIV/0!</v>
      </c>
      <c r="Q520" s="334" t="e">
        <f t="shared" si="79"/>
        <v>#DIV/0!</v>
      </c>
    </row>
    <row r="521" spans="2:17" x14ac:dyDescent="0.3">
      <c r="B521" s="333">
        <v>10</v>
      </c>
      <c r="C521" s="333"/>
      <c r="D521" s="333"/>
      <c r="E521" s="333"/>
      <c r="F521" s="333"/>
      <c r="G521" s="333"/>
      <c r="H521" s="333"/>
      <c r="I521" s="333"/>
      <c r="J521" s="333"/>
      <c r="K521" s="333"/>
      <c r="M521" s="333">
        <f t="shared" si="75"/>
        <v>5</v>
      </c>
      <c r="N521" s="333" t="e">
        <f t="shared" si="76"/>
        <v>#DIV/0!</v>
      </c>
      <c r="O521" s="333" t="e">
        <f t="shared" si="77"/>
        <v>#DIV/0!</v>
      </c>
      <c r="P521" s="334" t="e">
        <f t="shared" si="78"/>
        <v>#DIV/0!</v>
      </c>
      <c r="Q521" s="334" t="e">
        <f t="shared" si="79"/>
        <v>#DIV/0!</v>
      </c>
    </row>
    <row r="522" spans="2:17" x14ac:dyDescent="0.3">
      <c r="B522" s="333">
        <v>20</v>
      </c>
      <c r="C522" s="333"/>
      <c r="D522" s="333"/>
      <c r="E522" s="333"/>
      <c r="F522" s="333"/>
      <c r="G522" s="333"/>
      <c r="H522" s="333"/>
      <c r="I522" s="333"/>
      <c r="J522" s="333"/>
      <c r="K522" s="333"/>
      <c r="M522" s="333">
        <f t="shared" si="75"/>
        <v>10</v>
      </c>
      <c r="N522" s="333" t="e">
        <f t="shared" si="76"/>
        <v>#DIV/0!</v>
      </c>
      <c r="O522" s="333" t="e">
        <f t="shared" si="77"/>
        <v>#DIV/0!</v>
      </c>
      <c r="P522" s="334" t="e">
        <f t="shared" si="78"/>
        <v>#DIV/0!</v>
      </c>
      <c r="Q522" s="334" t="e">
        <f t="shared" si="79"/>
        <v>#DIV/0!</v>
      </c>
    </row>
    <row r="523" spans="2:17" x14ac:dyDescent="0.3">
      <c r="B523" s="333">
        <v>20</v>
      </c>
      <c r="C523" s="333"/>
      <c r="D523" s="333"/>
      <c r="E523" s="333"/>
      <c r="F523" s="333"/>
      <c r="G523" s="333"/>
      <c r="H523" s="333"/>
      <c r="I523" s="333"/>
      <c r="J523" s="333"/>
      <c r="K523" s="333"/>
      <c r="M523" s="333">
        <f t="shared" si="75"/>
        <v>10</v>
      </c>
      <c r="N523" s="333" t="e">
        <f t="shared" si="76"/>
        <v>#DIV/0!</v>
      </c>
      <c r="O523" s="333" t="e">
        <f t="shared" si="77"/>
        <v>#DIV/0!</v>
      </c>
      <c r="P523" s="334" t="e">
        <f t="shared" si="78"/>
        <v>#DIV/0!</v>
      </c>
      <c r="Q523" s="334" t="e">
        <f t="shared" si="79"/>
        <v>#DIV/0!</v>
      </c>
    </row>
    <row r="524" spans="2:17" x14ac:dyDescent="0.3">
      <c r="B524" s="333">
        <v>20</v>
      </c>
      <c r="C524" s="333"/>
      <c r="D524" s="333"/>
      <c r="E524" s="333"/>
      <c r="F524" s="333"/>
      <c r="G524" s="333"/>
      <c r="H524" s="333"/>
      <c r="I524" s="333"/>
      <c r="J524" s="333"/>
      <c r="K524" s="333"/>
      <c r="M524" s="333">
        <f t="shared" si="75"/>
        <v>10</v>
      </c>
      <c r="N524" s="333" t="e">
        <f t="shared" si="76"/>
        <v>#DIV/0!</v>
      </c>
      <c r="O524" s="333" t="e">
        <f t="shared" si="77"/>
        <v>#DIV/0!</v>
      </c>
      <c r="P524" s="334" t="e">
        <f t="shared" si="78"/>
        <v>#DIV/0!</v>
      </c>
      <c r="Q524" s="334" t="e">
        <f t="shared" si="79"/>
        <v>#DIV/0!</v>
      </c>
    </row>
    <row r="525" spans="2:17" x14ac:dyDescent="0.3">
      <c r="B525" s="333">
        <v>20</v>
      </c>
      <c r="C525" s="333"/>
      <c r="D525" s="333"/>
      <c r="E525" s="333"/>
      <c r="F525" s="333"/>
      <c r="G525" s="333"/>
      <c r="H525" s="333"/>
      <c r="I525" s="333"/>
      <c r="J525" s="333"/>
      <c r="K525" s="333"/>
      <c r="M525" s="333">
        <f t="shared" si="75"/>
        <v>10</v>
      </c>
      <c r="N525" s="333" t="e">
        <f t="shared" si="76"/>
        <v>#DIV/0!</v>
      </c>
      <c r="O525" s="333" t="e">
        <f t="shared" si="77"/>
        <v>#DIV/0!</v>
      </c>
      <c r="P525" s="334" t="e">
        <f t="shared" si="78"/>
        <v>#DIV/0!</v>
      </c>
      <c r="Q525" s="334" t="e">
        <f t="shared" si="79"/>
        <v>#DIV/0!</v>
      </c>
    </row>
    <row r="526" spans="2:17" x14ac:dyDescent="0.3">
      <c r="B526" s="333">
        <v>20</v>
      </c>
      <c r="C526" s="333"/>
      <c r="D526" s="333"/>
      <c r="E526" s="333"/>
      <c r="F526" s="333"/>
      <c r="G526" s="333"/>
      <c r="H526" s="333"/>
      <c r="I526" s="333"/>
      <c r="J526" s="333"/>
      <c r="K526" s="333"/>
      <c r="M526" s="333">
        <f t="shared" si="75"/>
        <v>10</v>
      </c>
      <c r="N526" s="333" t="e">
        <f t="shared" si="76"/>
        <v>#DIV/0!</v>
      </c>
      <c r="O526" s="333" t="e">
        <f t="shared" si="77"/>
        <v>#DIV/0!</v>
      </c>
      <c r="P526" s="334" t="e">
        <f t="shared" si="78"/>
        <v>#DIV/0!</v>
      </c>
      <c r="Q526" s="334" t="e">
        <f t="shared" si="79"/>
        <v>#DIV/0!</v>
      </c>
    </row>
    <row r="527" spans="2:17" x14ac:dyDescent="0.3">
      <c r="B527" s="333">
        <v>20</v>
      </c>
      <c r="C527" s="333"/>
      <c r="D527" s="333"/>
      <c r="E527" s="333"/>
      <c r="F527" s="333"/>
      <c r="G527" s="333"/>
      <c r="H527" s="333"/>
      <c r="I527" s="333"/>
      <c r="J527" s="333"/>
      <c r="K527" s="333"/>
      <c r="M527" s="333">
        <f t="shared" si="75"/>
        <v>10</v>
      </c>
      <c r="N527" s="333" t="e">
        <f t="shared" si="76"/>
        <v>#DIV/0!</v>
      </c>
      <c r="O527" s="333" t="e">
        <f t="shared" si="77"/>
        <v>#DIV/0!</v>
      </c>
      <c r="P527" s="334" t="e">
        <f t="shared" si="78"/>
        <v>#DIV/0!</v>
      </c>
      <c r="Q527" s="334" t="e">
        <f t="shared" si="79"/>
        <v>#DIV/0!</v>
      </c>
    </row>
    <row r="528" spans="2:17" x14ac:dyDescent="0.3">
      <c r="B528" s="333">
        <v>20</v>
      </c>
      <c r="C528" s="333"/>
      <c r="D528" s="333"/>
      <c r="E528" s="333"/>
      <c r="F528" s="333"/>
      <c r="G528" s="333"/>
      <c r="H528" s="333"/>
      <c r="I528" s="333"/>
      <c r="J528" s="333"/>
      <c r="K528" s="333"/>
      <c r="M528" s="333">
        <f t="shared" si="75"/>
        <v>10</v>
      </c>
      <c r="N528" s="333" t="e">
        <f t="shared" si="76"/>
        <v>#DIV/0!</v>
      </c>
      <c r="O528" s="333" t="e">
        <f t="shared" si="77"/>
        <v>#DIV/0!</v>
      </c>
      <c r="P528" s="334" t="e">
        <f t="shared" si="78"/>
        <v>#DIV/0!</v>
      </c>
      <c r="Q528" s="334" t="e">
        <f t="shared" si="79"/>
        <v>#DIV/0!</v>
      </c>
    </row>
    <row r="529" spans="2:17" x14ac:dyDescent="0.3">
      <c r="B529" s="333">
        <v>20</v>
      </c>
      <c r="C529" s="333"/>
      <c r="D529" s="333"/>
      <c r="E529" s="333"/>
      <c r="F529" s="333"/>
      <c r="G529" s="333"/>
      <c r="H529" s="333"/>
      <c r="I529" s="333"/>
      <c r="J529" s="333"/>
      <c r="K529" s="333"/>
      <c r="M529" s="333">
        <f t="shared" si="75"/>
        <v>10</v>
      </c>
      <c r="N529" s="333" t="e">
        <f t="shared" si="76"/>
        <v>#DIV/0!</v>
      </c>
      <c r="O529" s="333" t="e">
        <f t="shared" si="77"/>
        <v>#DIV/0!</v>
      </c>
      <c r="P529" s="334" t="e">
        <f t="shared" si="78"/>
        <v>#DIV/0!</v>
      </c>
      <c r="Q529" s="334" t="e">
        <f t="shared" si="79"/>
        <v>#DIV/0!</v>
      </c>
    </row>
    <row r="530" spans="2:17" x14ac:dyDescent="0.3">
      <c r="B530" s="333">
        <v>20</v>
      </c>
      <c r="C530" s="333"/>
      <c r="D530" s="333"/>
      <c r="E530" s="333"/>
      <c r="F530" s="333"/>
      <c r="G530" s="333"/>
      <c r="H530" s="333"/>
      <c r="I530" s="333"/>
      <c r="J530" s="333"/>
      <c r="K530" s="333"/>
      <c r="M530" s="333">
        <f t="shared" si="75"/>
        <v>10</v>
      </c>
      <c r="N530" s="333" t="e">
        <f t="shared" si="76"/>
        <v>#DIV/0!</v>
      </c>
      <c r="O530" s="333" t="e">
        <f t="shared" si="77"/>
        <v>#DIV/0!</v>
      </c>
      <c r="P530" s="334" t="e">
        <f t="shared" si="78"/>
        <v>#DIV/0!</v>
      </c>
      <c r="Q530" s="334" t="e">
        <f t="shared" si="79"/>
        <v>#DIV/0!</v>
      </c>
    </row>
    <row r="531" spans="2:17" x14ac:dyDescent="0.3">
      <c r="B531" s="333">
        <v>20</v>
      </c>
      <c r="C531" s="333"/>
      <c r="D531" s="333"/>
      <c r="E531" s="333"/>
      <c r="F531" s="333"/>
      <c r="G531" s="333"/>
      <c r="H531" s="333"/>
      <c r="I531" s="333"/>
      <c r="J531" s="333"/>
      <c r="K531" s="333"/>
      <c r="M531" s="333">
        <f t="shared" si="75"/>
        <v>10</v>
      </c>
      <c r="N531" s="333" t="e">
        <f t="shared" si="76"/>
        <v>#DIV/0!</v>
      </c>
      <c r="O531" s="333" t="e">
        <f t="shared" si="77"/>
        <v>#DIV/0!</v>
      </c>
      <c r="P531" s="334" t="e">
        <f t="shared" si="78"/>
        <v>#DIV/0!</v>
      </c>
      <c r="Q531" s="334" t="e">
        <f t="shared" si="79"/>
        <v>#DIV/0!</v>
      </c>
    </row>
    <row r="532" spans="2:17" x14ac:dyDescent="0.3">
      <c r="B532" s="333">
        <v>20</v>
      </c>
      <c r="C532" s="333"/>
      <c r="D532" s="333"/>
      <c r="E532" s="333"/>
      <c r="F532" s="333"/>
      <c r="G532" s="333"/>
      <c r="H532" s="333"/>
      <c r="I532" s="333"/>
      <c r="J532" s="333"/>
      <c r="K532" s="333"/>
      <c r="M532" s="333">
        <f t="shared" si="75"/>
        <v>10</v>
      </c>
      <c r="N532" s="333" t="e">
        <f t="shared" si="76"/>
        <v>#DIV/0!</v>
      </c>
      <c r="O532" s="333" t="e">
        <f t="shared" si="77"/>
        <v>#DIV/0!</v>
      </c>
      <c r="P532" s="334" t="e">
        <f t="shared" si="78"/>
        <v>#DIV/0!</v>
      </c>
      <c r="Q532" s="334" t="e">
        <f t="shared" si="79"/>
        <v>#DIV/0!</v>
      </c>
    </row>
    <row r="533" spans="2:17" x14ac:dyDescent="0.3">
      <c r="B533" s="333">
        <v>20</v>
      </c>
      <c r="C533" s="333"/>
      <c r="D533" s="333"/>
      <c r="E533" s="333"/>
      <c r="F533" s="333"/>
      <c r="G533" s="333"/>
      <c r="H533" s="333"/>
      <c r="I533" s="333"/>
      <c r="J533" s="333"/>
      <c r="K533" s="333"/>
      <c r="M533" s="333">
        <f t="shared" si="75"/>
        <v>10</v>
      </c>
      <c r="N533" s="333" t="e">
        <f t="shared" si="76"/>
        <v>#DIV/0!</v>
      </c>
      <c r="O533" s="333" t="e">
        <f t="shared" si="77"/>
        <v>#DIV/0!</v>
      </c>
      <c r="P533" s="334" t="e">
        <f t="shared" si="78"/>
        <v>#DIV/0!</v>
      </c>
      <c r="Q533" s="334" t="e">
        <f t="shared" si="79"/>
        <v>#DIV/0!</v>
      </c>
    </row>
    <row r="534" spans="2:17" x14ac:dyDescent="0.3">
      <c r="B534" s="333">
        <v>20</v>
      </c>
      <c r="C534" s="333"/>
      <c r="D534" s="333"/>
      <c r="E534" s="333"/>
      <c r="F534" s="333"/>
      <c r="G534" s="333"/>
      <c r="H534" s="333"/>
      <c r="I534" s="333"/>
      <c r="J534" s="333"/>
      <c r="K534" s="333"/>
      <c r="M534" s="333">
        <f t="shared" si="75"/>
        <v>10</v>
      </c>
      <c r="N534" s="333" t="e">
        <f t="shared" si="76"/>
        <v>#DIV/0!</v>
      </c>
      <c r="O534" s="333" t="e">
        <f t="shared" si="77"/>
        <v>#DIV/0!</v>
      </c>
      <c r="P534" s="334" t="e">
        <f t="shared" si="78"/>
        <v>#DIV/0!</v>
      </c>
      <c r="Q534" s="334" t="e">
        <f t="shared" si="79"/>
        <v>#DIV/0!</v>
      </c>
    </row>
    <row r="535" spans="2:17" x14ac:dyDescent="0.3">
      <c r="B535" s="333">
        <v>20</v>
      </c>
      <c r="C535" s="333"/>
      <c r="D535" s="333"/>
      <c r="E535" s="333"/>
      <c r="F535" s="333"/>
      <c r="G535" s="333"/>
      <c r="H535" s="333"/>
      <c r="I535" s="333"/>
      <c r="J535" s="333"/>
      <c r="K535" s="333"/>
      <c r="M535" s="333">
        <f t="shared" si="75"/>
        <v>10</v>
      </c>
      <c r="N535" s="333" t="e">
        <f t="shared" si="76"/>
        <v>#DIV/0!</v>
      </c>
      <c r="O535" s="333" t="e">
        <f t="shared" si="77"/>
        <v>#DIV/0!</v>
      </c>
      <c r="P535" s="334" t="e">
        <f t="shared" si="78"/>
        <v>#DIV/0!</v>
      </c>
      <c r="Q535" s="334" t="e">
        <f t="shared" si="79"/>
        <v>#DIV/0!</v>
      </c>
    </row>
    <row r="536" spans="2:17" x14ac:dyDescent="0.3">
      <c r="B536" s="333">
        <v>20</v>
      </c>
      <c r="C536" s="333"/>
      <c r="D536" s="333"/>
      <c r="E536" s="333"/>
      <c r="F536" s="333"/>
      <c r="G536" s="333"/>
      <c r="H536" s="333"/>
      <c r="I536" s="333"/>
      <c r="J536" s="333"/>
      <c r="K536" s="333"/>
      <c r="M536" s="333">
        <f t="shared" si="75"/>
        <v>10</v>
      </c>
      <c r="N536" s="333" t="e">
        <f t="shared" si="76"/>
        <v>#DIV/0!</v>
      </c>
      <c r="O536" s="333" t="e">
        <f t="shared" si="77"/>
        <v>#DIV/0!</v>
      </c>
      <c r="P536" s="334" t="e">
        <f t="shared" si="78"/>
        <v>#DIV/0!</v>
      </c>
      <c r="Q536" s="334" t="e">
        <f t="shared" si="79"/>
        <v>#DIV/0!</v>
      </c>
    </row>
    <row r="537" spans="2:17" x14ac:dyDescent="0.3">
      <c r="B537" s="333">
        <v>20</v>
      </c>
      <c r="C537" s="333"/>
      <c r="D537" s="333"/>
      <c r="E537" s="333"/>
      <c r="F537" s="333"/>
      <c r="G537" s="333"/>
      <c r="H537" s="333"/>
      <c r="I537" s="333"/>
      <c r="J537" s="333"/>
      <c r="K537" s="333"/>
      <c r="M537" s="333">
        <f t="shared" si="75"/>
        <v>10</v>
      </c>
      <c r="N537" s="333" t="e">
        <f t="shared" si="76"/>
        <v>#DIV/0!</v>
      </c>
      <c r="O537" s="333" t="e">
        <f t="shared" si="77"/>
        <v>#DIV/0!</v>
      </c>
      <c r="P537" s="334" t="e">
        <f t="shared" si="78"/>
        <v>#DIV/0!</v>
      </c>
      <c r="Q537" s="334" t="e">
        <f t="shared" si="79"/>
        <v>#DIV/0!</v>
      </c>
    </row>
    <row r="538" spans="2:17" x14ac:dyDescent="0.3">
      <c r="B538" s="333">
        <v>20</v>
      </c>
      <c r="C538" s="333"/>
      <c r="D538" s="333"/>
      <c r="E538" s="333"/>
      <c r="F538" s="333"/>
      <c r="G538" s="333"/>
      <c r="H538" s="333"/>
      <c r="I538" s="333"/>
      <c r="J538" s="333"/>
      <c r="K538" s="333"/>
      <c r="M538" s="333">
        <f t="shared" si="75"/>
        <v>10</v>
      </c>
      <c r="N538" s="333" t="e">
        <f t="shared" si="76"/>
        <v>#DIV/0!</v>
      </c>
      <c r="O538" s="333" t="e">
        <f t="shared" si="77"/>
        <v>#DIV/0!</v>
      </c>
      <c r="P538" s="334" t="e">
        <f t="shared" si="78"/>
        <v>#DIV/0!</v>
      </c>
      <c r="Q538" s="334" t="e">
        <f t="shared" si="79"/>
        <v>#DIV/0!</v>
      </c>
    </row>
    <row r="539" spans="2:17" x14ac:dyDescent="0.3">
      <c r="B539" s="333">
        <v>20</v>
      </c>
      <c r="C539" s="333"/>
      <c r="D539" s="333"/>
      <c r="E539" s="333"/>
      <c r="F539" s="333"/>
      <c r="G539" s="333"/>
      <c r="H539" s="333"/>
      <c r="I539" s="333"/>
      <c r="J539" s="333"/>
      <c r="K539" s="333"/>
      <c r="M539" s="333">
        <f t="shared" si="75"/>
        <v>10</v>
      </c>
      <c r="N539" s="333" t="e">
        <f t="shared" si="76"/>
        <v>#DIV/0!</v>
      </c>
      <c r="O539" s="333" t="e">
        <f t="shared" si="77"/>
        <v>#DIV/0!</v>
      </c>
      <c r="P539" s="334" t="e">
        <f t="shared" si="78"/>
        <v>#DIV/0!</v>
      </c>
      <c r="Q539" s="334" t="e">
        <f t="shared" si="79"/>
        <v>#DIV/0!</v>
      </c>
    </row>
    <row r="540" spans="2:17" x14ac:dyDescent="0.3">
      <c r="B540" s="333">
        <v>20</v>
      </c>
      <c r="C540" s="333"/>
      <c r="D540" s="333"/>
      <c r="E540" s="333"/>
      <c r="F540" s="333"/>
      <c r="G540" s="333"/>
      <c r="H540" s="333"/>
      <c r="I540" s="333"/>
      <c r="J540" s="333"/>
      <c r="K540" s="333"/>
      <c r="M540" s="333">
        <f t="shared" si="75"/>
        <v>10</v>
      </c>
      <c r="N540" s="333" t="e">
        <f t="shared" si="76"/>
        <v>#DIV/0!</v>
      </c>
      <c r="O540" s="333" t="e">
        <f t="shared" si="77"/>
        <v>#DIV/0!</v>
      </c>
      <c r="P540" s="334" t="e">
        <f t="shared" si="78"/>
        <v>#DIV/0!</v>
      </c>
      <c r="Q540" s="334" t="e">
        <f t="shared" si="79"/>
        <v>#DIV/0!</v>
      </c>
    </row>
    <row r="541" spans="2:17" x14ac:dyDescent="0.3">
      <c r="B541" s="333">
        <v>20</v>
      </c>
      <c r="C541" s="333"/>
      <c r="D541" s="333"/>
      <c r="E541" s="333"/>
      <c r="F541" s="333"/>
      <c r="G541" s="333"/>
      <c r="H541" s="333"/>
      <c r="I541" s="333"/>
      <c r="J541" s="333"/>
      <c r="K541" s="333"/>
      <c r="M541" s="333">
        <f t="shared" si="75"/>
        <v>10</v>
      </c>
      <c r="N541" s="333" t="e">
        <f t="shared" si="76"/>
        <v>#DIV/0!</v>
      </c>
      <c r="O541" s="333" t="e">
        <f t="shared" si="77"/>
        <v>#DIV/0!</v>
      </c>
      <c r="P541" s="334" t="e">
        <f t="shared" si="78"/>
        <v>#DIV/0!</v>
      </c>
      <c r="Q541" s="334" t="e">
        <f t="shared" si="79"/>
        <v>#DIV/0!</v>
      </c>
    </row>
    <row r="542" spans="2:17" x14ac:dyDescent="0.3">
      <c r="B542" s="333">
        <v>40</v>
      </c>
      <c r="C542" s="333"/>
      <c r="D542" s="333"/>
      <c r="E542" s="333"/>
      <c r="F542" s="333"/>
      <c r="G542" s="333"/>
      <c r="H542" s="333"/>
      <c r="I542" s="333"/>
      <c r="J542" s="333"/>
      <c r="K542" s="333"/>
      <c r="M542" s="333">
        <f t="shared" si="75"/>
        <v>20</v>
      </c>
      <c r="N542" s="333" t="e">
        <f t="shared" si="76"/>
        <v>#DIV/0!</v>
      </c>
      <c r="O542" s="333" t="e">
        <f t="shared" si="77"/>
        <v>#DIV/0!</v>
      </c>
      <c r="P542" s="334" t="e">
        <f t="shared" si="78"/>
        <v>#DIV/0!</v>
      </c>
      <c r="Q542" s="334" t="e">
        <f t="shared" si="79"/>
        <v>#DIV/0!</v>
      </c>
    </row>
    <row r="543" spans="2:17" x14ac:dyDescent="0.3">
      <c r="B543" s="333">
        <v>40</v>
      </c>
      <c r="C543" s="333"/>
      <c r="D543" s="333"/>
      <c r="E543" s="333"/>
      <c r="F543" s="333"/>
      <c r="G543" s="333"/>
      <c r="H543" s="333"/>
      <c r="I543" s="333"/>
      <c r="J543" s="333"/>
      <c r="K543" s="333"/>
      <c r="M543" s="333">
        <f t="shared" si="75"/>
        <v>20</v>
      </c>
      <c r="N543" s="333" t="e">
        <f t="shared" si="76"/>
        <v>#DIV/0!</v>
      </c>
      <c r="O543" s="333" t="e">
        <f t="shared" si="77"/>
        <v>#DIV/0!</v>
      </c>
      <c r="P543" s="334" t="e">
        <f t="shared" si="78"/>
        <v>#DIV/0!</v>
      </c>
      <c r="Q543" s="334" t="e">
        <f t="shared" si="79"/>
        <v>#DIV/0!</v>
      </c>
    </row>
    <row r="544" spans="2:17" x14ac:dyDescent="0.3">
      <c r="B544" s="333">
        <v>40</v>
      </c>
      <c r="C544" s="333"/>
      <c r="D544" s="333"/>
      <c r="E544" s="333"/>
      <c r="F544" s="333"/>
      <c r="G544" s="333"/>
      <c r="H544" s="333"/>
      <c r="I544" s="333"/>
      <c r="J544" s="333"/>
      <c r="K544" s="333"/>
      <c r="M544" s="333">
        <f t="shared" si="75"/>
        <v>20</v>
      </c>
      <c r="N544" s="333" t="e">
        <f t="shared" si="76"/>
        <v>#DIV/0!</v>
      </c>
      <c r="O544" s="333" t="e">
        <f t="shared" si="77"/>
        <v>#DIV/0!</v>
      </c>
      <c r="P544" s="334" t="e">
        <f t="shared" si="78"/>
        <v>#DIV/0!</v>
      </c>
      <c r="Q544" s="334" t="e">
        <f t="shared" si="79"/>
        <v>#DIV/0!</v>
      </c>
    </row>
    <row r="545" spans="2:17" x14ac:dyDescent="0.3">
      <c r="B545" s="333">
        <v>40</v>
      </c>
      <c r="C545" s="333"/>
      <c r="D545" s="333"/>
      <c r="E545" s="333"/>
      <c r="F545" s="333"/>
      <c r="G545" s="333"/>
      <c r="H545" s="333"/>
      <c r="I545" s="333"/>
      <c r="J545" s="333"/>
      <c r="K545" s="333"/>
      <c r="M545" s="333">
        <f t="shared" si="75"/>
        <v>20</v>
      </c>
      <c r="N545" s="333" t="e">
        <f t="shared" si="76"/>
        <v>#DIV/0!</v>
      </c>
      <c r="O545" s="333" t="e">
        <f t="shared" si="77"/>
        <v>#DIV/0!</v>
      </c>
      <c r="P545" s="334" t="e">
        <f t="shared" si="78"/>
        <v>#DIV/0!</v>
      </c>
      <c r="Q545" s="334" t="e">
        <f t="shared" si="79"/>
        <v>#DIV/0!</v>
      </c>
    </row>
    <row r="546" spans="2:17" x14ac:dyDescent="0.3">
      <c r="B546" s="333">
        <v>40</v>
      </c>
      <c r="C546" s="333"/>
      <c r="D546" s="333"/>
      <c r="E546" s="333"/>
      <c r="F546" s="333"/>
      <c r="G546" s="333"/>
      <c r="H546" s="333"/>
      <c r="I546" s="333"/>
      <c r="J546" s="333"/>
      <c r="K546" s="333"/>
      <c r="M546" s="333">
        <f t="shared" ref="M546:M601" si="80">B546/2</f>
        <v>20</v>
      </c>
      <c r="N546" s="333" t="e">
        <f t="shared" si="76"/>
        <v>#DIV/0!</v>
      </c>
      <c r="O546" s="333" t="e">
        <f t="shared" si="77"/>
        <v>#DIV/0!</v>
      </c>
      <c r="P546" s="334" t="e">
        <f t="shared" si="78"/>
        <v>#DIV/0!</v>
      </c>
      <c r="Q546" s="334" t="e">
        <f t="shared" si="79"/>
        <v>#DIV/0!</v>
      </c>
    </row>
    <row r="547" spans="2:17" x14ac:dyDescent="0.3">
      <c r="B547" s="333">
        <v>40</v>
      </c>
      <c r="C547" s="333"/>
      <c r="D547" s="333"/>
      <c r="E547" s="333"/>
      <c r="F547" s="333"/>
      <c r="G547" s="333"/>
      <c r="H547" s="333"/>
      <c r="I547" s="333"/>
      <c r="J547" s="333"/>
      <c r="K547" s="333"/>
      <c r="M547" s="333">
        <f t="shared" si="80"/>
        <v>20</v>
      </c>
      <c r="N547" s="333" t="e">
        <f t="shared" si="76"/>
        <v>#DIV/0!</v>
      </c>
      <c r="O547" s="333" t="e">
        <f t="shared" si="77"/>
        <v>#DIV/0!</v>
      </c>
      <c r="P547" s="334" t="e">
        <f t="shared" si="78"/>
        <v>#DIV/0!</v>
      </c>
      <c r="Q547" s="334" t="e">
        <f t="shared" si="79"/>
        <v>#DIV/0!</v>
      </c>
    </row>
    <row r="548" spans="2:17" x14ac:dyDescent="0.3">
      <c r="B548" s="333">
        <v>40</v>
      </c>
      <c r="C548" s="333"/>
      <c r="D548" s="333"/>
      <c r="E548" s="333"/>
      <c r="F548" s="333"/>
      <c r="G548" s="333"/>
      <c r="H548" s="333"/>
      <c r="I548" s="333"/>
      <c r="J548" s="333"/>
      <c r="K548" s="333"/>
      <c r="M548" s="333">
        <f t="shared" si="80"/>
        <v>20</v>
      </c>
      <c r="N548" s="333" t="e">
        <f t="shared" ref="N548:N601" si="81">(SUM(C548:E548)-SUM($C$191:$E$191))*$F$71</f>
        <v>#DIV/0!</v>
      </c>
      <c r="O548" s="333" t="e">
        <f t="shared" ref="O548:O601" si="82">(SUM(F548:H548)-SUM($F$191:$H$191))*$G$71</f>
        <v>#DIV/0!</v>
      </c>
      <c r="P548" s="334" t="e">
        <f t="shared" ref="P548:P601" si="83">N548-M548</f>
        <v>#DIV/0!</v>
      </c>
      <c r="Q548" s="334" t="e">
        <f t="shared" ref="Q548:Q601" si="84">O548-M548</f>
        <v>#DIV/0!</v>
      </c>
    </row>
    <row r="549" spans="2:17" x14ac:dyDescent="0.3">
      <c r="B549" s="333">
        <v>40</v>
      </c>
      <c r="C549" s="333"/>
      <c r="D549" s="333"/>
      <c r="E549" s="333"/>
      <c r="F549" s="333"/>
      <c r="G549" s="333"/>
      <c r="H549" s="333"/>
      <c r="I549" s="333"/>
      <c r="J549" s="333"/>
      <c r="K549" s="333"/>
      <c r="M549" s="333">
        <f t="shared" si="80"/>
        <v>20</v>
      </c>
      <c r="N549" s="333" t="e">
        <f t="shared" si="81"/>
        <v>#DIV/0!</v>
      </c>
      <c r="O549" s="333" t="e">
        <f t="shared" si="82"/>
        <v>#DIV/0!</v>
      </c>
      <c r="P549" s="334" t="e">
        <f t="shared" si="83"/>
        <v>#DIV/0!</v>
      </c>
      <c r="Q549" s="334" t="e">
        <f t="shared" si="84"/>
        <v>#DIV/0!</v>
      </c>
    </row>
    <row r="550" spans="2:17" x14ac:dyDescent="0.3">
      <c r="B550" s="333">
        <v>40</v>
      </c>
      <c r="C550" s="333"/>
      <c r="D550" s="333"/>
      <c r="E550" s="333"/>
      <c r="F550" s="333"/>
      <c r="G550" s="333"/>
      <c r="H550" s="333"/>
      <c r="I550" s="333"/>
      <c r="J550" s="333"/>
      <c r="K550" s="333"/>
      <c r="M550" s="333">
        <f t="shared" si="80"/>
        <v>20</v>
      </c>
      <c r="N550" s="333" t="e">
        <f t="shared" si="81"/>
        <v>#DIV/0!</v>
      </c>
      <c r="O550" s="333" t="e">
        <f t="shared" si="82"/>
        <v>#DIV/0!</v>
      </c>
      <c r="P550" s="334" t="e">
        <f t="shared" si="83"/>
        <v>#DIV/0!</v>
      </c>
      <c r="Q550" s="334" t="e">
        <f t="shared" si="84"/>
        <v>#DIV/0!</v>
      </c>
    </row>
    <row r="551" spans="2:17" x14ac:dyDescent="0.3">
      <c r="B551" s="333">
        <v>40</v>
      </c>
      <c r="C551" s="333"/>
      <c r="D551" s="333"/>
      <c r="E551" s="333"/>
      <c r="F551" s="333"/>
      <c r="G551" s="333"/>
      <c r="H551" s="333"/>
      <c r="I551" s="333"/>
      <c r="J551" s="333"/>
      <c r="K551" s="333"/>
      <c r="M551" s="333">
        <f t="shared" si="80"/>
        <v>20</v>
      </c>
      <c r="N551" s="333" t="e">
        <f t="shared" si="81"/>
        <v>#DIV/0!</v>
      </c>
      <c r="O551" s="333" t="e">
        <f t="shared" si="82"/>
        <v>#DIV/0!</v>
      </c>
      <c r="P551" s="334" t="e">
        <f t="shared" si="83"/>
        <v>#DIV/0!</v>
      </c>
      <c r="Q551" s="334" t="e">
        <f t="shared" si="84"/>
        <v>#DIV/0!</v>
      </c>
    </row>
    <row r="552" spans="2:17" x14ac:dyDescent="0.3">
      <c r="B552" s="333">
        <v>40</v>
      </c>
      <c r="C552" s="333"/>
      <c r="D552" s="333"/>
      <c r="E552" s="333"/>
      <c r="F552" s="333"/>
      <c r="G552" s="333"/>
      <c r="H552" s="333"/>
      <c r="I552" s="333"/>
      <c r="J552" s="333"/>
      <c r="K552" s="333"/>
      <c r="M552" s="333">
        <f t="shared" si="80"/>
        <v>20</v>
      </c>
      <c r="N552" s="333" t="e">
        <f t="shared" si="81"/>
        <v>#DIV/0!</v>
      </c>
      <c r="O552" s="333" t="e">
        <f t="shared" si="82"/>
        <v>#DIV/0!</v>
      </c>
      <c r="P552" s="334" t="e">
        <f t="shared" si="83"/>
        <v>#DIV/0!</v>
      </c>
      <c r="Q552" s="334" t="e">
        <f t="shared" si="84"/>
        <v>#DIV/0!</v>
      </c>
    </row>
    <row r="553" spans="2:17" x14ac:dyDescent="0.3">
      <c r="B553" s="333">
        <v>40</v>
      </c>
      <c r="C553" s="333"/>
      <c r="D553" s="333"/>
      <c r="E553" s="333"/>
      <c r="F553" s="333"/>
      <c r="G553" s="333"/>
      <c r="H553" s="333"/>
      <c r="I553" s="333"/>
      <c r="J553" s="333"/>
      <c r="K553" s="333"/>
      <c r="M553" s="333">
        <f t="shared" si="80"/>
        <v>20</v>
      </c>
      <c r="N553" s="333" t="e">
        <f t="shared" si="81"/>
        <v>#DIV/0!</v>
      </c>
      <c r="O553" s="333" t="e">
        <f t="shared" si="82"/>
        <v>#DIV/0!</v>
      </c>
      <c r="P553" s="334" t="e">
        <f t="shared" si="83"/>
        <v>#DIV/0!</v>
      </c>
      <c r="Q553" s="334" t="e">
        <f t="shared" si="84"/>
        <v>#DIV/0!</v>
      </c>
    </row>
    <row r="554" spans="2:17" x14ac:dyDescent="0.3">
      <c r="B554" s="333">
        <v>40</v>
      </c>
      <c r="C554" s="333"/>
      <c r="D554" s="333"/>
      <c r="E554" s="333"/>
      <c r="F554" s="333"/>
      <c r="G554" s="333"/>
      <c r="H554" s="333"/>
      <c r="I554" s="333"/>
      <c r="J554" s="333"/>
      <c r="K554" s="333"/>
      <c r="M554" s="333">
        <f t="shared" si="80"/>
        <v>20</v>
      </c>
      <c r="N554" s="333" t="e">
        <f t="shared" si="81"/>
        <v>#DIV/0!</v>
      </c>
      <c r="O554" s="333" t="e">
        <f t="shared" si="82"/>
        <v>#DIV/0!</v>
      </c>
      <c r="P554" s="334" t="e">
        <f t="shared" si="83"/>
        <v>#DIV/0!</v>
      </c>
      <c r="Q554" s="334" t="e">
        <f t="shared" si="84"/>
        <v>#DIV/0!</v>
      </c>
    </row>
    <row r="555" spans="2:17" x14ac:dyDescent="0.3">
      <c r="B555" s="333">
        <v>40</v>
      </c>
      <c r="C555" s="333"/>
      <c r="D555" s="333"/>
      <c r="E555" s="333"/>
      <c r="F555" s="333"/>
      <c r="G555" s="333"/>
      <c r="H555" s="333"/>
      <c r="I555" s="333"/>
      <c r="J555" s="333"/>
      <c r="K555" s="333"/>
      <c r="M555" s="333">
        <f t="shared" si="80"/>
        <v>20</v>
      </c>
      <c r="N555" s="333" t="e">
        <f t="shared" si="81"/>
        <v>#DIV/0!</v>
      </c>
      <c r="O555" s="333" t="e">
        <f t="shared" si="82"/>
        <v>#DIV/0!</v>
      </c>
      <c r="P555" s="334" t="e">
        <f t="shared" si="83"/>
        <v>#DIV/0!</v>
      </c>
      <c r="Q555" s="334" t="e">
        <f t="shared" si="84"/>
        <v>#DIV/0!</v>
      </c>
    </row>
    <row r="556" spans="2:17" x14ac:dyDescent="0.3">
      <c r="B556" s="333">
        <v>40</v>
      </c>
      <c r="C556" s="333"/>
      <c r="D556" s="333"/>
      <c r="E556" s="333"/>
      <c r="F556" s="333"/>
      <c r="G556" s="333"/>
      <c r="H556" s="333"/>
      <c r="I556" s="333"/>
      <c r="J556" s="333"/>
      <c r="K556" s="333"/>
      <c r="M556" s="333">
        <f t="shared" si="80"/>
        <v>20</v>
      </c>
      <c r="N556" s="333" t="e">
        <f t="shared" si="81"/>
        <v>#DIV/0!</v>
      </c>
      <c r="O556" s="333" t="e">
        <f t="shared" si="82"/>
        <v>#DIV/0!</v>
      </c>
      <c r="P556" s="334" t="e">
        <f t="shared" si="83"/>
        <v>#DIV/0!</v>
      </c>
      <c r="Q556" s="334" t="e">
        <f t="shared" si="84"/>
        <v>#DIV/0!</v>
      </c>
    </row>
    <row r="557" spans="2:17" x14ac:dyDescent="0.3">
      <c r="B557" s="333">
        <v>40</v>
      </c>
      <c r="C557" s="333"/>
      <c r="D557" s="333"/>
      <c r="E557" s="333"/>
      <c r="F557" s="333"/>
      <c r="G557" s="333"/>
      <c r="H557" s="333"/>
      <c r="I557" s="333"/>
      <c r="J557" s="333"/>
      <c r="K557" s="333"/>
      <c r="M557" s="333">
        <f t="shared" si="80"/>
        <v>20</v>
      </c>
      <c r="N557" s="333" t="e">
        <f t="shared" si="81"/>
        <v>#DIV/0!</v>
      </c>
      <c r="O557" s="333" t="e">
        <f t="shared" si="82"/>
        <v>#DIV/0!</v>
      </c>
      <c r="P557" s="334" t="e">
        <f t="shared" si="83"/>
        <v>#DIV/0!</v>
      </c>
      <c r="Q557" s="334" t="e">
        <f t="shared" si="84"/>
        <v>#DIV/0!</v>
      </c>
    </row>
    <row r="558" spans="2:17" x14ac:dyDescent="0.3">
      <c r="B558" s="333">
        <v>40</v>
      </c>
      <c r="C558" s="333"/>
      <c r="D558" s="333"/>
      <c r="E558" s="333"/>
      <c r="F558" s="333"/>
      <c r="G558" s="333"/>
      <c r="H558" s="333"/>
      <c r="I558" s="333"/>
      <c r="J558" s="333"/>
      <c r="K558" s="333"/>
      <c r="M558" s="333">
        <f t="shared" si="80"/>
        <v>20</v>
      </c>
      <c r="N558" s="333" t="e">
        <f t="shared" si="81"/>
        <v>#DIV/0!</v>
      </c>
      <c r="O558" s="333" t="e">
        <f t="shared" si="82"/>
        <v>#DIV/0!</v>
      </c>
      <c r="P558" s="334" t="e">
        <f t="shared" si="83"/>
        <v>#DIV/0!</v>
      </c>
      <c r="Q558" s="334" t="e">
        <f t="shared" si="84"/>
        <v>#DIV/0!</v>
      </c>
    </row>
    <row r="559" spans="2:17" x14ac:dyDescent="0.3">
      <c r="B559" s="333">
        <v>40</v>
      </c>
      <c r="C559" s="333"/>
      <c r="D559" s="333"/>
      <c r="E559" s="333"/>
      <c r="F559" s="333"/>
      <c r="G559" s="333"/>
      <c r="H559" s="333"/>
      <c r="I559" s="333"/>
      <c r="J559" s="333"/>
      <c r="K559" s="333"/>
      <c r="M559" s="333">
        <f t="shared" si="80"/>
        <v>20</v>
      </c>
      <c r="N559" s="333" t="e">
        <f t="shared" si="81"/>
        <v>#DIV/0!</v>
      </c>
      <c r="O559" s="333" t="e">
        <f t="shared" si="82"/>
        <v>#DIV/0!</v>
      </c>
      <c r="P559" s="334" t="e">
        <f t="shared" si="83"/>
        <v>#DIV/0!</v>
      </c>
      <c r="Q559" s="334" t="e">
        <f t="shared" si="84"/>
        <v>#DIV/0!</v>
      </c>
    </row>
    <row r="560" spans="2:17" x14ac:dyDescent="0.3">
      <c r="B560" s="333">
        <v>40</v>
      </c>
      <c r="C560" s="333"/>
      <c r="D560" s="333"/>
      <c r="E560" s="333"/>
      <c r="F560" s="333"/>
      <c r="G560" s="333"/>
      <c r="H560" s="333"/>
      <c r="I560" s="333"/>
      <c r="J560" s="333"/>
      <c r="K560" s="333"/>
      <c r="M560" s="333">
        <f t="shared" si="80"/>
        <v>20</v>
      </c>
      <c r="N560" s="333" t="e">
        <f t="shared" si="81"/>
        <v>#DIV/0!</v>
      </c>
      <c r="O560" s="333" t="e">
        <f t="shared" si="82"/>
        <v>#DIV/0!</v>
      </c>
      <c r="P560" s="334" t="e">
        <f t="shared" si="83"/>
        <v>#DIV/0!</v>
      </c>
      <c r="Q560" s="334" t="e">
        <f t="shared" si="84"/>
        <v>#DIV/0!</v>
      </c>
    </row>
    <row r="561" spans="2:17" x14ac:dyDescent="0.3">
      <c r="B561" s="333">
        <v>40</v>
      </c>
      <c r="C561" s="333"/>
      <c r="D561" s="333"/>
      <c r="E561" s="333"/>
      <c r="F561" s="333"/>
      <c r="G561" s="333"/>
      <c r="H561" s="333"/>
      <c r="I561" s="333"/>
      <c r="J561" s="333"/>
      <c r="K561" s="333"/>
      <c r="M561" s="333">
        <f t="shared" si="80"/>
        <v>20</v>
      </c>
      <c r="N561" s="333" t="e">
        <f t="shared" si="81"/>
        <v>#DIV/0!</v>
      </c>
      <c r="O561" s="333" t="e">
        <f t="shared" si="82"/>
        <v>#DIV/0!</v>
      </c>
      <c r="P561" s="334" t="e">
        <f t="shared" si="83"/>
        <v>#DIV/0!</v>
      </c>
      <c r="Q561" s="334" t="e">
        <f t="shared" si="84"/>
        <v>#DIV/0!</v>
      </c>
    </row>
    <row r="562" spans="2:17" x14ac:dyDescent="0.3">
      <c r="B562" s="333">
        <v>60</v>
      </c>
      <c r="C562" s="333"/>
      <c r="D562" s="333"/>
      <c r="E562" s="333"/>
      <c r="F562" s="333"/>
      <c r="G562" s="333"/>
      <c r="H562" s="333"/>
      <c r="I562" s="333"/>
      <c r="J562" s="333"/>
      <c r="K562" s="333"/>
      <c r="M562" s="333">
        <f t="shared" si="80"/>
        <v>30</v>
      </c>
      <c r="N562" s="333" t="e">
        <f t="shared" si="81"/>
        <v>#DIV/0!</v>
      </c>
      <c r="O562" s="333" t="e">
        <f t="shared" si="82"/>
        <v>#DIV/0!</v>
      </c>
      <c r="P562" s="334" t="e">
        <f t="shared" si="83"/>
        <v>#DIV/0!</v>
      </c>
      <c r="Q562" s="334" t="e">
        <f t="shared" si="84"/>
        <v>#DIV/0!</v>
      </c>
    </row>
    <row r="563" spans="2:17" x14ac:dyDescent="0.3">
      <c r="B563" s="333">
        <v>60</v>
      </c>
      <c r="C563" s="333"/>
      <c r="D563" s="333"/>
      <c r="E563" s="333"/>
      <c r="F563" s="333"/>
      <c r="G563" s="333"/>
      <c r="H563" s="333"/>
      <c r="I563" s="333"/>
      <c r="J563" s="333"/>
      <c r="K563" s="333"/>
      <c r="M563" s="333">
        <f t="shared" si="80"/>
        <v>30</v>
      </c>
      <c r="N563" s="333" t="e">
        <f t="shared" si="81"/>
        <v>#DIV/0!</v>
      </c>
      <c r="O563" s="333" t="e">
        <f t="shared" si="82"/>
        <v>#DIV/0!</v>
      </c>
      <c r="P563" s="334" t="e">
        <f t="shared" si="83"/>
        <v>#DIV/0!</v>
      </c>
      <c r="Q563" s="334" t="e">
        <f t="shared" si="84"/>
        <v>#DIV/0!</v>
      </c>
    </row>
    <row r="564" spans="2:17" x14ac:dyDescent="0.3">
      <c r="B564" s="333">
        <v>60</v>
      </c>
      <c r="C564" s="333"/>
      <c r="D564" s="333"/>
      <c r="E564" s="333"/>
      <c r="F564" s="333"/>
      <c r="G564" s="333"/>
      <c r="H564" s="333"/>
      <c r="I564" s="333"/>
      <c r="J564" s="333"/>
      <c r="K564" s="333"/>
      <c r="M564" s="333">
        <f t="shared" si="80"/>
        <v>30</v>
      </c>
      <c r="N564" s="333" t="e">
        <f t="shared" si="81"/>
        <v>#DIV/0!</v>
      </c>
      <c r="O564" s="333" t="e">
        <f t="shared" si="82"/>
        <v>#DIV/0!</v>
      </c>
      <c r="P564" s="334" t="e">
        <f t="shared" si="83"/>
        <v>#DIV/0!</v>
      </c>
      <c r="Q564" s="334" t="e">
        <f t="shared" si="84"/>
        <v>#DIV/0!</v>
      </c>
    </row>
    <row r="565" spans="2:17" x14ac:dyDescent="0.3">
      <c r="B565" s="333">
        <v>60</v>
      </c>
      <c r="C565" s="333"/>
      <c r="D565" s="333"/>
      <c r="E565" s="333"/>
      <c r="F565" s="333"/>
      <c r="G565" s="333"/>
      <c r="H565" s="333"/>
      <c r="I565" s="333"/>
      <c r="J565" s="333"/>
      <c r="K565" s="333"/>
      <c r="M565" s="333">
        <f t="shared" si="80"/>
        <v>30</v>
      </c>
      <c r="N565" s="333" t="e">
        <f t="shared" si="81"/>
        <v>#DIV/0!</v>
      </c>
      <c r="O565" s="333" t="e">
        <f t="shared" si="82"/>
        <v>#DIV/0!</v>
      </c>
      <c r="P565" s="334" t="e">
        <f t="shared" si="83"/>
        <v>#DIV/0!</v>
      </c>
      <c r="Q565" s="334" t="e">
        <f t="shared" si="84"/>
        <v>#DIV/0!</v>
      </c>
    </row>
    <row r="566" spans="2:17" x14ac:dyDescent="0.3">
      <c r="B566" s="333">
        <v>60</v>
      </c>
      <c r="C566" s="333"/>
      <c r="D566" s="333"/>
      <c r="E566" s="333"/>
      <c r="F566" s="333"/>
      <c r="G566" s="333"/>
      <c r="H566" s="333"/>
      <c r="I566" s="333"/>
      <c r="J566" s="333"/>
      <c r="K566" s="333"/>
      <c r="M566" s="333">
        <f t="shared" si="80"/>
        <v>30</v>
      </c>
      <c r="N566" s="333" t="e">
        <f t="shared" si="81"/>
        <v>#DIV/0!</v>
      </c>
      <c r="O566" s="333" t="e">
        <f t="shared" si="82"/>
        <v>#DIV/0!</v>
      </c>
      <c r="P566" s="334" t="e">
        <f t="shared" si="83"/>
        <v>#DIV/0!</v>
      </c>
      <c r="Q566" s="334" t="e">
        <f t="shared" si="84"/>
        <v>#DIV/0!</v>
      </c>
    </row>
    <row r="567" spans="2:17" x14ac:dyDescent="0.3">
      <c r="B567" s="333">
        <v>60</v>
      </c>
      <c r="C567" s="333"/>
      <c r="D567" s="333"/>
      <c r="E567" s="333"/>
      <c r="F567" s="333"/>
      <c r="G567" s="333"/>
      <c r="H567" s="333"/>
      <c r="I567" s="333"/>
      <c r="J567" s="333"/>
      <c r="K567" s="333"/>
      <c r="M567" s="333">
        <f t="shared" si="80"/>
        <v>30</v>
      </c>
      <c r="N567" s="333" t="e">
        <f t="shared" si="81"/>
        <v>#DIV/0!</v>
      </c>
      <c r="O567" s="333" t="e">
        <f t="shared" si="82"/>
        <v>#DIV/0!</v>
      </c>
      <c r="P567" s="334" t="e">
        <f t="shared" si="83"/>
        <v>#DIV/0!</v>
      </c>
      <c r="Q567" s="334" t="e">
        <f t="shared" si="84"/>
        <v>#DIV/0!</v>
      </c>
    </row>
    <row r="568" spans="2:17" x14ac:dyDescent="0.3">
      <c r="B568" s="333">
        <v>60</v>
      </c>
      <c r="C568" s="333"/>
      <c r="D568" s="333"/>
      <c r="E568" s="333"/>
      <c r="F568" s="333"/>
      <c r="G568" s="333"/>
      <c r="H568" s="333"/>
      <c r="I568" s="333"/>
      <c r="J568" s="333"/>
      <c r="K568" s="333"/>
      <c r="M568" s="333">
        <f t="shared" si="80"/>
        <v>30</v>
      </c>
      <c r="N568" s="333" t="e">
        <f t="shared" si="81"/>
        <v>#DIV/0!</v>
      </c>
      <c r="O568" s="333" t="e">
        <f t="shared" si="82"/>
        <v>#DIV/0!</v>
      </c>
      <c r="P568" s="334" t="e">
        <f t="shared" si="83"/>
        <v>#DIV/0!</v>
      </c>
      <c r="Q568" s="334" t="e">
        <f t="shared" si="84"/>
        <v>#DIV/0!</v>
      </c>
    </row>
    <row r="569" spans="2:17" x14ac:dyDescent="0.3">
      <c r="B569" s="333">
        <v>60</v>
      </c>
      <c r="C569" s="333"/>
      <c r="D569" s="333"/>
      <c r="E569" s="333"/>
      <c r="F569" s="333"/>
      <c r="G569" s="333"/>
      <c r="H569" s="333"/>
      <c r="I569" s="333"/>
      <c r="J569" s="333"/>
      <c r="K569" s="333"/>
      <c r="M569" s="333">
        <f t="shared" si="80"/>
        <v>30</v>
      </c>
      <c r="N569" s="333" t="e">
        <f t="shared" si="81"/>
        <v>#DIV/0!</v>
      </c>
      <c r="O569" s="333" t="e">
        <f t="shared" si="82"/>
        <v>#DIV/0!</v>
      </c>
      <c r="P569" s="334" t="e">
        <f t="shared" si="83"/>
        <v>#DIV/0!</v>
      </c>
      <c r="Q569" s="334" t="e">
        <f t="shared" si="84"/>
        <v>#DIV/0!</v>
      </c>
    </row>
    <row r="570" spans="2:17" x14ac:dyDescent="0.3">
      <c r="B570" s="333">
        <v>60</v>
      </c>
      <c r="C570" s="333"/>
      <c r="D570" s="333"/>
      <c r="E570" s="333"/>
      <c r="F570" s="333"/>
      <c r="G570" s="333"/>
      <c r="H570" s="333"/>
      <c r="I570" s="333"/>
      <c r="J570" s="333"/>
      <c r="K570" s="333"/>
      <c r="M570" s="333">
        <f t="shared" si="80"/>
        <v>30</v>
      </c>
      <c r="N570" s="333" t="e">
        <f t="shared" si="81"/>
        <v>#DIV/0!</v>
      </c>
      <c r="O570" s="333" t="e">
        <f t="shared" si="82"/>
        <v>#DIV/0!</v>
      </c>
      <c r="P570" s="334" t="e">
        <f t="shared" si="83"/>
        <v>#DIV/0!</v>
      </c>
      <c r="Q570" s="334" t="e">
        <f t="shared" si="84"/>
        <v>#DIV/0!</v>
      </c>
    </row>
    <row r="571" spans="2:17" x14ac:dyDescent="0.3">
      <c r="B571" s="333">
        <v>60</v>
      </c>
      <c r="C571" s="333"/>
      <c r="D571" s="333"/>
      <c r="E571" s="333"/>
      <c r="F571" s="333"/>
      <c r="G571" s="333"/>
      <c r="H571" s="333"/>
      <c r="I571" s="333"/>
      <c r="J571" s="333"/>
      <c r="K571" s="333"/>
      <c r="M571" s="333">
        <f t="shared" si="80"/>
        <v>30</v>
      </c>
      <c r="N571" s="333" t="e">
        <f t="shared" si="81"/>
        <v>#DIV/0!</v>
      </c>
      <c r="O571" s="333" t="e">
        <f t="shared" si="82"/>
        <v>#DIV/0!</v>
      </c>
      <c r="P571" s="334" t="e">
        <f t="shared" si="83"/>
        <v>#DIV/0!</v>
      </c>
      <c r="Q571" s="334" t="e">
        <f t="shared" si="84"/>
        <v>#DIV/0!</v>
      </c>
    </row>
    <row r="572" spans="2:17" x14ac:dyDescent="0.3">
      <c r="B572" s="333">
        <v>60</v>
      </c>
      <c r="C572" s="333"/>
      <c r="D572" s="333"/>
      <c r="E572" s="333"/>
      <c r="F572" s="333"/>
      <c r="G572" s="333"/>
      <c r="H572" s="333"/>
      <c r="I572" s="333"/>
      <c r="J572" s="333"/>
      <c r="K572" s="333"/>
      <c r="M572" s="333">
        <f t="shared" si="80"/>
        <v>30</v>
      </c>
      <c r="N572" s="333" t="e">
        <f t="shared" si="81"/>
        <v>#DIV/0!</v>
      </c>
      <c r="O572" s="333" t="e">
        <f t="shared" si="82"/>
        <v>#DIV/0!</v>
      </c>
      <c r="P572" s="334" t="e">
        <f t="shared" si="83"/>
        <v>#DIV/0!</v>
      </c>
      <c r="Q572" s="334" t="e">
        <f t="shared" si="84"/>
        <v>#DIV/0!</v>
      </c>
    </row>
    <row r="573" spans="2:17" x14ac:dyDescent="0.3">
      <c r="B573" s="333">
        <v>60</v>
      </c>
      <c r="C573" s="333"/>
      <c r="D573" s="333"/>
      <c r="E573" s="333"/>
      <c r="F573" s="333"/>
      <c r="G573" s="333"/>
      <c r="H573" s="333"/>
      <c r="I573" s="333"/>
      <c r="J573" s="333"/>
      <c r="K573" s="333"/>
      <c r="M573" s="333">
        <f t="shared" si="80"/>
        <v>30</v>
      </c>
      <c r="N573" s="333" t="e">
        <f t="shared" si="81"/>
        <v>#DIV/0!</v>
      </c>
      <c r="O573" s="333" t="e">
        <f t="shared" si="82"/>
        <v>#DIV/0!</v>
      </c>
      <c r="P573" s="334" t="e">
        <f t="shared" si="83"/>
        <v>#DIV/0!</v>
      </c>
      <c r="Q573" s="334" t="e">
        <f t="shared" si="84"/>
        <v>#DIV/0!</v>
      </c>
    </row>
    <row r="574" spans="2:17" x14ac:dyDescent="0.3">
      <c r="B574" s="333">
        <v>60</v>
      </c>
      <c r="C574" s="333"/>
      <c r="D574" s="333"/>
      <c r="E574" s="333"/>
      <c r="F574" s="333"/>
      <c r="G574" s="333"/>
      <c r="H574" s="333"/>
      <c r="I574" s="333"/>
      <c r="J574" s="333"/>
      <c r="K574" s="333"/>
      <c r="M574" s="333">
        <f t="shared" si="80"/>
        <v>30</v>
      </c>
      <c r="N574" s="333" t="e">
        <f t="shared" si="81"/>
        <v>#DIV/0!</v>
      </c>
      <c r="O574" s="333" t="e">
        <f t="shared" si="82"/>
        <v>#DIV/0!</v>
      </c>
      <c r="P574" s="334" t="e">
        <f t="shared" si="83"/>
        <v>#DIV/0!</v>
      </c>
      <c r="Q574" s="334" t="e">
        <f t="shared" si="84"/>
        <v>#DIV/0!</v>
      </c>
    </row>
    <row r="575" spans="2:17" x14ac:dyDescent="0.3">
      <c r="B575" s="333">
        <v>60</v>
      </c>
      <c r="C575" s="333"/>
      <c r="D575" s="333"/>
      <c r="E575" s="333"/>
      <c r="F575" s="333"/>
      <c r="G575" s="333"/>
      <c r="H575" s="333"/>
      <c r="I575" s="333"/>
      <c r="J575" s="333"/>
      <c r="K575" s="333"/>
      <c r="M575" s="333">
        <f t="shared" si="80"/>
        <v>30</v>
      </c>
      <c r="N575" s="333" t="e">
        <f t="shared" si="81"/>
        <v>#DIV/0!</v>
      </c>
      <c r="O575" s="333" t="e">
        <f t="shared" si="82"/>
        <v>#DIV/0!</v>
      </c>
      <c r="P575" s="334" t="e">
        <f t="shared" si="83"/>
        <v>#DIV/0!</v>
      </c>
      <c r="Q575" s="334" t="e">
        <f t="shared" si="84"/>
        <v>#DIV/0!</v>
      </c>
    </row>
    <row r="576" spans="2:17" x14ac:dyDescent="0.3">
      <c r="B576" s="333">
        <v>60</v>
      </c>
      <c r="C576" s="333"/>
      <c r="D576" s="333"/>
      <c r="E576" s="333"/>
      <c r="F576" s="333"/>
      <c r="G576" s="333"/>
      <c r="H576" s="333"/>
      <c r="I576" s="333"/>
      <c r="J576" s="333"/>
      <c r="K576" s="333"/>
      <c r="M576" s="333">
        <f t="shared" si="80"/>
        <v>30</v>
      </c>
      <c r="N576" s="333" t="e">
        <f t="shared" si="81"/>
        <v>#DIV/0!</v>
      </c>
      <c r="O576" s="333" t="e">
        <f t="shared" si="82"/>
        <v>#DIV/0!</v>
      </c>
      <c r="P576" s="334" t="e">
        <f t="shared" si="83"/>
        <v>#DIV/0!</v>
      </c>
      <c r="Q576" s="334" t="e">
        <f t="shared" si="84"/>
        <v>#DIV/0!</v>
      </c>
    </row>
    <row r="577" spans="2:17" x14ac:dyDescent="0.3">
      <c r="B577" s="333">
        <v>60</v>
      </c>
      <c r="C577" s="333"/>
      <c r="D577" s="333"/>
      <c r="E577" s="333"/>
      <c r="F577" s="333"/>
      <c r="G577" s="333"/>
      <c r="H577" s="333"/>
      <c r="I577" s="333"/>
      <c r="J577" s="333"/>
      <c r="K577" s="333"/>
      <c r="M577" s="333">
        <f t="shared" si="80"/>
        <v>30</v>
      </c>
      <c r="N577" s="333" t="e">
        <f t="shared" si="81"/>
        <v>#DIV/0!</v>
      </c>
      <c r="O577" s="333" t="e">
        <f t="shared" si="82"/>
        <v>#DIV/0!</v>
      </c>
      <c r="P577" s="334" t="e">
        <f t="shared" si="83"/>
        <v>#DIV/0!</v>
      </c>
      <c r="Q577" s="334" t="e">
        <f t="shared" si="84"/>
        <v>#DIV/0!</v>
      </c>
    </row>
    <row r="578" spans="2:17" x14ac:dyDescent="0.3">
      <c r="B578" s="333">
        <v>60</v>
      </c>
      <c r="C578" s="333"/>
      <c r="D578" s="333"/>
      <c r="E578" s="333"/>
      <c r="F578" s="333"/>
      <c r="G578" s="333"/>
      <c r="H578" s="333"/>
      <c r="I578" s="333"/>
      <c r="J578" s="333"/>
      <c r="K578" s="333"/>
      <c r="M578" s="333">
        <f t="shared" si="80"/>
        <v>30</v>
      </c>
      <c r="N578" s="333" t="e">
        <f t="shared" si="81"/>
        <v>#DIV/0!</v>
      </c>
      <c r="O578" s="333" t="e">
        <f t="shared" si="82"/>
        <v>#DIV/0!</v>
      </c>
      <c r="P578" s="334" t="e">
        <f t="shared" si="83"/>
        <v>#DIV/0!</v>
      </c>
      <c r="Q578" s="334" t="e">
        <f t="shared" si="84"/>
        <v>#DIV/0!</v>
      </c>
    </row>
    <row r="579" spans="2:17" x14ac:dyDescent="0.3">
      <c r="B579" s="333">
        <v>60</v>
      </c>
      <c r="C579" s="333"/>
      <c r="D579" s="333"/>
      <c r="E579" s="333"/>
      <c r="F579" s="333"/>
      <c r="G579" s="333"/>
      <c r="H579" s="333"/>
      <c r="I579" s="333"/>
      <c r="J579" s="333"/>
      <c r="K579" s="333"/>
      <c r="M579" s="333">
        <f t="shared" si="80"/>
        <v>30</v>
      </c>
      <c r="N579" s="333" t="e">
        <f t="shared" si="81"/>
        <v>#DIV/0!</v>
      </c>
      <c r="O579" s="333" t="e">
        <f t="shared" si="82"/>
        <v>#DIV/0!</v>
      </c>
      <c r="P579" s="334" t="e">
        <f t="shared" si="83"/>
        <v>#DIV/0!</v>
      </c>
      <c r="Q579" s="334" t="e">
        <f t="shared" si="84"/>
        <v>#DIV/0!</v>
      </c>
    </row>
    <row r="580" spans="2:17" x14ac:dyDescent="0.3">
      <c r="B580" s="333">
        <v>60</v>
      </c>
      <c r="C580" s="333"/>
      <c r="D580" s="333"/>
      <c r="E580" s="333"/>
      <c r="F580" s="333"/>
      <c r="G580" s="333"/>
      <c r="H580" s="333"/>
      <c r="I580" s="333"/>
      <c r="J580" s="333"/>
      <c r="K580" s="333"/>
      <c r="M580" s="333">
        <f t="shared" si="80"/>
        <v>30</v>
      </c>
      <c r="N580" s="333" t="e">
        <f t="shared" si="81"/>
        <v>#DIV/0!</v>
      </c>
      <c r="O580" s="333" t="e">
        <f t="shared" si="82"/>
        <v>#DIV/0!</v>
      </c>
      <c r="P580" s="334" t="e">
        <f t="shared" si="83"/>
        <v>#DIV/0!</v>
      </c>
      <c r="Q580" s="334" t="e">
        <f t="shared" si="84"/>
        <v>#DIV/0!</v>
      </c>
    </row>
    <row r="581" spans="2:17" x14ac:dyDescent="0.3">
      <c r="B581" s="333">
        <v>60</v>
      </c>
      <c r="C581" s="333"/>
      <c r="D581" s="333"/>
      <c r="E581" s="333"/>
      <c r="F581" s="333"/>
      <c r="G581" s="333"/>
      <c r="H581" s="333"/>
      <c r="I581" s="333"/>
      <c r="J581" s="333"/>
      <c r="K581" s="333"/>
      <c r="M581" s="333">
        <f t="shared" si="80"/>
        <v>30</v>
      </c>
      <c r="N581" s="333" t="e">
        <f t="shared" si="81"/>
        <v>#DIV/0!</v>
      </c>
      <c r="O581" s="333" t="e">
        <f t="shared" si="82"/>
        <v>#DIV/0!</v>
      </c>
      <c r="P581" s="334" t="e">
        <f t="shared" si="83"/>
        <v>#DIV/0!</v>
      </c>
      <c r="Q581" s="334" t="e">
        <f t="shared" si="84"/>
        <v>#DIV/0!</v>
      </c>
    </row>
    <row r="582" spans="2:17" x14ac:dyDescent="0.3">
      <c r="B582" s="333">
        <v>80</v>
      </c>
      <c r="C582" s="333"/>
      <c r="D582" s="333"/>
      <c r="E582" s="333"/>
      <c r="F582" s="333"/>
      <c r="G582" s="333"/>
      <c r="H582" s="333"/>
      <c r="I582" s="333"/>
      <c r="J582" s="333"/>
      <c r="K582" s="333"/>
      <c r="M582" s="333">
        <f t="shared" si="80"/>
        <v>40</v>
      </c>
      <c r="N582" s="333" t="e">
        <f t="shared" si="81"/>
        <v>#DIV/0!</v>
      </c>
      <c r="O582" s="333" t="e">
        <f t="shared" si="82"/>
        <v>#DIV/0!</v>
      </c>
      <c r="P582" s="334" t="e">
        <f t="shared" si="83"/>
        <v>#DIV/0!</v>
      </c>
      <c r="Q582" s="334" t="e">
        <f t="shared" si="84"/>
        <v>#DIV/0!</v>
      </c>
    </row>
    <row r="583" spans="2:17" x14ac:dyDescent="0.3">
      <c r="B583" s="333">
        <v>80</v>
      </c>
      <c r="C583" s="333"/>
      <c r="D583" s="333"/>
      <c r="E583" s="333"/>
      <c r="F583" s="333"/>
      <c r="G583" s="333"/>
      <c r="H583" s="333"/>
      <c r="I583" s="333"/>
      <c r="J583" s="333"/>
      <c r="K583" s="333"/>
      <c r="M583" s="333">
        <f t="shared" si="80"/>
        <v>40</v>
      </c>
      <c r="N583" s="333" t="e">
        <f t="shared" si="81"/>
        <v>#DIV/0!</v>
      </c>
      <c r="O583" s="333" t="e">
        <f t="shared" si="82"/>
        <v>#DIV/0!</v>
      </c>
      <c r="P583" s="334" t="e">
        <f t="shared" si="83"/>
        <v>#DIV/0!</v>
      </c>
      <c r="Q583" s="334" t="e">
        <f t="shared" si="84"/>
        <v>#DIV/0!</v>
      </c>
    </row>
    <row r="584" spans="2:17" x14ac:dyDescent="0.3">
      <c r="B584" s="333">
        <v>80</v>
      </c>
      <c r="C584" s="333"/>
      <c r="D584" s="333"/>
      <c r="E584" s="333"/>
      <c r="F584" s="333"/>
      <c r="G584" s="333"/>
      <c r="H584" s="333"/>
      <c r="I584" s="333"/>
      <c r="J584" s="333"/>
      <c r="K584" s="333"/>
      <c r="M584" s="333">
        <f t="shared" si="80"/>
        <v>40</v>
      </c>
      <c r="N584" s="333" t="e">
        <f t="shared" si="81"/>
        <v>#DIV/0!</v>
      </c>
      <c r="O584" s="333" t="e">
        <f t="shared" si="82"/>
        <v>#DIV/0!</v>
      </c>
      <c r="P584" s="334" t="e">
        <f t="shared" si="83"/>
        <v>#DIV/0!</v>
      </c>
      <c r="Q584" s="334" t="e">
        <f t="shared" si="84"/>
        <v>#DIV/0!</v>
      </c>
    </row>
    <row r="585" spans="2:17" x14ac:dyDescent="0.3">
      <c r="B585" s="333">
        <v>80</v>
      </c>
      <c r="C585" s="333"/>
      <c r="D585" s="333"/>
      <c r="E585" s="333"/>
      <c r="F585" s="333"/>
      <c r="G585" s="333"/>
      <c r="H585" s="333"/>
      <c r="I585" s="333"/>
      <c r="J585" s="333"/>
      <c r="K585" s="333"/>
      <c r="M585" s="333">
        <f t="shared" si="80"/>
        <v>40</v>
      </c>
      <c r="N585" s="333" t="e">
        <f t="shared" si="81"/>
        <v>#DIV/0!</v>
      </c>
      <c r="O585" s="333" t="e">
        <f t="shared" si="82"/>
        <v>#DIV/0!</v>
      </c>
      <c r="P585" s="334" t="e">
        <f t="shared" si="83"/>
        <v>#DIV/0!</v>
      </c>
      <c r="Q585" s="334" t="e">
        <f t="shared" si="84"/>
        <v>#DIV/0!</v>
      </c>
    </row>
    <row r="586" spans="2:17" x14ac:dyDescent="0.3">
      <c r="B586" s="333">
        <v>80</v>
      </c>
      <c r="C586" s="333"/>
      <c r="D586" s="333"/>
      <c r="E586" s="333"/>
      <c r="F586" s="333"/>
      <c r="G586" s="333"/>
      <c r="H586" s="333"/>
      <c r="I586" s="333"/>
      <c r="J586" s="333"/>
      <c r="K586" s="333"/>
      <c r="M586" s="333">
        <f t="shared" si="80"/>
        <v>40</v>
      </c>
      <c r="N586" s="333" t="e">
        <f t="shared" si="81"/>
        <v>#DIV/0!</v>
      </c>
      <c r="O586" s="333" t="e">
        <f t="shared" si="82"/>
        <v>#DIV/0!</v>
      </c>
      <c r="P586" s="334" t="e">
        <f t="shared" si="83"/>
        <v>#DIV/0!</v>
      </c>
      <c r="Q586" s="334" t="e">
        <f t="shared" si="84"/>
        <v>#DIV/0!</v>
      </c>
    </row>
    <row r="587" spans="2:17" x14ac:dyDescent="0.3">
      <c r="B587" s="333">
        <v>80</v>
      </c>
      <c r="C587" s="333"/>
      <c r="D587" s="333"/>
      <c r="E587" s="333"/>
      <c r="F587" s="333"/>
      <c r="G587" s="333"/>
      <c r="H587" s="333"/>
      <c r="I587" s="333"/>
      <c r="J587" s="333"/>
      <c r="K587" s="333"/>
      <c r="M587" s="333">
        <f t="shared" si="80"/>
        <v>40</v>
      </c>
      <c r="N587" s="333" t="e">
        <f t="shared" si="81"/>
        <v>#DIV/0!</v>
      </c>
      <c r="O587" s="333" t="e">
        <f t="shared" si="82"/>
        <v>#DIV/0!</v>
      </c>
      <c r="P587" s="334" t="e">
        <f t="shared" si="83"/>
        <v>#DIV/0!</v>
      </c>
      <c r="Q587" s="334" t="e">
        <f t="shared" si="84"/>
        <v>#DIV/0!</v>
      </c>
    </row>
    <row r="588" spans="2:17" x14ac:dyDescent="0.3">
      <c r="B588" s="333">
        <v>80</v>
      </c>
      <c r="C588" s="333"/>
      <c r="D588" s="333"/>
      <c r="E588" s="333"/>
      <c r="F588" s="333"/>
      <c r="G588" s="333"/>
      <c r="H588" s="333"/>
      <c r="I588" s="333"/>
      <c r="J588" s="333"/>
      <c r="K588" s="333"/>
      <c r="M588" s="333">
        <f t="shared" si="80"/>
        <v>40</v>
      </c>
      <c r="N588" s="333" t="e">
        <f t="shared" si="81"/>
        <v>#DIV/0!</v>
      </c>
      <c r="O588" s="333" t="e">
        <f t="shared" si="82"/>
        <v>#DIV/0!</v>
      </c>
      <c r="P588" s="334" t="e">
        <f t="shared" si="83"/>
        <v>#DIV/0!</v>
      </c>
      <c r="Q588" s="334" t="e">
        <f t="shared" si="84"/>
        <v>#DIV/0!</v>
      </c>
    </row>
    <row r="589" spans="2:17" x14ac:dyDescent="0.3">
      <c r="B589" s="333">
        <v>80</v>
      </c>
      <c r="C589" s="333"/>
      <c r="D589" s="333"/>
      <c r="E589" s="333"/>
      <c r="F589" s="333"/>
      <c r="G589" s="333"/>
      <c r="H589" s="333"/>
      <c r="I589" s="333"/>
      <c r="J589" s="333"/>
      <c r="K589" s="333"/>
      <c r="M589" s="333">
        <f t="shared" si="80"/>
        <v>40</v>
      </c>
      <c r="N589" s="333" t="e">
        <f t="shared" si="81"/>
        <v>#DIV/0!</v>
      </c>
      <c r="O589" s="333" t="e">
        <f t="shared" si="82"/>
        <v>#DIV/0!</v>
      </c>
      <c r="P589" s="334" t="e">
        <f t="shared" si="83"/>
        <v>#DIV/0!</v>
      </c>
      <c r="Q589" s="334" t="e">
        <f t="shared" si="84"/>
        <v>#DIV/0!</v>
      </c>
    </row>
    <row r="590" spans="2:17" x14ac:dyDescent="0.3">
      <c r="B590" s="333">
        <v>80</v>
      </c>
      <c r="C590" s="333"/>
      <c r="D590" s="333"/>
      <c r="E590" s="333"/>
      <c r="F590" s="333"/>
      <c r="G590" s="333"/>
      <c r="H590" s="333"/>
      <c r="I590" s="333"/>
      <c r="J590" s="333"/>
      <c r="K590" s="333"/>
      <c r="M590" s="333">
        <f t="shared" si="80"/>
        <v>40</v>
      </c>
      <c r="N590" s="333" t="e">
        <f t="shared" si="81"/>
        <v>#DIV/0!</v>
      </c>
      <c r="O590" s="333" t="e">
        <f t="shared" si="82"/>
        <v>#DIV/0!</v>
      </c>
      <c r="P590" s="334" t="e">
        <f t="shared" si="83"/>
        <v>#DIV/0!</v>
      </c>
      <c r="Q590" s="334" t="e">
        <f t="shared" si="84"/>
        <v>#DIV/0!</v>
      </c>
    </row>
    <row r="591" spans="2:17" x14ac:dyDescent="0.3">
      <c r="B591" s="333">
        <v>80</v>
      </c>
      <c r="C591" s="333"/>
      <c r="D591" s="333"/>
      <c r="E591" s="333"/>
      <c r="F591" s="333"/>
      <c r="G591" s="333"/>
      <c r="H591" s="333"/>
      <c r="I591" s="333"/>
      <c r="J591" s="333"/>
      <c r="K591" s="333"/>
      <c r="M591" s="333">
        <f t="shared" si="80"/>
        <v>40</v>
      </c>
      <c r="N591" s="333" t="e">
        <f t="shared" si="81"/>
        <v>#DIV/0!</v>
      </c>
      <c r="O591" s="333" t="e">
        <f t="shared" si="82"/>
        <v>#DIV/0!</v>
      </c>
      <c r="P591" s="334" t="e">
        <f t="shared" si="83"/>
        <v>#DIV/0!</v>
      </c>
      <c r="Q591" s="334" t="e">
        <f t="shared" si="84"/>
        <v>#DIV/0!</v>
      </c>
    </row>
    <row r="592" spans="2:17" x14ac:dyDescent="0.3">
      <c r="B592" s="333">
        <v>80</v>
      </c>
      <c r="C592" s="333"/>
      <c r="D592" s="333"/>
      <c r="E592" s="333"/>
      <c r="F592" s="333"/>
      <c r="G592" s="333"/>
      <c r="H592" s="333"/>
      <c r="I592" s="333"/>
      <c r="J592" s="333"/>
      <c r="K592" s="333"/>
      <c r="M592" s="333">
        <f t="shared" si="80"/>
        <v>40</v>
      </c>
      <c r="N592" s="333" t="e">
        <f t="shared" si="81"/>
        <v>#DIV/0!</v>
      </c>
      <c r="O592" s="333" t="e">
        <f t="shared" si="82"/>
        <v>#DIV/0!</v>
      </c>
      <c r="P592" s="334" t="e">
        <f t="shared" si="83"/>
        <v>#DIV/0!</v>
      </c>
      <c r="Q592" s="334" t="e">
        <f t="shared" si="84"/>
        <v>#DIV/0!</v>
      </c>
    </row>
    <row r="593" spans="2:17" x14ac:dyDescent="0.3">
      <c r="B593" s="333">
        <v>80</v>
      </c>
      <c r="C593" s="333"/>
      <c r="D593" s="333"/>
      <c r="E593" s="333"/>
      <c r="F593" s="333"/>
      <c r="G593" s="333"/>
      <c r="H593" s="333"/>
      <c r="I593" s="333"/>
      <c r="J593" s="333"/>
      <c r="K593" s="333"/>
      <c r="M593" s="333">
        <f t="shared" si="80"/>
        <v>40</v>
      </c>
      <c r="N593" s="333" t="e">
        <f t="shared" si="81"/>
        <v>#DIV/0!</v>
      </c>
      <c r="O593" s="333" t="e">
        <f t="shared" si="82"/>
        <v>#DIV/0!</v>
      </c>
      <c r="P593" s="334" t="e">
        <f t="shared" si="83"/>
        <v>#DIV/0!</v>
      </c>
      <c r="Q593" s="334" t="e">
        <f t="shared" si="84"/>
        <v>#DIV/0!</v>
      </c>
    </row>
    <row r="594" spans="2:17" x14ac:dyDescent="0.3">
      <c r="B594" s="333">
        <v>80</v>
      </c>
      <c r="C594" s="333"/>
      <c r="D594" s="333"/>
      <c r="E594" s="333"/>
      <c r="F594" s="333"/>
      <c r="G594" s="333"/>
      <c r="H594" s="333"/>
      <c r="I594" s="333"/>
      <c r="J594" s="333"/>
      <c r="K594" s="333"/>
      <c r="M594" s="333">
        <f t="shared" si="80"/>
        <v>40</v>
      </c>
      <c r="N594" s="333" t="e">
        <f t="shared" si="81"/>
        <v>#DIV/0!</v>
      </c>
      <c r="O594" s="333" t="e">
        <f t="shared" si="82"/>
        <v>#DIV/0!</v>
      </c>
      <c r="P594" s="334" t="e">
        <f t="shared" si="83"/>
        <v>#DIV/0!</v>
      </c>
      <c r="Q594" s="334" t="e">
        <f t="shared" si="84"/>
        <v>#DIV/0!</v>
      </c>
    </row>
    <row r="595" spans="2:17" x14ac:dyDescent="0.3">
      <c r="B595" s="333">
        <v>80</v>
      </c>
      <c r="C595" s="333"/>
      <c r="D595" s="333"/>
      <c r="E595" s="333"/>
      <c r="F595" s="333"/>
      <c r="G595" s="333"/>
      <c r="H595" s="333"/>
      <c r="I595" s="333"/>
      <c r="J595" s="333"/>
      <c r="K595" s="333"/>
      <c r="M595" s="333">
        <f t="shared" si="80"/>
        <v>40</v>
      </c>
      <c r="N595" s="333" t="e">
        <f t="shared" si="81"/>
        <v>#DIV/0!</v>
      </c>
      <c r="O595" s="333" t="e">
        <f t="shared" si="82"/>
        <v>#DIV/0!</v>
      </c>
      <c r="P595" s="334" t="e">
        <f t="shared" si="83"/>
        <v>#DIV/0!</v>
      </c>
      <c r="Q595" s="334" t="e">
        <f t="shared" si="84"/>
        <v>#DIV/0!</v>
      </c>
    </row>
    <row r="596" spans="2:17" x14ac:dyDescent="0.3">
      <c r="B596" s="333">
        <v>80</v>
      </c>
      <c r="C596" s="333"/>
      <c r="D596" s="333"/>
      <c r="E596" s="333"/>
      <c r="F596" s="333"/>
      <c r="G596" s="333"/>
      <c r="H596" s="333"/>
      <c r="I596" s="333"/>
      <c r="J596" s="333"/>
      <c r="K596" s="333"/>
      <c r="M596" s="333">
        <f t="shared" si="80"/>
        <v>40</v>
      </c>
      <c r="N596" s="333" t="e">
        <f t="shared" si="81"/>
        <v>#DIV/0!</v>
      </c>
      <c r="O596" s="333" t="e">
        <f t="shared" si="82"/>
        <v>#DIV/0!</v>
      </c>
      <c r="P596" s="334" t="e">
        <f t="shared" si="83"/>
        <v>#DIV/0!</v>
      </c>
      <c r="Q596" s="334" t="e">
        <f t="shared" si="84"/>
        <v>#DIV/0!</v>
      </c>
    </row>
    <row r="597" spans="2:17" x14ac:dyDescent="0.3">
      <c r="B597" s="333">
        <v>80</v>
      </c>
      <c r="C597" s="333"/>
      <c r="D597" s="333"/>
      <c r="E597" s="333"/>
      <c r="F597" s="333"/>
      <c r="G597" s="333"/>
      <c r="H597" s="333"/>
      <c r="I597" s="333"/>
      <c r="J597" s="333"/>
      <c r="K597" s="333"/>
      <c r="M597" s="333">
        <f t="shared" si="80"/>
        <v>40</v>
      </c>
      <c r="N597" s="333" t="e">
        <f t="shared" si="81"/>
        <v>#DIV/0!</v>
      </c>
      <c r="O597" s="333" t="e">
        <f t="shared" si="82"/>
        <v>#DIV/0!</v>
      </c>
      <c r="P597" s="334" t="e">
        <f t="shared" si="83"/>
        <v>#DIV/0!</v>
      </c>
      <c r="Q597" s="334" t="e">
        <f t="shared" si="84"/>
        <v>#DIV/0!</v>
      </c>
    </row>
    <row r="598" spans="2:17" x14ac:dyDescent="0.3">
      <c r="B598" s="333">
        <v>80</v>
      </c>
      <c r="C598" s="333"/>
      <c r="D598" s="333"/>
      <c r="E598" s="333"/>
      <c r="F598" s="333"/>
      <c r="G598" s="333"/>
      <c r="H598" s="333"/>
      <c r="I598" s="333"/>
      <c r="J598" s="333"/>
      <c r="K598" s="333"/>
      <c r="M598" s="333">
        <f t="shared" si="80"/>
        <v>40</v>
      </c>
      <c r="N598" s="333" t="e">
        <f t="shared" si="81"/>
        <v>#DIV/0!</v>
      </c>
      <c r="O598" s="333" t="e">
        <f t="shared" si="82"/>
        <v>#DIV/0!</v>
      </c>
      <c r="P598" s="334" t="e">
        <f t="shared" si="83"/>
        <v>#DIV/0!</v>
      </c>
      <c r="Q598" s="334" t="e">
        <f t="shared" si="84"/>
        <v>#DIV/0!</v>
      </c>
    </row>
    <row r="599" spans="2:17" x14ac:dyDescent="0.3">
      <c r="B599" s="333">
        <v>80</v>
      </c>
      <c r="C599" s="333"/>
      <c r="D599" s="333"/>
      <c r="E599" s="333"/>
      <c r="F599" s="333"/>
      <c r="G599" s="333"/>
      <c r="H599" s="333"/>
      <c r="I599" s="333"/>
      <c r="J599" s="333"/>
      <c r="K599" s="333"/>
      <c r="M599" s="333">
        <f t="shared" si="80"/>
        <v>40</v>
      </c>
      <c r="N599" s="333" t="e">
        <f t="shared" si="81"/>
        <v>#DIV/0!</v>
      </c>
      <c r="O599" s="333" t="e">
        <f t="shared" si="82"/>
        <v>#DIV/0!</v>
      </c>
      <c r="P599" s="334" t="e">
        <f t="shared" si="83"/>
        <v>#DIV/0!</v>
      </c>
      <c r="Q599" s="334" t="e">
        <f t="shared" si="84"/>
        <v>#DIV/0!</v>
      </c>
    </row>
    <row r="600" spans="2:17" x14ac:dyDescent="0.3">
      <c r="B600" s="333">
        <v>80</v>
      </c>
      <c r="C600" s="333"/>
      <c r="D600" s="333"/>
      <c r="E600" s="333"/>
      <c r="F600" s="333"/>
      <c r="G600" s="333"/>
      <c r="H600" s="333"/>
      <c r="I600" s="333"/>
      <c r="J600" s="333"/>
      <c r="K600" s="333"/>
      <c r="M600" s="333">
        <f t="shared" si="80"/>
        <v>40</v>
      </c>
      <c r="N600" s="333" t="e">
        <f t="shared" si="81"/>
        <v>#DIV/0!</v>
      </c>
      <c r="O600" s="333" t="e">
        <f t="shared" si="82"/>
        <v>#DIV/0!</v>
      </c>
      <c r="P600" s="334" t="e">
        <f t="shared" si="83"/>
        <v>#DIV/0!</v>
      </c>
      <c r="Q600" s="334" t="e">
        <f t="shared" si="84"/>
        <v>#DIV/0!</v>
      </c>
    </row>
    <row r="601" spans="2:17" x14ac:dyDescent="0.3">
      <c r="B601" s="333">
        <v>80</v>
      </c>
      <c r="C601" s="333"/>
      <c r="D601" s="333"/>
      <c r="E601" s="333"/>
      <c r="F601" s="333"/>
      <c r="G601" s="333"/>
      <c r="H601" s="333"/>
      <c r="I601" s="333"/>
      <c r="J601" s="333"/>
      <c r="K601" s="333"/>
      <c r="M601" s="333">
        <f t="shared" si="80"/>
        <v>40</v>
      </c>
      <c r="N601" s="333" t="e">
        <f t="shared" si="81"/>
        <v>#DIV/0!</v>
      </c>
      <c r="O601" s="333" t="e">
        <f t="shared" si="82"/>
        <v>#DIV/0!</v>
      </c>
      <c r="P601" s="334" t="e">
        <f t="shared" si="83"/>
        <v>#DIV/0!</v>
      </c>
      <c r="Q601" s="334" t="e">
        <f t="shared" si="84"/>
        <v>#DIV/0!</v>
      </c>
    </row>
    <row r="605" spans="2:17" x14ac:dyDescent="0.3">
      <c r="B605" s="451" t="s">
        <v>761</v>
      </c>
      <c r="C605" s="452"/>
      <c r="D605" s="452"/>
      <c r="E605" s="452"/>
      <c r="F605" s="452"/>
      <c r="G605" s="452"/>
      <c r="H605" s="452"/>
      <c r="I605" s="452"/>
      <c r="J605" s="452"/>
      <c r="K605" s="452"/>
      <c r="L605" s="360"/>
      <c r="M605" s="451" t="s">
        <v>762</v>
      </c>
      <c r="N605" s="452"/>
      <c r="O605" s="452"/>
      <c r="P605" s="407" t="s">
        <v>763</v>
      </c>
      <c r="Q605" s="409"/>
    </row>
    <row r="606" spans="2:17" x14ac:dyDescent="0.3">
      <c r="B606" s="230" t="s">
        <v>222</v>
      </c>
      <c r="C606" s="230" t="s">
        <v>779</v>
      </c>
      <c r="D606" s="230" t="s">
        <v>223</v>
      </c>
      <c r="E606" s="230" t="s">
        <v>224</v>
      </c>
      <c r="F606" s="230" t="s">
        <v>225</v>
      </c>
      <c r="G606" s="230" t="s">
        <v>226</v>
      </c>
      <c r="H606" s="230" t="s">
        <v>227</v>
      </c>
      <c r="I606" s="230" t="s">
        <v>789</v>
      </c>
      <c r="J606" s="230" t="s">
        <v>790</v>
      </c>
      <c r="K606" s="230" t="s">
        <v>230</v>
      </c>
      <c r="L606" s="360"/>
      <c r="M606" s="230" t="s">
        <v>764</v>
      </c>
      <c r="N606" s="230" t="s">
        <v>437</v>
      </c>
      <c r="O606" s="230" t="s">
        <v>438</v>
      </c>
      <c r="P606" s="226" t="s">
        <v>437</v>
      </c>
      <c r="Q606" s="226" t="s">
        <v>438</v>
      </c>
    </row>
    <row r="607" spans="2:17" x14ac:dyDescent="0.3">
      <c r="B607" s="333">
        <v>0</v>
      </c>
      <c r="C607" s="333"/>
      <c r="D607" s="333"/>
      <c r="E607" s="333"/>
      <c r="F607" s="333"/>
      <c r="G607" s="333"/>
      <c r="H607" s="333"/>
      <c r="I607" s="333"/>
      <c r="J607" s="333"/>
      <c r="K607" s="333"/>
      <c r="L607" s="360"/>
      <c r="M607" s="333">
        <f t="shared" ref="M607:M670" si="85">B607/2</f>
        <v>0</v>
      </c>
      <c r="N607" s="333" t="e">
        <f>(SUM(C607:E607)-SUM($C$192:$E$192))*$F$71</f>
        <v>#DIV/0!</v>
      </c>
      <c r="O607" s="333" t="e">
        <f>(SUM(F607:H607)-SUM($F$192:$H$192))*$G$71</f>
        <v>#DIV/0!</v>
      </c>
      <c r="P607" s="334" t="e">
        <f>N607-M607</f>
        <v>#DIV/0!</v>
      </c>
      <c r="Q607" s="334" t="e">
        <f>O607-M607</f>
        <v>#DIV/0!</v>
      </c>
    </row>
    <row r="608" spans="2:17" x14ac:dyDescent="0.3">
      <c r="B608" s="333">
        <v>0</v>
      </c>
      <c r="C608" s="333"/>
      <c r="D608" s="333"/>
      <c r="E608" s="333"/>
      <c r="F608" s="333"/>
      <c r="G608" s="333"/>
      <c r="H608" s="333"/>
      <c r="I608" s="333"/>
      <c r="J608" s="333"/>
      <c r="K608" s="333"/>
      <c r="L608" s="360"/>
      <c r="M608" s="333">
        <f t="shared" si="85"/>
        <v>0</v>
      </c>
      <c r="N608" s="333" t="e">
        <f>(SUM(C608:E608)-SUM($C$192:$E$192))*$F$71</f>
        <v>#DIV/0!</v>
      </c>
      <c r="O608" s="333" t="e">
        <f>(SUM(F608:H608)-SUM($F$192:$H$192))*$G$71</f>
        <v>#DIV/0!</v>
      </c>
      <c r="P608" s="334" t="e">
        <f>N608-M608</f>
        <v>#DIV/0!</v>
      </c>
      <c r="Q608" s="334" t="e">
        <f>O608-M608</f>
        <v>#DIV/0!</v>
      </c>
    </row>
    <row r="609" spans="2:17" x14ac:dyDescent="0.3">
      <c r="B609" s="333">
        <v>0</v>
      </c>
      <c r="C609" s="333"/>
      <c r="D609" s="333"/>
      <c r="E609" s="333"/>
      <c r="F609" s="333"/>
      <c r="G609" s="333"/>
      <c r="H609" s="333"/>
      <c r="I609" s="333"/>
      <c r="J609" s="333"/>
      <c r="K609" s="333"/>
      <c r="L609" s="360"/>
      <c r="M609" s="333">
        <f t="shared" si="85"/>
        <v>0</v>
      </c>
      <c r="N609" s="333" t="e">
        <f t="shared" ref="N609:N672" si="86">(SUM(C609:E609)-SUM($C$192:$E$192))*$F$71</f>
        <v>#DIV/0!</v>
      </c>
      <c r="O609" s="333" t="e">
        <f t="shared" ref="O609:O672" si="87">(SUM(F609:H609)-SUM($F$192:$H$192))*$G$71</f>
        <v>#DIV/0!</v>
      </c>
      <c r="P609" s="334" t="e">
        <f t="shared" ref="P609:P672" si="88">N609-M609</f>
        <v>#DIV/0!</v>
      </c>
      <c r="Q609" s="334" t="e">
        <f t="shared" ref="Q609:Q672" si="89">O609-M609</f>
        <v>#DIV/0!</v>
      </c>
    </row>
    <row r="610" spans="2:17" x14ac:dyDescent="0.3">
      <c r="B610" s="333">
        <v>0</v>
      </c>
      <c r="C610" s="333"/>
      <c r="D610" s="333"/>
      <c r="E610" s="333"/>
      <c r="F610" s="333"/>
      <c r="G610" s="333"/>
      <c r="H610" s="333"/>
      <c r="I610" s="333"/>
      <c r="J610" s="333"/>
      <c r="K610" s="333"/>
      <c r="L610" s="360"/>
      <c r="M610" s="333">
        <f t="shared" si="85"/>
        <v>0</v>
      </c>
      <c r="N610" s="333" t="e">
        <f t="shared" si="86"/>
        <v>#DIV/0!</v>
      </c>
      <c r="O610" s="333" t="e">
        <f t="shared" si="87"/>
        <v>#DIV/0!</v>
      </c>
      <c r="P610" s="334" t="e">
        <f t="shared" si="88"/>
        <v>#DIV/0!</v>
      </c>
      <c r="Q610" s="334" t="e">
        <f t="shared" si="89"/>
        <v>#DIV/0!</v>
      </c>
    </row>
    <row r="611" spans="2:17" x14ac:dyDescent="0.3">
      <c r="B611" s="333">
        <v>0</v>
      </c>
      <c r="C611" s="333"/>
      <c r="D611" s="333"/>
      <c r="E611" s="333"/>
      <c r="F611" s="333"/>
      <c r="G611" s="333"/>
      <c r="H611" s="333"/>
      <c r="I611" s="333"/>
      <c r="J611" s="333"/>
      <c r="K611" s="333"/>
      <c r="L611" s="360"/>
      <c r="M611" s="333">
        <f t="shared" si="85"/>
        <v>0</v>
      </c>
      <c r="N611" s="333" t="e">
        <f t="shared" si="86"/>
        <v>#DIV/0!</v>
      </c>
      <c r="O611" s="333" t="e">
        <f t="shared" si="87"/>
        <v>#DIV/0!</v>
      </c>
      <c r="P611" s="334" t="e">
        <f t="shared" si="88"/>
        <v>#DIV/0!</v>
      </c>
      <c r="Q611" s="334" t="e">
        <f t="shared" si="89"/>
        <v>#DIV/0!</v>
      </c>
    </row>
    <row r="612" spans="2:17" x14ac:dyDescent="0.3">
      <c r="B612" s="333">
        <v>0</v>
      </c>
      <c r="C612" s="333"/>
      <c r="D612" s="333"/>
      <c r="E612" s="333"/>
      <c r="F612" s="333"/>
      <c r="G612" s="333"/>
      <c r="H612" s="333"/>
      <c r="I612" s="333"/>
      <c r="J612" s="333"/>
      <c r="K612" s="333"/>
      <c r="L612" s="360"/>
      <c r="M612" s="333">
        <f t="shared" si="85"/>
        <v>0</v>
      </c>
      <c r="N612" s="333" t="e">
        <f t="shared" si="86"/>
        <v>#DIV/0!</v>
      </c>
      <c r="O612" s="333" t="e">
        <f t="shared" si="87"/>
        <v>#DIV/0!</v>
      </c>
      <c r="P612" s="334" t="e">
        <f t="shared" si="88"/>
        <v>#DIV/0!</v>
      </c>
      <c r="Q612" s="334" t="e">
        <f t="shared" si="89"/>
        <v>#DIV/0!</v>
      </c>
    </row>
    <row r="613" spans="2:17" x14ac:dyDescent="0.3">
      <c r="B613" s="333">
        <v>0</v>
      </c>
      <c r="C613" s="333"/>
      <c r="D613" s="333"/>
      <c r="E613" s="333"/>
      <c r="F613" s="333"/>
      <c r="G613" s="333"/>
      <c r="H613" s="333"/>
      <c r="I613" s="333"/>
      <c r="J613" s="333"/>
      <c r="K613" s="333"/>
      <c r="L613" s="360"/>
      <c r="M613" s="333">
        <f t="shared" si="85"/>
        <v>0</v>
      </c>
      <c r="N613" s="333" t="e">
        <f t="shared" si="86"/>
        <v>#DIV/0!</v>
      </c>
      <c r="O613" s="333" t="e">
        <f t="shared" si="87"/>
        <v>#DIV/0!</v>
      </c>
      <c r="P613" s="334" t="e">
        <f t="shared" si="88"/>
        <v>#DIV/0!</v>
      </c>
      <c r="Q613" s="334" t="e">
        <f t="shared" si="89"/>
        <v>#DIV/0!</v>
      </c>
    </row>
    <row r="614" spans="2:17" x14ac:dyDescent="0.3">
      <c r="B614" s="333">
        <v>0</v>
      </c>
      <c r="C614" s="333"/>
      <c r="D614" s="333"/>
      <c r="E614" s="333"/>
      <c r="F614" s="333"/>
      <c r="G614" s="333"/>
      <c r="H614" s="333"/>
      <c r="I614" s="333"/>
      <c r="J614" s="333"/>
      <c r="K614" s="333"/>
      <c r="L614" s="360"/>
      <c r="M614" s="333">
        <f t="shared" si="85"/>
        <v>0</v>
      </c>
      <c r="N614" s="333" t="e">
        <f t="shared" si="86"/>
        <v>#DIV/0!</v>
      </c>
      <c r="O614" s="333" t="e">
        <f t="shared" si="87"/>
        <v>#DIV/0!</v>
      </c>
      <c r="P614" s="334" t="e">
        <f t="shared" si="88"/>
        <v>#DIV/0!</v>
      </c>
      <c r="Q614" s="334" t="e">
        <f t="shared" si="89"/>
        <v>#DIV/0!</v>
      </c>
    </row>
    <row r="615" spans="2:17" x14ac:dyDescent="0.3">
      <c r="B615" s="333">
        <v>0</v>
      </c>
      <c r="C615" s="333"/>
      <c r="D615" s="333"/>
      <c r="E615" s="333"/>
      <c r="F615" s="333"/>
      <c r="G615" s="333"/>
      <c r="H615" s="333"/>
      <c r="I615" s="333"/>
      <c r="J615" s="333"/>
      <c r="K615" s="333"/>
      <c r="L615" s="360"/>
      <c r="M615" s="333">
        <f t="shared" si="85"/>
        <v>0</v>
      </c>
      <c r="N615" s="333" t="e">
        <f t="shared" si="86"/>
        <v>#DIV/0!</v>
      </c>
      <c r="O615" s="333" t="e">
        <f t="shared" si="87"/>
        <v>#DIV/0!</v>
      </c>
      <c r="P615" s="334" t="e">
        <f t="shared" si="88"/>
        <v>#DIV/0!</v>
      </c>
      <c r="Q615" s="334" t="e">
        <f t="shared" si="89"/>
        <v>#DIV/0!</v>
      </c>
    </row>
    <row r="616" spans="2:17" x14ac:dyDescent="0.3">
      <c r="B616" s="333">
        <v>0</v>
      </c>
      <c r="C616" s="333"/>
      <c r="D616" s="333"/>
      <c r="E616" s="333"/>
      <c r="F616" s="333"/>
      <c r="G616" s="333"/>
      <c r="H616" s="333"/>
      <c r="I616" s="333"/>
      <c r="J616" s="333"/>
      <c r="K616" s="333"/>
      <c r="L616" s="360"/>
      <c r="M616" s="333">
        <f t="shared" si="85"/>
        <v>0</v>
      </c>
      <c r="N616" s="333" t="e">
        <f t="shared" si="86"/>
        <v>#DIV/0!</v>
      </c>
      <c r="O616" s="333" t="e">
        <f t="shared" si="87"/>
        <v>#DIV/0!</v>
      </c>
      <c r="P616" s="334" t="e">
        <f t="shared" si="88"/>
        <v>#DIV/0!</v>
      </c>
      <c r="Q616" s="334" t="e">
        <f t="shared" si="89"/>
        <v>#DIV/0!</v>
      </c>
    </row>
    <row r="617" spans="2:17" x14ac:dyDescent="0.3">
      <c r="B617" s="333">
        <v>0</v>
      </c>
      <c r="C617" s="333"/>
      <c r="D617" s="333"/>
      <c r="E617" s="333"/>
      <c r="F617" s="333"/>
      <c r="G617" s="333"/>
      <c r="H617" s="333"/>
      <c r="I617" s="333"/>
      <c r="J617" s="333"/>
      <c r="K617" s="333"/>
      <c r="L617" s="360"/>
      <c r="M617" s="333">
        <f t="shared" si="85"/>
        <v>0</v>
      </c>
      <c r="N617" s="333" t="e">
        <f t="shared" si="86"/>
        <v>#DIV/0!</v>
      </c>
      <c r="O617" s="333" t="e">
        <f t="shared" si="87"/>
        <v>#DIV/0!</v>
      </c>
      <c r="P617" s="334" t="e">
        <f t="shared" si="88"/>
        <v>#DIV/0!</v>
      </c>
      <c r="Q617" s="334" t="e">
        <f t="shared" si="89"/>
        <v>#DIV/0!</v>
      </c>
    </row>
    <row r="618" spans="2:17" x14ac:dyDescent="0.3">
      <c r="B618" s="333">
        <v>0</v>
      </c>
      <c r="C618" s="333"/>
      <c r="D618" s="333"/>
      <c r="E618" s="333"/>
      <c r="F618" s="333"/>
      <c r="G618" s="333"/>
      <c r="H618" s="333"/>
      <c r="I618" s="333"/>
      <c r="J618" s="333"/>
      <c r="K618" s="333"/>
      <c r="L618" s="360"/>
      <c r="M618" s="333">
        <f t="shared" si="85"/>
        <v>0</v>
      </c>
      <c r="N618" s="333" t="e">
        <f t="shared" si="86"/>
        <v>#DIV/0!</v>
      </c>
      <c r="O618" s="333" t="e">
        <f t="shared" si="87"/>
        <v>#DIV/0!</v>
      </c>
      <c r="P618" s="334" t="e">
        <f t="shared" si="88"/>
        <v>#DIV/0!</v>
      </c>
      <c r="Q618" s="334" t="e">
        <f t="shared" si="89"/>
        <v>#DIV/0!</v>
      </c>
    </row>
    <row r="619" spans="2:17" x14ac:dyDescent="0.3">
      <c r="B619" s="333">
        <v>0</v>
      </c>
      <c r="C619" s="333"/>
      <c r="D619" s="333"/>
      <c r="E619" s="333"/>
      <c r="F619" s="333"/>
      <c r="G619" s="333"/>
      <c r="H619" s="333"/>
      <c r="I619" s="333"/>
      <c r="J619" s="333"/>
      <c r="K619" s="333"/>
      <c r="L619" s="360"/>
      <c r="M619" s="333">
        <f t="shared" si="85"/>
        <v>0</v>
      </c>
      <c r="N619" s="333" t="e">
        <f t="shared" si="86"/>
        <v>#DIV/0!</v>
      </c>
      <c r="O619" s="333" t="e">
        <f t="shared" si="87"/>
        <v>#DIV/0!</v>
      </c>
      <c r="P619" s="334" t="e">
        <f t="shared" si="88"/>
        <v>#DIV/0!</v>
      </c>
      <c r="Q619" s="334" t="e">
        <f t="shared" si="89"/>
        <v>#DIV/0!</v>
      </c>
    </row>
    <row r="620" spans="2:17" x14ac:dyDescent="0.3">
      <c r="B620" s="333">
        <v>0</v>
      </c>
      <c r="C620" s="333"/>
      <c r="D620" s="333"/>
      <c r="E620" s="333"/>
      <c r="F620" s="333"/>
      <c r="G620" s="333"/>
      <c r="H620" s="333"/>
      <c r="I620" s="333"/>
      <c r="J620" s="333"/>
      <c r="K620" s="333"/>
      <c r="L620" s="360"/>
      <c r="M620" s="333">
        <f t="shared" si="85"/>
        <v>0</v>
      </c>
      <c r="N620" s="333" t="e">
        <f t="shared" si="86"/>
        <v>#DIV/0!</v>
      </c>
      <c r="O620" s="333" t="e">
        <f t="shared" si="87"/>
        <v>#DIV/0!</v>
      </c>
      <c r="P620" s="334" t="e">
        <f t="shared" si="88"/>
        <v>#DIV/0!</v>
      </c>
      <c r="Q620" s="334" t="e">
        <f t="shared" si="89"/>
        <v>#DIV/0!</v>
      </c>
    </row>
    <row r="621" spans="2:17" x14ac:dyDescent="0.3">
      <c r="B621" s="333">
        <v>0</v>
      </c>
      <c r="C621" s="333"/>
      <c r="D621" s="333"/>
      <c r="E621" s="333"/>
      <c r="F621" s="333"/>
      <c r="G621" s="333"/>
      <c r="H621" s="333"/>
      <c r="I621" s="333"/>
      <c r="J621" s="333"/>
      <c r="K621" s="333"/>
      <c r="L621" s="360"/>
      <c r="M621" s="333">
        <f t="shared" si="85"/>
        <v>0</v>
      </c>
      <c r="N621" s="333" t="e">
        <f t="shared" si="86"/>
        <v>#DIV/0!</v>
      </c>
      <c r="O621" s="333" t="e">
        <f t="shared" si="87"/>
        <v>#DIV/0!</v>
      </c>
      <c r="P621" s="334" t="e">
        <f t="shared" si="88"/>
        <v>#DIV/0!</v>
      </c>
      <c r="Q621" s="334" t="e">
        <f t="shared" si="89"/>
        <v>#DIV/0!</v>
      </c>
    </row>
    <row r="622" spans="2:17" x14ac:dyDescent="0.3">
      <c r="B622" s="333">
        <v>0</v>
      </c>
      <c r="C622" s="333"/>
      <c r="D622" s="333"/>
      <c r="E622" s="333"/>
      <c r="F622" s="333"/>
      <c r="G622" s="333"/>
      <c r="H622" s="333"/>
      <c r="I622" s="333"/>
      <c r="J622" s="333"/>
      <c r="K622" s="333"/>
      <c r="L622" s="360"/>
      <c r="M622" s="333">
        <f t="shared" si="85"/>
        <v>0</v>
      </c>
      <c r="N622" s="333" t="e">
        <f t="shared" si="86"/>
        <v>#DIV/0!</v>
      </c>
      <c r="O622" s="333" t="e">
        <f t="shared" si="87"/>
        <v>#DIV/0!</v>
      </c>
      <c r="P622" s="334" t="e">
        <f t="shared" si="88"/>
        <v>#DIV/0!</v>
      </c>
      <c r="Q622" s="334" t="e">
        <f t="shared" si="89"/>
        <v>#DIV/0!</v>
      </c>
    </row>
    <row r="623" spans="2:17" x14ac:dyDescent="0.3">
      <c r="B623" s="333">
        <v>0</v>
      </c>
      <c r="C623" s="333"/>
      <c r="D623" s="333"/>
      <c r="E623" s="333"/>
      <c r="F623" s="333"/>
      <c r="G623" s="333"/>
      <c r="H623" s="333"/>
      <c r="I623" s="333"/>
      <c r="J623" s="333"/>
      <c r="K623" s="333"/>
      <c r="L623" s="360"/>
      <c r="M623" s="333">
        <f t="shared" si="85"/>
        <v>0</v>
      </c>
      <c r="N623" s="333" t="e">
        <f t="shared" si="86"/>
        <v>#DIV/0!</v>
      </c>
      <c r="O623" s="333" t="e">
        <f t="shared" si="87"/>
        <v>#DIV/0!</v>
      </c>
      <c r="P623" s="334" t="e">
        <f t="shared" si="88"/>
        <v>#DIV/0!</v>
      </c>
      <c r="Q623" s="334" t="e">
        <f t="shared" si="89"/>
        <v>#DIV/0!</v>
      </c>
    </row>
    <row r="624" spans="2:17" x14ac:dyDescent="0.3">
      <c r="B624" s="333">
        <v>0</v>
      </c>
      <c r="C624" s="333"/>
      <c r="D624" s="333"/>
      <c r="E624" s="333"/>
      <c r="F624" s="333"/>
      <c r="G624" s="333"/>
      <c r="H624" s="333"/>
      <c r="I624" s="333"/>
      <c r="J624" s="333"/>
      <c r="K624" s="333"/>
      <c r="L624" s="360"/>
      <c r="M624" s="333">
        <f t="shared" si="85"/>
        <v>0</v>
      </c>
      <c r="N624" s="333" t="e">
        <f t="shared" si="86"/>
        <v>#DIV/0!</v>
      </c>
      <c r="O624" s="333" t="e">
        <f t="shared" si="87"/>
        <v>#DIV/0!</v>
      </c>
      <c r="P624" s="334" t="e">
        <f t="shared" si="88"/>
        <v>#DIV/0!</v>
      </c>
      <c r="Q624" s="334" t="e">
        <f t="shared" si="89"/>
        <v>#DIV/0!</v>
      </c>
    </row>
    <row r="625" spans="2:17" x14ac:dyDescent="0.3">
      <c r="B625" s="333">
        <v>0</v>
      </c>
      <c r="C625" s="333"/>
      <c r="D625" s="333"/>
      <c r="E625" s="333"/>
      <c r="F625" s="333"/>
      <c r="G625" s="333"/>
      <c r="H625" s="333"/>
      <c r="I625" s="333"/>
      <c r="J625" s="333"/>
      <c r="K625" s="333"/>
      <c r="L625" s="360"/>
      <c r="M625" s="333">
        <f t="shared" si="85"/>
        <v>0</v>
      </c>
      <c r="N625" s="333" t="e">
        <f t="shared" si="86"/>
        <v>#DIV/0!</v>
      </c>
      <c r="O625" s="333" t="e">
        <f t="shared" si="87"/>
        <v>#DIV/0!</v>
      </c>
      <c r="P625" s="334" t="e">
        <f t="shared" si="88"/>
        <v>#DIV/0!</v>
      </c>
      <c r="Q625" s="334" t="e">
        <f t="shared" si="89"/>
        <v>#DIV/0!</v>
      </c>
    </row>
    <row r="626" spans="2:17" x14ac:dyDescent="0.3">
      <c r="B626" s="333">
        <v>0</v>
      </c>
      <c r="C626" s="333"/>
      <c r="D626" s="333"/>
      <c r="E626" s="333"/>
      <c r="F626" s="333"/>
      <c r="G626" s="333"/>
      <c r="H626" s="333"/>
      <c r="I626" s="333"/>
      <c r="J626" s="333"/>
      <c r="K626" s="333"/>
      <c r="L626" s="360"/>
      <c r="M626" s="333">
        <f t="shared" si="85"/>
        <v>0</v>
      </c>
      <c r="N626" s="333" t="e">
        <f t="shared" si="86"/>
        <v>#DIV/0!</v>
      </c>
      <c r="O626" s="333" t="e">
        <f t="shared" si="87"/>
        <v>#DIV/0!</v>
      </c>
      <c r="P626" s="334" t="e">
        <f t="shared" si="88"/>
        <v>#DIV/0!</v>
      </c>
      <c r="Q626" s="334" t="e">
        <f t="shared" si="89"/>
        <v>#DIV/0!</v>
      </c>
    </row>
    <row r="627" spans="2:17" x14ac:dyDescent="0.3">
      <c r="B627" s="333">
        <v>10</v>
      </c>
      <c r="C627" s="333"/>
      <c r="D627" s="333"/>
      <c r="E627" s="333"/>
      <c r="F627" s="333"/>
      <c r="G627" s="333"/>
      <c r="H627" s="333"/>
      <c r="I627" s="333"/>
      <c r="J627" s="333"/>
      <c r="K627" s="333"/>
      <c r="L627" s="360"/>
      <c r="M627" s="333">
        <f t="shared" si="85"/>
        <v>5</v>
      </c>
      <c r="N627" s="333" t="e">
        <f t="shared" si="86"/>
        <v>#DIV/0!</v>
      </c>
      <c r="O627" s="333" t="e">
        <f t="shared" si="87"/>
        <v>#DIV/0!</v>
      </c>
      <c r="P627" s="334" t="e">
        <f t="shared" si="88"/>
        <v>#DIV/0!</v>
      </c>
      <c r="Q627" s="334" t="e">
        <f t="shared" si="89"/>
        <v>#DIV/0!</v>
      </c>
    </row>
    <row r="628" spans="2:17" x14ac:dyDescent="0.3">
      <c r="B628" s="333">
        <v>10</v>
      </c>
      <c r="C628" s="333"/>
      <c r="D628" s="333"/>
      <c r="E628" s="333"/>
      <c r="F628" s="333"/>
      <c r="G628" s="333"/>
      <c r="H628" s="333"/>
      <c r="I628" s="333"/>
      <c r="J628" s="333"/>
      <c r="K628" s="333"/>
      <c r="L628" s="360"/>
      <c r="M628" s="333">
        <f t="shared" si="85"/>
        <v>5</v>
      </c>
      <c r="N628" s="333" t="e">
        <f t="shared" si="86"/>
        <v>#DIV/0!</v>
      </c>
      <c r="O628" s="333" t="e">
        <f t="shared" si="87"/>
        <v>#DIV/0!</v>
      </c>
      <c r="P628" s="334" t="e">
        <f t="shared" si="88"/>
        <v>#DIV/0!</v>
      </c>
      <c r="Q628" s="334" t="e">
        <f t="shared" si="89"/>
        <v>#DIV/0!</v>
      </c>
    </row>
    <row r="629" spans="2:17" x14ac:dyDescent="0.3">
      <c r="B629" s="333">
        <v>10</v>
      </c>
      <c r="C629" s="333"/>
      <c r="D629" s="333"/>
      <c r="E629" s="333"/>
      <c r="F629" s="333"/>
      <c r="G629" s="333"/>
      <c r="H629" s="333"/>
      <c r="I629" s="333"/>
      <c r="J629" s="333"/>
      <c r="K629" s="333"/>
      <c r="L629" s="360"/>
      <c r="M629" s="333">
        <f t="shared" si="85"/>
        <v>5</v>
      </c>
      <c r="N629" s="333" t="e">
        <f t="shared" si="86"/>
        <v>#DIV/0!</v>
      </c>
      <c r="O629" s="333" t="e">
        <f t="shared" si="87"/>
        <v>#DIV/0!</v>
      </c>
      <c r="P629" s="334" t="e">
        <f t="shared" si="88"/>
        <v>#DIV/0!</v>
      </c>
      <c r="Q629" s="334" t="e">
        <f t="shared" si="89"/>
        <v>#DIV/0!</v>
      </c>
    </row>
    <row r="630" spans="2:17" x14ac:dyDescent="0.3">
      <c r="B630" s="333">
        <v>10</v>
      </c>
      <c r="C630" s="333"/>
      <c r="D630" s="333"/>
      <c r="E630" s="333"/>
      <c r="F630" s="333"/>
      <c r="G630" s="333"/>
      <c r="H630" s="333"/>
      <c r="I630" s="333"/>
      <c r="J630" s="333"/>
      <c r="K630" s="333"/>
      <c r="L630" s="360"/>
      <c r="M630" s="333">
        <f t="shared" si="85"/>
        <v>5</v>
      </c>
      <c r="N630" s="333" t="e">
        <f t="shared" si="86"/>
        <v>#DIV/0!</v>
      </c>
      <c r="O630" s="333" t="e">
        <f t="shared" si="87"/>
        <v>#DIV/0!</v>
      </c>
      <c r="P630" s="334" t="e">
        <f t="shared" si="88"/>
        <v>#DIV/0!</v>
      </c>
      <c r="Q630" s="334" t="e">
        <f t="shared" si="89"/>
        <v>#DIV/0!</v>
      </c>
    </row>
    <row r="631" spans="2:17" x14ac:dyDescent="0.3">
      <c r="B631" s="333">
        <v>10</v>
      </c>
      <c r="C631" s="333"/>
      <c r="D631" s="333"/>
      <c r="E631" s="333"/>
      <c r="F631" s="333"/>
      <c r="G631" s="333"/>
      <c r="H631" s="333"/>
      <c r="I631" s="333"/>
      <c r="J631" s="333"/>
      <c r="K631" s="333"/>
      <c r="L631" s="360"/>
      <c r="M631" s="333">
        <f t="shared" si="85"/>
        <v>5</v>
      </c>
      <c r="N631" s="333" t="e">
        <f t="shared" si="86"/>
        <v>#DIV/0!</v>
      </c>
      <c r="O631" s="333" t="e">
        <f t="shared" si="87"/>
        <v>#DIV/0!</v>
      </c>
      <c r="P631" s="334" t="e">
        <f t="shared" si="88"/>
        <v>#DIV/0!</v>
      </c>
      <c r="Q631" s="334" t="e">
        <f t="shared" si="89"/>
        <v>#DIV/0!</v>
      </c>
    </row>
    <row r="632" spans="2:17" x14ac:dyDescent="0.3">
      <c r="B632" s="333">
        <v>10</v>
      </c>
      <c r="C632" s="333"/>
      <c r="D632" s="333"/>
      <c r="E632" s="333"/>
      <c r="F632" s="333"/>
      <c r="G632" s="333"/>
      <c r="H632" s="333"/>
      <c r="I632" s="333"/>
      <c r="J632" s="333"/>
      <c r="K632" s="333"/>
      <c r="L632" s="360"/>
      <c r="M632" s="333">
        <f t="shared" si="85"/>
        <v>5</v>
      </c>
      <c r="N632" s="333" t="e">
        <f t="shared" si="86"/>
        <v>#DIV/0!</v>
      </c>
      <c r="O632" s="333" t="e">
        <f t="shared" si="87"/>
        <v>#DIV/0!</v>
      </c>
      <c r="P632" s="334" t="e">
        <f t="shared" si="88"/>
        <v>#DIV/0!</v>
      </c>
      <c r="Q632" s="334" t="e">
        <f t="shared" si="89"/>
        <v>#DIV/0!</v>
      </c>
    </row>
    <row r="633" spans="2:17" x14ac:dyDescent="0.3">
      <c r="B633" s="333">
        <v>10</v>
      </c>
      <c r="C633" s="333"/>
      <c r="D633" s="333"/>
      <c r="E633" s="333"/>
      <c r="F633" s="333"/>
      <c r="G633" s="333"/>
      <c r="H633" s="333"/>
      <c r="I633" s="333"/>
      <c r="J633" s="333"/>
      <c r="K633" s="333"/>
      <c r="L633" s="360"/>
      <c r="M633" s="333">
        <f t="shared" si="85"/>
        <v>5</v>
      </c>
      <c r="N633" s="333" t="e">
        <f t="shared" si="86"/>
        <v>#DIV/0!</v>
      </c>
      <c r="O633" s="333" t="e">
        <f t="shared" si="87"/>
        <v>#DIV/0!</v>
      </c>
      <c r="P633" s="334" t="e">
        <f t="shared" si="88"/>
        <v>#DIV/0!</v>
      </c>
      <c r="Q633" s="334" t="e">
        <f t="shared" si="89"/>
        <v>#DIV/0!</v>
      </c>
    </row>
    <row r="634" spans="2:17" x14ac:dyDescent="0.3">
      <c r="B634" s="333">
        <v>10</v>
      </c>
      <c r="C634" s="333"/>
      <c r="D634" s="333"/>
      <c r="E634" s="333"/>
      <c r="F634" s="333"/>
      <c r="G634" s="333"/>
      <c r="H634" s="333"/>
      <c r="I634" s="333"/>
      <c r="J634" s="333"/>
      <c r="K634" s="333"/>
      <c r="L634" s="360"/>
      <c r="M634" s="333">
        <f t="shared" si="85"/>
        <v>5</v>
      </c>
      <c r="N634" s="333" t="e">
        <f t="shared" si="86"/>
        <v>#DIV/0!</v>
      </c>
      <c r="O634" s="333" t="e">
        <f t="shared" si="87"/>
        <v>#DIV/0!</v>
      </c>
      <c r="P634" s="334" t="e">
        <f t="shared" si="88"/>
        <v>#DIV/0!</v>
      </c>
      <c r="Q634" s="334" t="e">
        <f t="shared" si="89"/>
        <v>#DIV/0!</v>
      </c>
    </row>
    <row r="635" spans="2:17" x14ac:dyDescent="0.3">
      <c r="B635" s="333">
        <v>10</v>
      </c>
      <c r="C635" s="333"/>
      <c r="D635" s="333"/>
      <c r="E635" s="333"/>
      <c r="F635" s="333"/>
      <c r="G635" s="333"/>
      <c r="H635" s="333"/>
      <c r="I635" s="333"/>
      <c r="J635" s="333"/>
      <c r="K635" s="333"/>
      <c r="L635" s="360"/>
      <c r="M635" s="333">
        <f t="shared" si="85"/>
        <v>5</v>
      </c>
      <c r="N635" s="333" t="e">
        <f t="shared" si="86"/>
        <v>#DIV/0!</v>
      </c>
      <c r="O635" s="333" t="e">
        <f t="shared" si="87"/>
        <v>#DIV/0!</v>
      </c>
      <c r="P635" s="334" t="e">
        <f t="shared" si="88"/>
        <v>#DIV/0!</v>
      </c>
      <c r="Q635" s="334" t="e">
        <f t="shared" si="89"/>
        <v>#DIV/0!</v>
      </c>
    </row>
    <row r="636" spans="2:17" x14ac:dyDescent="0.3">
      <c r="B636" s="333">
        <v>10</v>
      </c>
      <c r="C636" s="333"/>
      <c r="D636" s="333"/>
      <c r="E636" s="333"/>
      <c r="F636" s="333"/>
      <c r="G636" s="333"/>
      <c r="H636" s="333"/>
      <c r="I636" s="333"/>
      <c r="J636" s="333"/>
      <c r="K636" s="333"/>
      <c r="L636" s="360"/>
      <c r="M636" s="333">
        <f t="shared" si="85"/>
        <v>5</v>
      </c>
      <c r="N636" s="333" t="e">
        <f t="shared" si="86"/>
        <v>#DIV/0!</v>
      </c>
      <c r="O636" s="333" t="e">
        <f t="shared" si="87"/>
        <v>#DIV/0!</v>
      </c>
      <c r="P636" s="334" t="e">
        <f t="shared" si="88"/>
        <v>#DIV/0!</v>
      </c>
      <c r="Q636" s="334" t="e">
        <f t="shared" si="89"/>
        <v>#DIV/0!</v>
      </c>
    </row>
    <row r="637" spans="2:17" x14ac:dyDescent="0.3">
      <c r="B637" s="333">
        <v>10</v>
      </c>
      <c r="C637" s="333"/>
      <c r="D637" s="333"/>
      <c r="E637" s="333"/>
      <c r="F637" s="333"/>
      <c r="G637" s="333"/>
      <c r="H637" s="333"/>
      <c r="I637" s="333"/>
      <c r="J637" s="333"/>
      <c r="K637" s="333"/>
      <c r="L637" s="360"/>
      <c r="M637" s="333">
        <f t="shared" si="85"/>
        <v>5</v>
      </c>
      <c r="N637" s="333" t="e">
        <f t="shared" si="86"/>
        <v>#DIV/0!</v>
      </c>
      <c r="O637" s="333" t="e">
        <f t="shared" si="87"/>
        <v>#DIV/0!</v>
      </c>
      <c r="P637" s="334" t="e">
        <f t="shared" si="88"/>
        <v>#DIV/0!</v>
      </c>
      <c r="Q637" s="334" t="e">
        <f t="shared" si="89"/>
        <v>#DIV/0!</v>
      </c>
    </row>
    <row r="638" spans="2:17" x14ac:dyDescent="0.3">
      <c r="B638" s="333">
        <v>10</v>
      </c>
      <c r="C638" s="333"/>
      <c r="D638" s="333"/>
      <c r="E638" s="333"/>
      <c r="F638" s="333"/>
      <c r="G638" s="333"/>
      <c r="H638" s="333"/>
      <c r="I638" s="333"/>
      <c r="J638" s="333"/>
      <c r="K638" s="333"/>
      <c r="L638" s="360"/>
      <c r="M638" s="333">
        <f t="shared" si="85"/>
        <v>5</v>
      </c>
      <c r="N638" s="333" t="e">
        <f t="shared" si="86"/>
        <v>#DIV/0!</v>
      </c>
      <c r="O638" s="333" t="e">
        <f t="shared" si="87"/>
        <v>#DIV/0!</v>
      </c>
      <c r="P638" s="334" t="e">
        <f t="shared" si="88"/>
        <v>#DIV/0!</v>
      </c>
      <c r="Q638" s="334" t="e">
        <f t="shared" si="89"/>
        <v>#DIV/0!</v>
      </c>
    </row>
    <row r="639" spans="2:17" x14ac:dyDescent="0.3">
      <c r="B639" s="333">
        <v>10</v>
      </c>
      <c r="C639" s="333"/>
      <c r="D639" s="333"/>
      <c r="E639" s="333"/>
      <c r="F639" s="333"/>
      <c r="G639" s="333"/>
      <c r="H639" s="333"/>
      <c r="I639" s="333"/>
      <c r="J639" s="333"/>
      <c r="K639" s="333"/>
      <c r="L639" s="360"/>
      <c r="M639" s="333">
        <f t="shared" si="85"/>
        <v>5</v>
      </c>
      <c r="N639" s="333" t="e">
        <f t="shared" si="86"/>
        <v>#DIV/0!</v>
      </c>
      <c r="O639" s="333" t="e">
        <f t="shared" si="87"/>
        <v>#DIV/0!</v>
      </c>
      <c r="P639" s="334" t="e">
        <f t="shared" si="88"/>
        <v>#DIV/0!</v>
      </c>
      <c r="Q639" s="334" t="e">
        <f t="shared" si="89"/>
        <v>#DIV/0!</v>
      </c>
    </row>
    <row r="640" spans="2:17" x14ac:dyDescent="0.3">
      <c r="B640" s="333">
        <v>10</v>
      </c>
      <c r="C640" s="333"/>
      <c r="D640" s="333"/>
      <c r="E640" s="333"/>
      <c r="F640" s="333"/>
      <c r="G640" s="333"/>
      <c r="H640" s="333"/>
      <c r="I640" s="333"/>
      <c r="J640" s="333"/>
      <c r="K640" s="333"/>
      <c r="L640" s="360"/>
      <c r="M640" s="333">
        <f t="shared" si="85"/>
        <v>5</v>
      </c>
      <c r="N640" s="333" t="e">
        <f t="shared" si="86"/>
        <v>#DIV/0!</v>
      </c>
      <c r="O640" s="333" t="e">
        <f t="shared" si="87"/>
        <v>#DIV/0!</v>
      </c>
      <c r="P640" s="334" t="e">
        <f t="shared" si="88"/>
        <v>#DIV/0!</v>
      </c>
      <c r="Q640" s="334" t="e">
        <f t="shared" si="89"/>
        <v>#DIV/0!</v>
      </c>
    </row>
    <row r="641" spans="2:17" x14ac:dyDescent="0.3">
      <c r="B641" s="333">
        <v>10</v>
      </c>
      <c r="C641" s="333"/>
      <c r="D641" s="333"/>
      <c r="E641" s="333"/>
      <c r="F641" s="333"/>
      <c r="G641" s="333"/>
      <c r="H641" s="333"/>
      <c r="I641" s="333"/>
      <c r="J641" s="333"/>
      <c r="K641" s="333"/>
      <c r="L641" s="360"/>
      <c r="M641" s="333">
        <f t="shared" si="85"/>
        <v>5</v>
      </c>
      <c r="N641" s="333" t="e">
        <f t="shared" si="86"/>
        <v>#DIV/0!</v>
      </c>
      <c r="O641" s="333" t="e">
        <f t="shared" si="87"/>
        <v>#DIV/0!</v>
      </c>
      <c r="P641" s="334" t="e">
        <f t="shared" si="88"/>
        <v>#DIV/0!</v>
      </c>
      <c r="Q641" s="334" t="e">
        <f t="shared" si="89"/>
        <v>#DIV/0!</v>
      </c>
    </row>
    <row r="642" spans="2:17" x14ac:dyDescent="0.3">
      <c r="B642" s="333">
        <v>10</v>
      </c>
      <c r="C642" s="333"/>
      <c r="D642" s="333"/>
      <c r="E642" s="333"/>
      <c r="F642" s="333"/>
      <c r="G642" s="333"/>
      <c r="H642" s="333"/>
      <c r="I642" s="333"/>
      <c r="J642" s="333"/>
      <c r="K642" s="333"/>
      <c r="L642" s="360"/>
      <c r="M642" s="333">
        <f t="shared" si="85"/>
        <v>5</v>
      </c>
      <c r="N642" s="333" t="e">
        <f t="shared" si="86"/>
        <v>#DIV/0!</v>
      </c>
      <c r="O642" s="333" t="e">
        <f t="shared" si="87"/>
        <v>#DIV/0!</v>
      </c>
      <c r="P642" s="334" t="e">
        <f t="shared" si="88"/>
        <v>#DIV/0!</v>
      </c>
      <c r="Q642" s="334" t="e">
        <f t="shared" si="89"/>
        <v>#DIV/0!</v>
      </c>
    </row>
    <row r="643" spans="2:17" x14ac:dyDescent="0.3">
      <c r="B643" s="333">
        <v>10</v>
      </c>
      <c r="C643" s="333"/>
      <c r="D643" s="333"/>
      <c r="E643" s="333"/>
      <c r="F643" s="333"/>
      <c r="G643" s="333"/>
      <c r="H643" s="333"/>
      <c r="I643" s="333"/>
      <c r="J643" s="333"/>
      <c r="K643" s="333"/>
      <c r="L643" s="360"/>
      <c r="M643" s="333">
        <f t="shared" si="85"/>
        <v>5</v>
      </c>
      <c r="N643" s="333" t="e">
        <f t="shared" si="86"/>
        <v>#DIV/0!</v>
      </c>
      <c r="O643" s="333" t="e">
        <f t="shared" si="87"/>
        <v>#DIV/0!</v>
      </c>
      <c r="P643" s="334" t="e">
        <f t="shared" si="88"/>
        <v>#DIV/0!</v>
      </c>
      <c r="Q643" s="334" t="e">
        <f t="shared" si="89"/>
        <v>#DIV/0!</v>
      </c>
    </row>
    <row r="644" spans="2:17" x14ac:dyDescent="0.3">
      <c r="B644" s="333">
        <v>10</v>
      </c>
      <c r="C644" s="333"/>
      <c r="D644" s="333"/>
      <c r="E644" s="333"/>
      <c r="F644" s="333"/>
      <c r="G644" s="333"/>
      <c r="H644" s="333"/>
      <c r="I644" s="333"/>
      <c r="J644" s="333"/>
      <c r="K644" s="333"/>
      <c r="L644" s="360"/>
      <c r="M644" s="333">
        <f t="shared" si="85"/>
        <v>5</v>
      </c>
      <c r="N644" s="333" t="e">
        <f t="shared" si="86"/>
        <v>#DIV/0!</v>
      </c>
      <c r="O644" s="333" t="e">
        <f t="shared" si="87"/>
        <v>#DIV/0!</v>
      </c>
      <c r="P644" s="334" t="e">
        <f t="shared" si="88"/>
        <v>#DIV/0!</v>
      </c>
      <c r="Q644" s="334" t="e">
        <f t="shared" si="89"/>
        <v>#DIV/0!</v>
      </c>
    </row>
    <row r="645" spans="2:17" x14ac:dyDescent="0.3">
      <c r="B645" s="333">
        <v>10</v>
      </c>
      <c r="C645" s="333"/>
      <c r="D645" s="333"/>
      <c r="E645" s="333"/>
      <c r="F645" s="333"/>
      <c r="G645" s="333"/>
      <c r="H645" s="333"/>
      <c r="I645" s="333"/>
      <c r="J645" s="333"/>
      <c r="K645" s="333"/>
      <c r="L645" s="360"/>
      <c r="M645" s="333">
        <f t="shared" si="85"/>
        <v>5</v>
      </c>
      <c r="N645" s="333" t="e">
        <f t="shared" si="86"/>
        <v>#DIV/0!</v>
      </c>
      <c r="O645" s="333" t="e">
        <f t="shared" si="87"/>
        <v>#DIV/0!</v>
      </c>
      <c r="P645" s="334" t="e">
        <f t="shared" si="88"/>
        <v>#DIV/0!</v>
      </c>
      <c r="Q645" s="334" t="e">
        <f t="shared" si="89"/>
        <v>#DIV/0!</v>
      </c>
    </row>
    <row r="646" spans="2:17" x14ac:dyDescent="0.3">
      <c r="B646" s="333">
        <v>10</v>
      </c>
      <c r="C646" s="333"/>
      <c r="D646" s="333"/>
      <c r="E646" s="333"/>
      <c r="F646" s="333"/>
      <c r="G646" s="333"/>
      <c r="H646" s="333"/>
      <c r="I646" s="333"/>
      <c r="J646" s="333"/>
      <c r="K646" s="333"/>
      <c r="L646" s="360"/>
      <c r="M646" s="333">
        <f t="shared" si="85"/>
        <v>5</v>
      </c>
      <c r="N646" s="333" t="e">
        <f t="shared" si="86"/>
        <v>#DIV/0!</v>
      </c>
      <c r="O646" s="333" t="e">
        <f t="shared" si="87"/>
        <v>#DIV/0!</v>
      </c>
      <c r="P646" s="334" t="e">
        <f t="shared" si="88"/>
        <v>#DIV/0!</v>
      </c>
      <c r="Q646" s="334" t="e">
        <f t="shared" si="89"/>
        <v>#DIV/0!</v>
      </c>
    </row>
    <row r="647" spans="2:17" x14ac:dyDescent="0.3">
      <c r="B647" s="333">
        <v>20</v>
      </c>
      <c r="C647" s="333"/>
      <c r="D647" s="333"/>
      <c r="E647" s="333"/>
      <c r="F647" s="333"/>
      <c r="G647" s="333"/>
      <c r="H647" s="333"/>
      <c r="I647" s="333"/>
      <c r="J647" s="333"/>
      <c r="K647" s="333"/>
      <c r="L647" s="360"/>
      <c r="M647" s="333">
        <f t="shared" si="85"/>
        <v>10</v>
      </c>
      <c r="N647" s="333" t="e">
        <f t="shared" si="86"/>
        <v>#DIV/0!</v>
      </c>
      <c r="O647" s="333" t="e">
        <f t="shared" si="87"/>
        <v>#DIV/0!</v>
      </c>
      <c r="P647" s="334" t="e">
        <f t="shared" si="88"/>
        <v>#DIV/0!</v>
      </c>
      <c r="Q647" s="334" t="e">
        <f t="shared" si="89"/>
        <v>#DIV/0!</v>
      </c>
    </row>
    <row r="648" spans="2:17" x14ac:dyDescent="0.3">
      <c r="B648" s="333">
        <v>20</v>
      </c>
      <c r="C648" s="333"/>
      <c r="D648" s="333"/>
      <c r="E648" s="333"/>
      <c r="F648" s="333"/>
      <c r="G648" s="333"/>
      <c r="H648" s="333"/>
      <c r="I648" s="333"/>
      <c r="J648" s="333"/>
      <c r="K648" s="333"/>
      <c r="L648" s="360"/>
      <c r="M648" s="333">
        <f t="shared" si="85"/>
        <v>10</v>
      </c>
      <c r="N648" s="333" t="e">
        <f t="shared" si="86"/>
        <v>#DIV/0!</v>
      </c>
      <c r="O648" s="333" t="e">
        <f t="shared" si="87"/>
        <v>#DIV/0!</v>
      </c>
      <c r="P648" s="334" t="e">
        <f t="shared" si="88"/>
        <v>#DIV/0!</v>
      </c>
      <c r="Q648" s="334" t="e">
        <f t="shared" si="89"/>
        <v>#DIV/0!</v>
      </c>
    </row>
    <row r="649" spans="2:17" x14ac:dyDescent="0.3">
      <c r="B649" s="333">
        <v>20</v>
      </c>
      <c r="C649" s="333"/>
      <c r="D649" s="333"/>
      <c r="E649" s="333"/>
      <c r="F649" s="333"/>
      <c r="G649" s="333"/>
      <c r="H649" s="333"/>
      <c r="I649" s="333"/>
      <c r="J649" s="333"/>
      <c r="K649" s="333"/>
      <c r="L649" s="360"/>
      <c r="M649" s="333">
        <f t="shared" si="85"/>
        <v>10</v>
      </c>
      <c r="N649" s="333" t="e">
        <f t="shared" si="86"/>
        <v>#DIV/0!</v>
      </c>
      <c r="O649" s="333" t="e">
        <f t="shared" si="87"/>
        <v>#DIV/0!</v>
      </c>
      <c r="P649" s="334" t="e">
        <f t="shared" si="88"/>
        <v>#DIV/0!</v>
      </c>
      <c r="Q649" s="334" t="e">
        <f t="shared" si="89"/>
        <v>#DIV/0!</v>
      </c>
    </row>
    <row r="650" spans="2:17" x14ac:dyDescent="0.3">
      <c r="B650" s="333">
        <v>20</v>
      </c>
      <c r="C650" s="333"/>
      <c r="D650" s="333"/>
      <c r="E650" s="333"/>
      <c r="F650" s="333"/>
      <c r="G650" s="333"/>
      <c r="H650" s="333"/>
      <c r="I650" s="333"/>
      <c r="J650" s="333"/>
      <c r="K650" s="333"/>
      <c r="L650" s="360"/>
      <c r="M650" s="333">
        <f t="shared" si="85"/>
        <v>10</v>
      </c>
      <c r="N650" s="333" t="e">
        <f t="shared" si="86"/>
        <v>#DIV/0!</v>
      </c>
      <c r="O650" s="333" t="e">
        <f t="shared" si="87"/>
        <v>#DIV/0!</v>
      </c>
      <c r="P650" s="334" t="e">
        <f t="shared" si="88"/>
        <v>#DIV/0!</v>
      </c>
      <c r="Q650" s="334" t="e">
        <f t="shared" si="89"/>
        <v>#DIV/0!</v>
      </c>
    </row>
    <row r="651" spans="2:17" x14ac:dyDescent="0.3">
      <c r="B651" s="333">
        <v>20</v>
      </c>
      <c r="C651" s="333"/>
      <c r="D651" s="333"/>
      <c r="E651" s="333"/>
      <c r="F651" s="333"/>
      <c r="G651" s="333"/>
      <c r="H651" s="333"/>
      <c r="I651" s="333"/>
      <c r="J651" s="333"/>
      <c r="K651" s="333"/>
      <c r="L651" s="360"/>
      <c r="M651" s="333">
        <f t="shared" si="85"/>
        <v>10</v>
      </c>
      <c r="N651" s="333" t="e">
        <f t="shared" si="86"/>
        <v>#DIV/0!</v>
      </c>
      <c r="O651" s="333" t="e">
        <f t="shared" si="87"/>
        <v>#DIV/0!</v>
      </c>
      <c r="P651" s="334" t="e">
        <f t="shared" si="88"/>
        <v>#DIV/0!</v>
      </c>
      <c r="Q651" s="334" t="e">
        <f t="shared" si="89"/>
        <v>#DIV/0!</v>
      </c>
    </row>
    <row r="652" spans="2:17" x14ac:dyDescent="0.3">
      <c r="B652" s="333">
        <v>20</v>
      </c>
      <c r="C652" s="333"/>
      <c r="D652" s="333"/>
      <c r="E652" s="333"/>
      <c r="F652" s="333"/>
      <c r="G652" s="333"/>
      <c r="H652" s="333"/>
      <c r="I652" s="333"/>
      <c r="J652" s="333"/>
      <c r="K652" s="333"/>
      <c r="L652" s="360"/>
      <c r="M652" s="333">
        <f t="shared" si="85"/>
        <v>10</v>
      </c>
      <c r="N652" s="333" t="e">
        <f t="shared" si="86"/>
        <v>#DIV/0!</v>
      </c>
      <c r="O652" s="333" t="e">
        <f t="shared" si="87"/>
        <v>#DIV/0!</v>
      </c>
      <c r="P652" s="334" t="e">
        <f t="shared" si="88"/>
        <v>#DIV/0!</v>
      </c>
      <c r="Q652" s="334" t="e">
        <f t="shared" si="89"/>
        <v>#DIV/0!</v>
      </c>
    </row>
    <row r="653" spans="2:17" x14ac:dyDescent="0.3">
      <c r="B653" s="333">
        <v>20</v>
      </c>
      <c r="C653" s="333"/>
      <c r="D653" s="333"/>
      <c r="E653" s="333"/>
      <c r="F653" s="333"/>
      <c r="G653" s="333"/>
      <c r="H653" s="333"/>
      <c r="I653" s="333"/>
      <c r="J653" s="333"/>
      <c r="K653" s="333"/>
      <c r="L653" s="360"/>
      <c r="M653" s="333">
        <f t="shared" si="85"/>
        <v>10</v>
      </c>
      <c r="N653" s="333" t="e">
        <f t="shared" si="86"/>
        <v>#DIV/0!</v>
      </c>
      <c r="O653" s="333" t="e">
        <f t="shared" si="87"/>
        <v>#DIV/0!</v>
      </c>
      <c r="P653" s="334" t="e">
        <f t="shared" si="88"/>
        <v>#DIV/0!</v>
      </c>
      <c r="Q653" s="334" t="e">
        <f t="shared" si="89"/>
        <v>#DIV/0!</v>
      </c>
    </row>
    <row r="654" spans="2:17" x14ac:dyDescent="0.3">
      <c r="B654" s="333">
        <v>20</v>
      </c>
      <c r="C654" s="333"/>
      <c r="D654" s="333"/>
      <c r="E654" s="333"/>
      <c r="F654" s="333"/>
      <c r="G654" s="333"/>
      <c r="H654" s="333"/>
      <c r="I654" s="333"/>
      <c r="J654" s="333"/>
      <c r="K654" s="333"/>
      <c r="L654" s="360"/>
      <c r="M654" s="333">
        <f t="shared" si="85"/>
        <v>10</v>
      </c>
      <c r="N654" s="333" t="e">
        <f t="shared" si="86"/>
        <v>#DIV/0!</v>
      </c>
      <c r="O654" s="333" t="e">
        <f t="shared" si="87"/>
        <v>#DIV/0!</v>
      </c>
      <c r="P654" s="334" t="e">
        <f t="shared" si="88"/>
        <v>#DIV/0!</v>
      </c>
      <c r="Q654" s="334" t="e">
        <f t="shared" si="89"/>
        <v>#DIV/0!</v>
      </c>
    </row>
    <row r="655" spans="2:17" x14ac:dyDescent="0.3">
      <c r="B655" s="333">
        <v>20</v>
      </c>
      <c r="C655" s="333"/>
      <c r="D655" s="333"/>
      <c r="E655" s="333"/>
      <c r="F655" s="333"/>
      <c r="G655" s="333"/>
      <c r="H655" s="333"/>
      <c r="I655" s="333"/>
      <c r="J655" s="333"/>
      <c r="K655" s="333"/>
      <c r="L655" s="360"/>
      <c r="M655" s="333">
        <f t="shared" si="85"/>
        <v>10</v>
      </c>
      <c r="N655" s="333" t="e">
        <f t="shared" si="86"/>
        <v>#DIV/0!</v>
      </c>
      <c r="O655" s="333" t="e">
        <f t="shared" si="87"/>
        <v>#DIV/0!</v>
      </c>
      <c r="P655" s="334" t="e">
        <f t="shared" si="88"/>
        <v>#DIV/0!</v>
      </c>
      <c r="Q655" s="334" t="e">
        <f t="shared" si="89"/>
        <v>#DIV/0!</v>
      </c>
    </row>
    <row r="656" spans="2:17" x14ac:dyDescent="0.3">
      <c r="B656" s="333">
        <v>20</v>
      </c>
      <c r="C656" s="333"/>
      <c r="D656" s="333"/>
      <c r="E656" s="333"/>
      <c r="F656" s="333"/>
      <c r="G656" s="333"/>
      <c r="H656" s="333"/>
      <c r="I656" s="333"/>
      <c r="J656" s="333"/>
      <c r="K656" s="333"/>
      <c r="L656" s="360"/>
      <c r="M656" s="333">
        <f t="shared" si="85"/>
        <v>10</v>
      </c>
      <c r="N656" s="333" t="e">
        <f t="shared" si="86"/>
        <v>#DIV/0!</v>
      </c>
      <c r="O656" s="333" t="e">
        <f t="shared" si="87"/>
        <v>#DIV/0!</v>
      </c>
      <c r="P656" s="334" t="e">
        <f t="shared" si="88"/>
        <v>#DIV/0!</v>
      </c>
      <c r="Q656" s="334" t="e">
        <f t="shared" si="89"/>
        <v>#DIV/0!</v>
      </c>
    </row>
    <row r="657" spans="2:17" x14ac:dyDescent="0.3">
      <c r="B657" s="333">
        <v>20</v>
      </c>
      <c r="C657" s="333"/>
      <c r="D657" s="333"/>
      <c r="E657" s="333"/>
      <c r="F657" s="333"/>
      <c r="G657" s="333"/>
      <c r="H657" s="333"/>
      <c r="I657" s="333"/>
      <c r="J657" s="333"/>
      <c r="K657" s="333"/>
      <c r="L657" s="360"/>
      <c r="M657" s="333">
        <f t="shared" si="85"/>
        <v>10</v>
      </c>
      <c r="N657" s="333" t="e">
        <f t="shared" si="86"/>
        <v>#DIV/0!</v>
      </c>
      <c r="O657" s="333" t="e">
        <f t="shared" si="87"/>
        <v>#DIV/0!</v>
      </c>
      <c r="P657" s="334" t="e">
        <f t="shared" si="88"/>
        <v>#DIV/0!</v>
      </c>
      <c r="Q657" s="334" t="e">
        <f t="shared" si="89"/>
        <v>#DIV/0!</v>
      </c>
    </row>
    <row r="658" spans="2:17" x14ac:dyDescent="0.3">
      <c r="B658" s="333">
        <v>20</v>
      </c>
      <c r="C658" s="333"/>
      <c r="D658" s="333"/>
      <c r="E658" s="333"/>
      <c r="F658" s="333"/>
      <c r="G658" s="333"/>
      <c r="H658" s="333"/>
      <c r="I658" s="333"/>
      <c r="J658" s="333"/>
      <c r="K658" s="333"/>
      <c r="L658" s="360"/>
      <c r="M658" s="333">
        <f t="shared" si="85"/>
        <v>10</v>
      </c>
      <c r="N658" s="333" t="e">
        <f t="shared" si="86"/>
        <v>#DIV/0!</v>
      </c>
      <c r="O658" s="333" t="e">
        <f t="shared" si="87"/>
        <v>#DIV/0!</v>
      </c>
      <c r="P658" s="334" t="e">
        <f t="shared" si="88"/>
        <v>#DIV/0!</v>
      </c>
      <c r="Q658" s="334" t="e">
        <f t="shared" si="89"/>
        <v>#DIV/0!</v>
      </c>
    </row>
    <row r="659" spans="2:17" x14ac:dyDescent="0.3">
      <c r="B659" s="333">
        <v>20</v>
      </c>
      <c r="C659" s="333"/>
      <c r="D659" s="333"/>
      <c r="E659" s="333"/>
      <c r="F659" s="333"/>
      <c r="G659" s="333"/>
      <c r="H659" s="333"/>
      <c r="I659" s="333"/>
      <c r="J659" s="333"/>
      <c r="K659" s="333"/>
      <c r="L659" s="360"/>
      <c r="M659" s="333">
        <f t="shared" si="85"/>
        <v>10</v>
      </c>
      <c r="N659" s="333" t="e">
        <f t="shared" si="86"/>
        <v>#DIV/0!</v>
      </c>
      <c r="O659" s="333" t="e">
        <f t="shared" si="87"/>
        <v>#DIV/0!</v>
      </c>
      <c r="P659" s="334" t="e">
        <f t="shared" si="88"/>
        <v>#DIV/0!</v>
      </c>
      <c r="Q659" s="334" t="e">
        <f t="shared" si="89"/>
        <v>#DIV/0!</v>
      </c>
    </row>
    <row r="660" spans="2:17" x14ac:dyDescent="0.3">
      <c r="B660" s="333">
        <v>20</v>
      </c>
      <c r="C660" s="333"/>
      <c r="D660" s="333"/>
      <c r="E660" s="333"/>
      <c r="F660" s="333"/>
      <c r="G660" s="333"/>
      <c r="H660" s="333"/>
      <c r="I660" s="333"/>
      <c r="J660" s="333"/>
      <c r="K660" s="333"/>
      <c r="L660" s="360"/>
      <c r="M660" s="333">
        <f t="shared" si="85"/>
        <v>10</v>
      </c>
      <c r="N660" s="333" t="e">
        <f t="shared" si="86"/>
        <v>#DIV/0!</v>
      </c>
      <c r="O660" s="333" t="e">
        <f t="shared" si="87"/>
        <v>#DIV/0!</v>
      </c>
      <c r="P660" s="334" t="e">
        <f t="shared" si="88"/>
        <v>#DIV/0!</v>
      </c>
      <c r="Q660" s="334" t="e">
        <f t="shared" si="89"/>
        <v>#DIV/0!</v>
      </c>
    </row>
    <row r="661" spans="2:17" x14ac:dyDescent="0.3">
      <c r="B661" s="333">
        <v>20</v>
      </c>
      <c r="C661" s="333"/>
      <c r="D661" s="333"/>
      <c r="E661" s="333"/>
      <c r="F661" s="333"/>
      <c r="G661" s="333"/>
      <c r="H661" s="333"/>
      <c r="I661" s="333"/>
      <c r="J661" s="333"/>
      <c r="K661" s="333"/>
      <c r="L661" s="360"/>
      <c r="M661" s="333">
        <f t="shared" si="85"/>
        <v>10</v>
      </c>
      <c r="N661" s="333" t="e">
        <f t="shared" si="86"/>
        <v>#DIV/0!</v>
      </c>
      <c r="O661" s="333" t="e">
        <f t="shared" si="87"/>
        <v>#DIV/0!</v>
      </c>
      <c r="P661" s="334" t="e">
        <f t="shared" si="88"/>
        <v>#DIV/0!</v>
      </c>
      <c r="Q661" s="334" t="e">
        <f t="shared" si="89"/>
        <v>#DIV/0!</v>
      </c>
    </row>
    <row r="662" spans="2:17" x14ac:dyDescent="0.3">
      <c r="B662" s="333">
        <v>20</v>
      </c>
      <c r="C662" s="333"/>
      <c r="D662" s="333"/>
      <c r="E662" s="333"/>
      <c r="F662" s="333"/>
      <c r="G662" s="333"/>
      <c r="H662" s="333"/>
      <c r="I662" s="333"/>
      <c r="J662" s="333"/>
      <c r="K662" s="333"/>
      <c r="L662" s="360"/>
      <c r="M662" s="333">
        <f t="shared" si="85"/>
        <v>10</v>
      </c>
      <c r="N662" s="333" t="e">
        <f t="shared" si="86"/>
        <v>#DIV/0!</v>
      </c>
      <c r="O662" s="333" t="e">
        <f t="shared" si="87"/>
        <v>#DIV/0!</v>
      </c>
      <c r="P662" s="334" t="e">
        <f t="shared" si="88"/>
        <v>#DIV/0!</v>
      </c>
      <c r="Q662" s="334" t="e">
        <f t="shared" si="89"/>
        <v>#DIV/0!</v>
      </c>
    </row>
    <row r="663" spans="2:17" x14ac:dyDescent="0.3">
      <c r="B663" s="333">
        <v>20</v>
      </c>
      <c r="C663" s="333"/>
      <c r="D663" s="333"/>
      <c r="E663" s="333"/>
      <c r="F663" s="333"/>
      <c r="G663" s="333"/>
      <c r="H663" s="333"/>
      <c r="I663" s="333"/>
      <c r="J663" s="333"/>
      <c r="K663" s="333"/>
      <c r="L663" s="360"/>
      <c r="M663" s="333">
        <f t="shared" si="85"/>
        <v>10</v>
      </c>
      <c r="N663" s="333" t="e">
        <f t="shared" si="86"/>
        <v>#DIV/0!</v>
      </c>
      <c r="O663" s="333" t="e">
        <f t="shared" si="87"/>
        <v>#DIV/0!</v>
      </c>
      <c r="P663" s="334" t="e">
        <f t="shared" si="88"/>
        <v>#DIV/0!</v>
      </c>
      <c r="Q663" s="334" t="e">
        <f t="shared" si="89"/>
        <v>#DIV/0!</v>
      </c>
    </row>
    <row r="664" spans="2:17" x14ac:dyDescent="0.3">
      <c r="B664" s="333">
        <v>20</v>
      </c>
      <c r="C664" s="333"/>
      <c r="D664" s="333"/>
      <c r="E664" s="333"/>
      <c r="F664" s="333"/>
      <c r="G664" s="333"/>
      <c r="H664" s="333"/>
      <c r="I664" s="333"/>
      <c r="J664" s="333"/>
      <c r="K664" s="333"/>
      <c r="L664" s="360"/>
      <c r="M664" s="333">
        <f t="shared" si="85"/>
        <v>10</v>
      </c>
      <c r="N664" s="333" t="e">
        <f t="shared" si="86"/>
        <v>#DIV/0!</v>
      </c>
      <c r="O664" s="333" t="e">
        <f t="shared" si="87"/>
        <v>#DIV/0!</v>
      </c>
      <c r="P664" s="334" t="e">
        <f t="shared" si="88"/>
        <v>#DIV/0!</v>
      </c>
      <c r="Q664" s="334" t="e">
        <f t="shared" si="89"/>
        <v>#DIV/0!</v>
      </c>
    </row>
    <row r="665" spans="2:17" x14ac:dyDescent="0.3">
      <c r="B665" s="333">
        <v>20</v>
      </c>
      <c r="C665" s="333"/>
      <c r="D665" s="333"/>
      <c r="E665" s="333"/>
      <c r="F665" s="333"/>
      <c r="G665" s="333"/>
      <c r="H665" s="333"/>
      <c r="I665" s="333"/>
      <c r="J665" s="333"/>
      <c r="K665" s="333"/>
      <c r="L665" s="360"/>
      <c r="M665" s="333">
        <f t="shared" si="85"/>
        <v>10</v>
      </c>
      <c r="N665" s="333" t="e">
        <f t="shared" si="86"/>
        <v>#DIV/0!</v>
      </c>
      <c r="O665" s="333" t="e">
        <f t="shared" si="87"/>
        <v>#DIV/0!</v>
      </c>
      <c r="P665" s="334" t="e">
        <f t="shared" si="88"/>
        <v>#DIV/0!</v>
      </c>
      <c r="Q665" s="334" t="e">
        <f t="shared" si="89"/>
        <v>#DIV/0!</v>
      </c>
    </row>
    <row r="666" spans="2:17" x14ac:dyDescent="0.3">
      <c r="B666" s="333">
        <v>20</v>
      </c>
      <c r="C666" s="333"/>
      <c r="D666" s="333"/>
      <c r="E666" s="333"/>
      <c r="F666" s="333"/>
      <c r="G666" s="333"/>
      <c r="H666" s="333"/>
      <c r="I666" s="333"/>
      <c r="J666" s="333"/>
      <c r="K666" s="333"/>
      <c r="L666" s="360"/>
      <c r="M666" s="333">
        <f t="shared" si="85"/>
        <v>10</v>
      </c>
      <c r="N666" s="333" t="e">
        <f t="shared" si="86"/>
        <v>#DIV/0!</v>
      </c>
      <c r="O666" s="333" t="e">
        <f t="shared" si="87"/>
        <v>#DIV/0!</v>
      </c>
      <c r="P666" s="334" t="e">
        <f t="shared" si="88"/>
        <v>#DIV/0!</v>
      </c>
      <c r="Q666" s="334" t="e">
        <f t="shared" si="89"/>
        <v>#DIV/0!</v>
      </c>
    </row>
    <row r="667" spans="2:17" x14ac:dyDescent="0.3">
      <c r="B667" s="333">
        <v>40</v>
      </c>
      <c r="C667" s="333"/>
      <c r="D667" s="333"/>
      <c r="E667" s="333"/>
      <c r="F667" s="333"/>
      <c r="G667" s="333"/>
      <c r="H667" s="333"/>
      <c r="I667" s="333"/>
      <c r="J667" s="333"/>
      <c r="K667" s="333"/>
      <c r="L667" s="360"/>
      <c r="M667" s="333">
        <f t="shared" si="85"/>
        <v>20</v>
      </c>
      <c r="N667" s="333" t="e">
        <f t="shared" si="86"/>
        <v>#DIV/0!</v>
      </c>
      <c r="O667" s="333" t="e">
        <f t="shared" si="87"/>
        <v>#DIV/0!</v>
      </c>
      <c r="P667" s="334" t="e">
        <f t="shared" si="88"/>
        <v>#DIV/0!</v>
      </c>
      <c r="Q667" s="334" t="e">
        <f t="shared" si="89"/>
        <v>#DIV/0!</v>
      </c>
    </row>
    <row r="668" spans="2:17" x14ac:dyDescent="0.3">
      <c r="B668" s="333">
        <v>40</v>
      </c>
      <c r="C668" s="333"/>
      <c r="D668" s="333"/>
      <c r="E668" s="333"/>
      <c r="F668" s="333"/>
      <c r="G668" s="333"/>
      <c r="H668" s="333"/>
      <c r="I668" s="333"/>
      <c r="J668" s="333"/>
      <c r="K668" s="333"/>
      <c r="L668" s="360"/>
      <c r="M668" s="333">
        <f t="shared" si="85"/>
        <v>20</v>
      </c>
      <c r="N668" s="333" t="e">
        <f t="shared" si="86"/>
        <v>#DIV/0!</v>
      </c>
      <c r="O668" s="333" t="e">
        <f t="shared" si="87"/>
        <v>#DIV/0!</v>
      </c>
      <c r="P668" s="334" t="e">
        <f t="shared" si="88"/>
        <v>#DIV/0!</v>
      </c>
      <c r="Q668" s="334" t="e">
        <f t="shared" si="89"/>
        <v>#DIV/0!</v>
      </c>
    </row>
    <row r="669" spans="2:17" x14ac:dyDescent="0.3">
      <c r="B669" s="333">
        <v>40</v>
      </c>
      <c r="C669" s="333"/>
      <c r="D669" s="333"/>
      <c r="E669" s="333"/>
      <c r="F669" s="333"/>
      <c r="G669" s="333"/>
      <c r="H669" s="333"/>
      <c r="I669" s="333"/>
      <c r="J669" s="333"/>
      <c r="K669" s="333"/>
      <c r="L669" s="360"/>
      <c r="M669" s="333">
        <f t="shared" si="85"/>
        <v>20</v>
      </c>
      <c r="N669" s="333" t="e">
        <f t="shared" si="86"/>
        <v>#DIV/0!</v>
      </c>
      <c r="O669" s="333" t="e">
        <f t="shared" si="87"/>
        <v>#DIV/0!</v>
      </c>
      <c r="P669" s="334" t="e">
        <f t="shared" si="88"/>
        <v>#DIV/0!</v>
      </c>
      <c r="Q669" s="334" t="e">
        <f t="shared" si="89"/>
        <v>#DIV/0!</v>
      </c>
    </row>
    <row r="670" spans="2:17" x14ac:dyDescent="0.3">
      <c r="B670" s="333">
        <v>40</v>
      </c>
      <c r="C670" s="333"/>
      <c r="D670" s="333"/>
      <c r="E670" s="333"/>
      <c r="F670" s="333"/>
      <c r="G670" s="333"/>
      <c r="H670" s="333"/>
      <c r="I670" s="333"/>
      <c r="J670" s="333"/>
      <c r="K670" s="333"/>
      <c r="L670" s="360"/>
      <c r="M670" s="333">
        <f t="shared" si="85"/>
        <v>20</v>
      </c>
      <c r="N670" s="333" t="e">
        <f t="shared" si="86"/>
        <v>#DIV/0!</v>
      </c>
      <c r="O670" s="333" t="e">
        <f t="shared" si="87"/>
        <v>#DIV/0!</v>
      </c>
      <c r="P670" s="334" t="e">
        <f t="shared" si="88"/>
        <v>#DIV/0!</v>
      </c>
      <c r="Q670" s="334" t="e">
        <f t="shared" si="89"/>
        <v>#DIV/0!</v>
      </c>
    </row>
    <row r="671" spans="2:17" x14ac:dyDescent="0.3">
      <c r="B671" s="333">
        <v>40</v>
      </c>
      <c r="C671" s="333"/>
      <c r="D671" s="333"/>
      <c r="E671" s="333"/>
      <c r="F671" s="333"/>
      <c r="G671" s="333"/>
      <c r="H671" s="333"/>
      <c r="I671" s="333"/>
      <c r="J671" s="333"/>
      <c r="K671" s="333"/>
      <c r="L671" s="360"/>
      <c r="M671" s="333">
        <f t="shared" ref="M671:M726" si="90">B671/2</f>
        <v>20</v>
      </c>
      <c r="N671" s="333" t="e">
        <f t="shared" si="86"/>
        <v>#DIV/0!</v>
      </c>
      <c r="O671" s="333" t="e">
        <f t="shared" si="87"/>
        <v>#DIV/0!</v>
      </c>
      <c r="P671" s="334" t="e">
        <f t="shared" si="88"/>
        <v>#DIV/0!</v>
      </c>
      <c r="Q671" s="334" t="e">
        <f t="shared" si="89"/>
        <v>#DIV/0!</v>
      </c>
    </row>
    <row r="672" spans="2:17" x14ac:dyDescent="0.3">
      <c r="B672" s="333">
        <v>40</v>
      </c>
      <c r="C672" s="333"/>
      <c r="D672" s="333"/>
      <c r="E672" s="333"/>
      <c r="F672" s="333"/>
      <c r="G672" s="333"/>
      <c r="H672" s="333"/>
      <c r="I672" s="333"/>
      <c r="J672" s="333"/>
      <c r="K672" s="333"/>
      <c r="L672" s="360"/>
      <c r="M672" s="333">
        <f t="shared" si="90"/>
        <v>20</v>
      </c>
      <c r="N672" s="333" t="e">
        <f t="shared" si="86"/>
        <v>#DIV/0!</v>
      </c>
      <c r="O672" s="333" t="e">
        <f t="shared" si="87"/>
        <v>#DIV/0!</v>
      </c>
      <c r="P672" s="334" t="e">
        <f t="shared" si="88"/>
        <v>#DIV/0!</v>
      </c>
      <c r="Q672" s="334" t="e">
        <f t="shared" si="89"/>
        <v>#DIV/0!</v>
      </c>
    </row>
    <row r="673" spans="2:17" x14ac:dyDescent="0.3">
      <c r="B673" s="333">
        <v>40</v>
      </c>
      <c r="C673" s="333"/>
      <c r="D673" s="333"/>
      <c r="E673" s="333"/>
      <c r="F673" s="333"/>
      <c r="G673" s="333"/>
      <c r="H673" s="333"/>
      <c r="I673" s="333"/>
      <c r="J673" s="333"/>
      <c r="K673" s="333"/>
      <c r="L673" s="360"/>
      <c r="M673" s="333">
        <f t="shared" si="90"/>
        <v>20</v>
      </c>
      <c r="N673" s="333" t="e">
        <f t="shared" ref="N673:N726" si="91">(SUM(C673:E673)-SUM($C$192:$E$192))*$F$71</f>
        <v>#DIV/0!</v>
      </c>
      <c r="O673" s="333" t="e">
        <f t="shared" ref="O673:O726" si="92">(SUM(F673:H673)-SUM($F$192:$H$192))*$G$71</f>
        <v>#DIV/0!</v>
      </c>
      <c r="P673" s="334" t="e">
        <f t="shared" ref="P673:P726" si="93">N673-M673</f>
        <v>#DIV/0!</v>
      </c>
      <c r="Q673" s="334" t="e">
        <f t="shared" ref="Q673:Q726" si="94">O673-M673</f>
        <v>#DIV/0!</v>
      </c>
    </row>
    <row r="674" spans="2:17" x14ac:dyDescent="0.3">
      <c r="B674" s="333">
        <v>40</v>
      </c>
      <c r="C674" s="333"/>
      <c r="D674" s="333"/>
      <c r="E674" s="333"/>
      <c r="F674" s="333"/>
      <c r="G674" s="333"/>
      <c r="H674" s="333"/>
      <c r="I674" s="333"/>
      <c r="J674" s="333"/>
      <c r="K674" s="333"/>
      <c r="L674" s="360"/>
      <c r="M674" s="333">
        <f t="shared" si="90"/>
        <v>20</v>
      </c>
      <c r="N674" s="333" t="e">
        <f t="shared" si="91"/>
        <v>#DIV/0!</v>
      </c>
      <c r="O674" s="333" t="e">
        <f t="shared" si="92"/>
        <v>#DIV/0!</v>
      </c>
      <c r="P674" s="334" t="e">
        <f t="shared" si="93"/>
        <v>#DIV/0!</v>
      </c>
      <c r="Q674" s="334" t="e">
        <f t="shared" si="94"/>
        <v>#DIV/0!</v>
      </c>
    </row>
    <row r="675" spans="2:17" x14ac:dyDescent="0.3">
      <c r="B675" s="333">
        <v>40</v>
      </c>
      <c r="C675" s="333"/>
      <c r="D675" s="333"/>
      <c r="E675" s="333"/>
      <c r="F675" s="333"/>
      <c r="G675" s="333"/>
      <c r="H675" s="333"/>
      <c r="I675" s="333"/>
      <c r="J675" s="333"/>
      <c r="K675" s="333"/>
      <c r="L675" s="360"/>
      <c r="M675" s="333">
        <f t="shared" si="90"/>
        <v>20</v>
      </c>
      <c r="N675" s="333" t="e">
        <f t="shared" si="91"/>
        <v>#DIV/0!</v>
      </c>
      <c r="O675" s="333" t="e">
        <f t="shared" si="92"/>
        <v>#DIV/0!</v>
      </c>
      <c r="P675" s="334" t="e">
        <f t="shared" si="93"/>
        <v>#DIV/0!</v>
      </c>
      <c r="Q675" s="334" t="e">
        <f t="shared" si="94"/>
        <v>#DIV/0!</v>
      </c>
    </row>
    <row r="676" spans="2:17" x14ac:dyDescent="0.3">
      <c r="B676" s="333">
        <v>40</v>
      </c>
      <c r="C676" s="333"/>
      <c r="D676" s="333"/>
      <c r="E676" s="333"/>
      <c r="F676" s="333"/>
      <c r="G676" s="333"/>
      <c r="H676" s="333"/>
      <c r="I676" s="333"/>
      <c r="J676" s="333"/>
      <c r="K676" s="333"/>
      <c r="L676" s="360"/>
      <c r="M676" s="333">
        <f t="shared" si="90"/>
        <v>20</v>
      </c>
      <c r="N676" s="333" t="e">
        <f t="shared" si="91"/>
        <v>#DIV/0!</v>
      </c>
      <c r="O676" s="333" t="e">
        <f t="shared" si="92"/>
        <v>#DIV/0!</v>
      </c>
      <c r="P676" s="334" t="e">
        <f t="shared" si="93"/>
        <v>#DIV/0!</v>
      </c>
      <c r="Q676" s="334" t="e">
        <f t="shared" si="94"/>
        <v>#DIV/0!</v>
      </c>
    </row>
    <row r="677" spans="2:17" x14ac:dyDescent="0.3">
      <c r="B677" s="333">
        <v>40</v>
      </c>
      <c r="C677" s="333"/>
      <c r="D677" s="333"/>
      <c r="E677" s="333"/>
      <c r="F677" s="333"/>
      <c r="G677" s="333"/>
      <c r="H677" s="333"/>
      <c r="I677" s="333"/>
      <c r="J677" s="333"/>
      <c r="K677" s="333"/>
      <c r="L677" s="360"/>
      <c r="M677" s="333">
        <f t="shared" si="90"/>
        <v>20</v>
      </c>
      <c r="N677" s="333" t="e">
        <f t="shared" si="91"/>
        <v>#DIV/0!</v>
      </c>
      <c r="O677" s="333" t="e">
        <f t="shared" si="92"/>
        <v>#DIV/0!</v>
      </c>
      <c r="P677" s="334" t="e">
        <f t="shared" si="93"/>
        <v>#DIV/0!</v>
      </c>
      <c r="Q677" s="334" t="e">
        <f t="shared" si="94"/>
        <v>#DIV/0!</v>
      </c>
    </row>
    <row r="678" spans="2:17" x14ac:dyDescent="0.3">
      <c r="B678" s="333">
        <v>40</v>
      </c>
      <c r="C678" s="333"/>
      <c r="D678" s="333"/>
      <c r="E678" s="333"/>
      <c r="F678" s="333"/>
      <c r="G678" s="333"/>
      <c r="H678" s="333"/>
      <c r="I678" s="333"/>
      <c r="J678" s="333"/>
      <c r="K678" s="333"/>
      <c r="L678" s="360"/>
      <c r="M678" s="333">
        <f t="shared" si="90"/>
        <v>20</v>
      </c>
      <c r="N678" s="333" t="e">
        <f t="shared" si="91"/>
        <v>#DIV/0!</v>
      </c>
      <c r="O678" s="333" t="e">
        <f t="shared" si="92"/>
        <v>#DIV/0!</v>
      </c>
      <c r="P678" s="334" t="e">
        <f t="shared" si="93"/>
        <v>#DIV/0!</v>
      </c>
      <c r="Q678" s="334" t="e">
        <f t="shared" si="94"/>
        <v>#DIV/0!</v>
      </c>
    </row>
    <row r="679" spans="2:17" x14ac:dyDescent="0.3">
      <c r="B679" s="333">
        <v>40</v>
      </c>
      <c r="C679" s="333"/>
      <c r="D679" s="333"/>
      <c r="E679" s="333"/>
      <c r="F679" s="333"/>
      <c r="G679" s="333"/>
      <c r="H679" s="333"/>
      <c r="I679" s="333"/>
      <c r="J679" s="333"/>
      <c r="K679" s="333"/>
      <c r="L679" s="360"/>
      <c r="M679" s="333">
        <f t="shared" si="90"/>
        <v>20</v>
      </c>
      <c r="N679" s="333" t="e">
        <f t="shared" si="91"/>
        <v>#DIV/0!</v>
      </c>
      <c r="O679" s="333" t="e">
        <f t="shared" si="92"/>
        <v>#DIV/0!</v>
      </c>
      <c r="P679" s="334" t="e">
        <f t="shared" si="93"/>
        <v>#DIV/0!</v>
      </c>
      <c r="Q679" s="334" t="e">
        <f t="shared" si="94"/>
        <v>#DIV/0!</v>
      </c>
    </row>
    <row r="680" spans="2:17" x14ac:dyDescent="0.3">
      <c r="B680" s="333">
        <v>40</v>
      </c>
      <c r="C680" s="333"/>
      <c r="D680" s="333"/>
      <c r="E680" s="333"/>
      <c r="F680" s="333"/>
      <c r="G680" s="333"/>
      <c r="H680" s="333"/>
      <c r="I680" s="333"/>
      <c r="J680" s="333"/>
      <c r="K680" s="333"/>
      <c r="L680" s="360"/>
      <c r="M680" s="333">
        <f t="shared" si="90"/>
        <v>20</v>
      </c>
      <c r="N680" s="333" t="e">
        <f t="shared" si="91"/>
        <v>#DIV/0!</v>
      </c>
      <c r="O680" s="333" t="e">
        <f t="shared" si="92"/>
        <v>#DIV/0!</v>
      </c>
      <c r="P680" s="334" t="e">
        <f t="shared" si="93"/>
        <v>#DIV/0!</v>
      </c>
      <c r="Q680" s="334" t="e">
        <f t="shared" si="94"/>
        <v>#DIV/0!</v>
      </c>
    </row>
    <row r="681" spans="2:17" x14ac:dyDescent="0.3">
      <c r="B681" s="333">
        <v>40</v>
      </c>
      <c r="C681" s="333"/>
      <c r="D681" s="333"/>
      <c r="E681" s="333"/>
      <c r="F681" s="333"/>
      <c r="G681" s="333"/>
      <c r="H681" s="333"/>
      <c r="I681" s="333"/>
      <c r="J681" s="333"/>
      <c r="K681" s="333"/>
      <c r="L681" s="360"/>
      <c r="M681" s="333">
        <f t="shared" si="90"/>
        <v>20</v>
      </c>
      <c r="N681" s="333" t="e">
        <f t="shared" si="91"/>
        <v>#DIV/0!</v>
      </c>
      <c r="O681" s="333" t="e">
        <f t="shared" si="92"/>
        <v>#DIV/0!</v>
      </c>
      <c r="P681" s="334" t="e">
        <f t="shared" si="93"/>
        <v>#DIV/0!</v>
      </c>
      <c r="Q681" s="334" t="e">
        <f t="shared" si="94"/>
        <v>#DIV/0!</v>
      </c>
    </row>
    <row r="682" spans="2:17" x14ac:dyDescent="0.3">
      <c r="B682" s="333">
        <v>40</v>
      </c>
      <c r="C682" s="333"/>
      <c r="D682" s="333"/>
      <c r="E682" s="333"/>
      <c r="F682" s="333"/>
      <c r="G682" s="333"/>
      <c r="H682" s="333"/>
      <c r="I682" s="333"/>
      <c r="J682" s="333"/>
      <c r="K682" s="333"/>
      <c r="L682" s="360"/>
      <c r="M682" s="333">
        <f t="shared" si="90"/>
        <v>20</v>
      </c>
      <c r="N682" s="333" t="e">
        <f t="shared" si="91"/>
        <v>#DIV/0!</v>
      </c>
      <c r="O682" s="333" t="e">
        <f t="shared" si="92"/>
        <v>#DIV/0!</v>
      </c>
      <c r="P682" s="334" t="e">
        <f t="shared" si="93"/>
        <v>#DIV/0!</v>
      </c>
      <c r="Q682" s="334" t="e">
        <f t="shared" si="94"/>
        <v>#DIV/0!</v>
      </c>
    </row>
    <row r="683" spans="2:17" x14ac:dyDescent="0.3">
      <c r="B683" s="333">
        <v>40</v>
      </c>
      <c r="C683" s="333"/>
      <c r="D683" s="333"/>
      <c r="E683" s="333"/>
      <c r="F683" s="333"/>
      <c r="G683" s="333"/>
      <c r="H683" s="333"/>
      <c r="I683" s="333"/>
      <c r="J683" s="333"/>
      <c r="K683" s="333"/>
      <c r="L683" s="360"/>
      <c r="M683" s="333">
        <f t="shared" si="90"/>
        <v>20</v>
      </c>
      <c r="N683" s="333" t="e">
        <f t="shared" si="91"/>
        <v>#DIV/0!</v>
      </c>
      <c r="O683" s="333" t="e">
        <f t="shared" si="92"/>
        <v>#DIV/0!</v>
      </c>
      <c r="P683" s="334" t="e">
        <f t="shared" si="93"/>
        <v>#DIV/0!</v>
      </c>
      <c r="Q683" s="334" t="e">
        <f t="shared" si="94"/>
        <v>#DIV/0!</v>
      </c>
    </row>
    <row r="684" spans="2:17" x14ac:dyDescent="0.3">
      <c r="B684" s="333">
        <v>40</v>
      </c>
      <c r="C684" s="333"/>
      <c r="D684" s="333"/>
      <c r="E684" s="333"/>
      <c r="F684" s="333"/>
      <c r="G684" s="333"/>
      <c r="H684" s="333"/>
      <c r="I684" s="333"/>
      <c r="J684" s="333"/>
      <c r="K684" s="333"/>
      <c r="L684" s="360"/>
      <c r="M684" s="333">
        <f t="shared" si="90"/>
        <v>20</v>
      </c>
      <c r="N684" s="333" t="e">
        <f t="shared" si="91"/>
        <v>#DIV/0!</v>
      </c>
      <c r="O684" s="333" t="e">
        <f t="shared" si="92"/>
        <v>#DIV/0!</v>
      </c>
      <c r="P684" s="334" t="e">
        <f t="shared" si="93"/>
        <v>#DIV/0!</v>
      </c>
      <c r="Q684" s="334" t="e">
        <f t="shared" si="94"/>
        <v>#DIV/0!</v>
      </c>
    </row>
    <row r="685" spans="2:17" x14ac:dyDescent="0.3">
      <c r="B685" s="333">
        <v>40</v>
      </c>
      <c r="C685" s="333"/>
      <c r="D685" s="333"/>
      <c r="E685" s="333"/>
      <c r="F685" s="333"/>
      <c r="G685" s="333"/>
      <c r="H685" s="333"/>
      <c r="I685" s="333"/>
      <c r="J685" s="333"/>
      <c r="K685" s="333"/>
      <c r="L685" s="360"/>
      <c r="M685" s="333">
        <f t="shared" si="90"/>
        <v>20</v>
      </c>
      <c r="N685" s="333" t="e">
        <f t="shared" si="91"/>
        <v>#DIV/0!</v>
      </c>
      <c r="O685" s="333" t="e">
        <f t="shared" si="92"/>
        <v>#DIV/0!</v>
      </c>
      <c r="P685" s="334" t="e">
        <f t="shared" si="93"/>
        <v>#DIV/0!</v>
      </c>
      <c r="Q685" s="334" t="e">
        <f t="shared" si="94"/>
        <v>#DIV/0!</v>
      </c>
    </row>
    <row r="686" spans="2:17" x14ac:dyDescent="0.3">
      <c r="B686" s="333">
        <v>40</v>
      </c>
      <c r="C686" s="333"/>
      <c r="D686" s="333"/>
      <c r="E686" s="333"/>
      <c r="F686" s="333"/>
      <c r="G686" s="333"/>
      <c r="H686" s="333"/>
      <c r="I686" s="333"/>
      <c r="J686" s="333"/>
      <c r="K686" s="333"/>
      <c r="L686" s="360"/>
      <c r="M686" s="333">
        <f t="shared" si="90"/>
        <v>20</v>
      </c>
      <c r="N686" s="333" t="e">
        <f t="shared" si="91"/>
        <v>#DIV/0!</v>
      </c>
      <c r="O686" s="333" t="e">
        <f t="shared" si="92"/>
        <v>#DIV/0!</v>
      </c>
      <c r="P686" s="334" t="e">
        <f t="shared" si="93"/>
        <v>#DIV/0!</v>
      </c>
      <c r="Q686" s="334" t="e">
        <f t="shared" si="94"/>
        <v>#DIV/0!</v>
      </c>
    </row>
    <row r="687" spans="2:17" x14ac:dyDescent="0.3">
      <c r="B687" s="333">
        <v>60</v>
      </c>
      <c r="C687" s="333"/>
      <c r="D687" s="333"/>
      <c r="E687" s="333"/>
      <c r="F687" s="333"/>
      <c r="G687" s="333"/>
      <c r="H687" s="333"/>
      <c r="I687" s="333"/>
      <c r="J687" s="333"/>
      <c r="K687" s="333"/>
      <c r="L687" s="360"/>
      <c r="M687" s="333">
        <f t="shared" si="90"/>
        <v>30</v>
      </c>
      <c r="N687" s="333" t="e">
        <f t="shared" si="91"/>
        <v>#DIV/0!</v>
      </c>
      <c r="O687" s="333" t="e">
        <f t="shared" si="92"/>
        <v>#DIV/0!</v>
      </c>
      <c r="P687" s="334" t="e">
        <f t="shared" si="93"/>
        <v>#DIV/0!</v>
      </c>
      <c r="Q687" s="334" t="e">
        <f t="shared" si="94"/>
        <v>#DIV/0!</v>
      </c>
    </row>
    <row r="688" spans="2:17" x14ac:dyDescent="0.3">
      <c r="B688" s="333">
        <v>60</v>
      </c>
      <c r="C688" s="333"/>
      <c r="D688" s="333"/>
      <c r="E688" s="333"/>
      <c r="F688" s="333"/>
      <c r="G688" s="333"/>
      <c r="H688" s="333"/>
      <c r="I688" s="333"/>
      <c r="J688" s="333"/>
      <c r="K688" s="333"/>
      <c r="L688" s="360"/>
      <c r="M688" s="333">
        <f t="shared" si="90"/>
        <v>30</v>
      </c>
      <c r="N688" s="333" t="e">
        <f t="shared" si="91"/>
        <v>#DIV/0!</v>
      </c>
      <c r="O688" s="333" t="e">
        <f t="shared" si="92"/>
        <v>#DIV/0!</v>
      </c>
      <c r="P688" s="334" t="e">
        <f t="shared" si="93"/>
        <v>#DIV/0!</v>
      </c>
      <c r="Q688" s="334" t="e">
        <f t="shared" si="94"/>
        <v>#DIV/0!</v>
      </c>
    </row>
    <row r="689" spans="2:17" x14ac:dyDescent="0.3">
      <c r="B689" s="333">
        <v>60</v>
      </c>
      <c r="C689" s="333"/>
      <c r="D689" s="333"/>
      <c r="E689" s="333"/>
      <c r="F689" s="333"/>
      <c r="G689" s="333"/>
      <c r="H689" s="333"/>
      <c r="I689" s="333"/>
      <c r="J689" s="333"/>
      <c r="K689" s="333"/>
      <c r="L689" s="360"/>
      <c r="M689" s="333">
        <f t="shared" si="90"/>
        <v>30</v>
      </c>
      <c r="N689" s="333" t="e">
        <f t="shared" si="91"/>
        <v>#DIV/0!</v>
      </c>
      <c r="O689" s="333" t="e">
        <f t="shared" si="92"/>
        <v>#DIV/0!</v>
      </c>
      <c r="P689" s="334" t="e">
        <f t="shared" si="93"/>
        <v>#DIV/0!</v>
      </c>
      <c r="Q689" s="334" t="e">
        <f t="shared" si="94"/>
        <v>#DIV/0!</v>
      </c>
    </row>
    <row r="690" spans="2:17" x14ac:dyDescent="0.3">
      <c r="B690" s="333">
        <v>60</v>
      </c>
      <c r="C690" s="333"/>
      <c r="D690" s="333"/>
      <c r="E690" s="333"/>
      <c r="F690" s="333"/>
      <c r="G690" s="333"/>
      <c r="H690" s="333"/>
      <c r="I690" s="333"/>
      <c r="J690" s="333"/>
      <c r="K690" s="333"/>
      <c r="L690" s="360"/>
      <c r="M690" s="333">
        <f t="shared" si="90"/>
        <v>30</v>
      </c>
      <c r="N690" s="333" t="e">
        <f t="shared" si="91"/>
        <v>#DIV/0!</v>
      </c>
      <c r="O690" s="333" t="e">
        <f t="shared" si="92"/>
        <v>#DIV/0!</v>
      </c>
      <c r="P690" s="334" t="e">
        <f t="shared" si="93"/>
        <v>#DIV/0!</v>
      </c>
      <c r="Q690" s="334" t="e">
        <f t="shared" si="94"/>
        <v>#DIV/0!</v>
      </c>
    </row>
    <row r="691" spans="2:17" x14ac:dyDescent="0.3">
      <c r="B691" s="333">
        <v>60</v>
      </c>
      <c r="C691" s="333"/>
      <c r="D691" s="333"/>
      <c r="E691" s="333"/>
      <c r="F691" s="333"/>
      <c r="G691" s="333"/>
      <c r="H691" s="333"/>
      <c r="I691" s="333"/>
      <c r="J691" s="333"/>
      <c r="K691" s="333"/>
      <c r="L691" s="360"/>
      <c r="M691" s="333">
        <f t="shared" si="90"/>
        <v>30</v>
      </c>
      <c r="N691" s="333" t="e">
        <f t="shared" si="91"/>
        <v>#DIV/0!</v>
      </c>
      <c r="O691" s="333" t="e">
        <f t="shared" si="92"/>
        <v>#DIV/0!</v>
      </c>
      <c r="P691" s="334" t="e">
        <f t="shared" si="93"/>
        <v>#DIV/0!</v>
      </c>
      <c r="Q691" s="334" t="e">
        <f t="shared" si="94"/>
        <v>#DIV/0!</v>
      </c>
    </row>
    <row r="692" spans="2:17" x14ac:dyDescent="0.3">
      <c r="B692" s="333">
        <v>60</v>
      </c>
      <c r="C692" s="333"/>
      <c r="D692" s="333"/>
      <c r="E692" s="333"/>
      <c r="F692" s="333"/>
      <c r="G692" s="333"/>
      <c r="H692" s="333"/>
      <c r="I692" s="333"/>
      <c r="J692" s="333"/>
      <c r="K692" s="333"/>
      <c r="L692" s="360"/>
      <c r="M692" s="333">
        <f t="shared" si="90"/>
        <v>30</v>
      </c>
      <c r="N692" s="333" t="e">
        <f t="shared" si="91"/>
        <v>#DIV/0!</v>
      </c>
      <c r="O692" s="333" t="e">
        <f t="shared" si="92"/>
        <v>#DIV/0!</v>
      </c>
      <c r="P692" s="334" t="e">
        <f t="shared" si="93"/>
        <v>#DIV/0!</v>
      </c>
      <c r="Q692" s="334" t="e">
        <f t="shared" si="94"/>
        <v>#DIV/0!</v>
      </c>
    </row>
    <row r="693" spans="2:17" x14ac:dyDescent="0.3">
      <c r="B693" s="333">
        <v>60</v>
      </c>
      <c r="C693" s="333"/>
      <c r="D693" s="333"/>
      <c r="E693" s="333"/>
      <c r="F693" s="333"/>
      <c r="G693" s="333"/>
      <c r="H693" s="333"/>
      <c r="I693" s="333"/>
      <c r="J693" s="333"/>
      <c r="K693" s="333"/>
      <c r="L693" s="360"/>
      <c r="M693" s="333">
        <f t="shared" si="90"/>
        <v>30</v>
      </c>
      <c r="N693" s="333" t="e">
        <f t="shared" si="91"/>
        <v>#DIV/0!</v>
      </c>
      <c r="O693" s="333" t="e">
        <f t="shared" si="92"/>
        <v>#DIV/0!</v>
      </c>
      <c r="P693" s="334" t="e">
        <f t="shared" si="93"/>
        <v>#DIV/0!</v>
      </c>
      <c r="Q693" s="334" t="e">
        <f t="shared" si="94"/>
        <v>#DIV/0!</v>
      </c>
    </row>
    <row r="694" spans="2:17" x14ac:dyDescent="0.3">
      <c r="B694" s="333">
        <v>60</v>
      </c>
      <c r="C694" s="333"/>
      <c r="D694" s="333"/>
      <c r="E694" s="333"/>
      <c r="F694" s="333"/>
      <c r="G694" s="333"/>
      <c r="H694" s="333"/>
      <c r="I694" s="333"/>
      <c r="J694" s="333"/>
      <c r="K694" s="333"/>
      <c r="L694" s="360"/>
      <c r="M694" s="333">
        <f t="shared" si="90"/>
        <v>30</v>
      </c>
      <c r="N694" s="333" t="e">
        <f t="shared" si="91"/>
        <v>#DIV/0!</v>
      </c>
      <c r="O694" s="333" t="e">
        <f t="shared" si="92"/>
        <v>#DIV/0!</v>
      </c>
      <c r="P694" s="334" t="e">
        <f t="shared" si="93"/>
        <v>#DIV/0!</v>
      </c>
      <c r="Q694" s="334" t="e">
        <f t="shared" si="94"/>
        <v>#DIV/0!</v>
      </c>
    </row>
    <row r="695" spans="2:17" x14ac:dyDescent="0.3">
      <c r="B695" s="333">
        <v>60</v>
      </c>
      <c r="C695" s="333"/>
      <c r="D695" s="333"/>
      <c r="E695" s="333"/>
      <c r="F695" s="333"/>
      <c r="G695" s="333"/>
      <c r="H695" s="333"/>
      <c r="I695" s="333"/>
      <c r="J695" s="333"/>
      <c r="K695" s="333"/>
      <c r="L695" s="360"/>
      <c r="M695" s="333">
        <f t="shared" si="90"/>
        <v>30</v>
      </c>
      <c r="N695" s="333" t="e">
        <f t="shared" si="91"/>
        <v>#DIV/0!</v>
      </c>
      <c r="O695" s="333" t="e">
        <f t="shared" si="92"/>
        <v>#DIV/0!</v>
      </c>
      <c r="P695" s="334" t="e">
        <f t="shared" si="93"/>
        <v>#DIV/0!</v>
      </c>
      <c r="Q695" s="334" t="e">
        <f t="shared" si="94"/>
        <v>#DIV/0!</v>
      </c>
    </row>
    <row r="696" spans="2:17" x14ac:dyDescent="0.3">
      <c r="B696" s="333">
        <v>60</v>
      </c>
      <c r="C696" s="333"/>
      <c r="D696" s="333"/>
      <c r="E696" s="333"/>
      <c r="F696" s="333"/>
      <c r="G696" s="333"/>
      <c r="H696" s="333"/>
      <c r="I696" s="333"/>
      <c r="J696" s="333"/>
      <c r="K696" s="333"/>
      <c r="L696" s="360"/>
      <c r="M696" s="333">
        <f t="shared" si="90"/>
        <v>30</v>
      </c>
      <c r="N696" s="333" t="e">
        <f t="shared" si="91"/>
        <v>#DIV/0!</v>
      </c>
      <c r="O696" s="333" t="e">
        <f t="shared" si="92"/>
        <v>#DIV/0!</v>
      </c>
      <c r="P696" s="334" t="e">
        <f t="shared" si="93"/>
        <v>#DIV/0!</v>
      </c>
      <c r="Q696" s="334" t="e">
        <f t="shared" si="94"/>
        <v>#DIV/0!</v>
      </c>
    </row>
    <row r="697" spans="2:17" x14ac:dyDescent="0.3">
      <c r="B697" s="333">
        <v>60</v>
      </c>
      <c r="C697" s="333"/>
      <c r="D697" s="333"/>
      <c r="E697" s="333"/>
      <c r="F697" s="333"/>
      <c r="G697" s="333"/>
      <c r="H697" s="333"/>
      <c r="I697" s="333"/>
      <c r="J697" s="333"/>
      <c r="K697" s="333"/>
      <c r="L697" s="360"/>
      <c r="M697" s="333">
        <f t="shared" si="90"/>
        <v>30</v>
      </c>
      <c r="N697" s="333" t="e">
        <f t="shared" si="91"/>
        <v>#DIV/0!</v>
      </c>
      <c r="O697" s="333" t="e">
        <f t="shared" si="92"/>
        <v>#DIV/0!</v>
      </c>
      <c r="P697" s="334" t="e">
        <f t="shared" si="93"/>
        <v>#DIV/0!</v>
      </c>
      <c r="Q697" s="334" t="e">
        <f t="shared" si="94"/>
        <v>#DIV/0!</v>
      </c>
    </row>
    <row r="698" spans="2:17" x14ac:dyDescent="0.3">
      <c r="B698" s="333">
        <v>60</v>
      </c>
      <c r="C698" s="333"/>
      <c r="D698" s="333"/>
      <c r="E698" s="333"/>
      <c r="F698" s="333"/>
      <c r="G698" s="333"/>
      <c r="H698" s="333"/>
      <c r="I698" s="333"/>
      <c r="J698" s="333"/>
      <c r="K698" s="333"/>
      <c r="L698" s="360"/>
      <c r="M698" s="333">
        <f t="shared" si="90"/>
        <v>30</v>
      </c>
      <c r="N698" s="333" t="e">
        <f t="shared" si="91"/>
        <v>#DIV/0!</v>
      </c>
      <c r="O698" s="333" t="e">
        <f t="shared" si="92"/>
        <v>#DIV/0!</v>
      </c>
      <c r="P698" s="334" t="e">
        <f t="shared" si="93"/>
        <v>#DIV/0!</v>
      </c>
      <c r="Q698" s="334" t="e">
        <f t="shared" si="94"/>
        <v>#DIV/0!</v>
      </c>
    </row>
    <row r="699" spans="2:17" x14ac:dyDescent="0.3">
      <c r="B699" s="333">
        <v>60</v>
      </c>
      <c r="C699" s="333"/>
      <c r="D699" s="333"/>
      <c r="E699" s="333"/>
      <c r="F699" s="333"/>
      <c r="G699" s="333"/>
      <c r="H699" s="333"/>
      <c r="I699" s="333"/>
      <c r="J699" s="333"/>
      <c r="K699" s="333"/>
      <c r="L699" s="360"/>
      <c r="M699" s="333">
        <f t="shared" si="90"/>
        <v>30</v>
      </c>
      <c r="N699" s="333" t="e">
        <f t="shared" si="91"/>
        <v>#DIV/0!</v>
      </c>
      <c r="O699" s="333" t="e">
        <f t="shared" si="92"/>
        <v>#DIV/0!</v>
      </c>
      <c r="P699" s="334" t="e">
        <f t="shared" si="93"/>
        <v>#DIV/0!</v>
      </c>
      <c r="Q699" s="334" t="e">
        <f t="shared" si="94"/>
        <v>#DIV/0!</v>
      </c>
    </row>
    <row r="700" spans="2:17" x14ac:dyDescent="0.3">
      <c r="B700" s="333">
        <v>60</v>
      </c>
      <c r="C700" s="333"/>
      <c r="D700" s="333"/>
      <c r="E700" s="333"/>
      <c r="F700" s="333"/>
      <c r="G700" s="333"/>
      <c r="H700" s="333"/>
      <c r="I700" s="333"/>
      <c r="J700" s="333"/>
      <c r="K700" s="333"/>
      <c r="L700" s="360"/>
      <c r="M700" s="333">
        <f t="shared" si="90"/>
        <v>30</v>
      </c>
      <c r="N700" s="333" t="e">
        <f t="shared" si="91"/>
        <v>#DIV/0!</v>
      </c>
      <c r="O700" s="333" t="e">
        <f t="shared" si="92"/>
        <v>#DIV/0!</v>
      </c>
      <c r="P700" s="334" t="e">
        <f t="shared" si="93"/>
        <v>#DIV/0!</v>
      </c>
      <c r="Q700" s="334" t="e">
        <f t="shared" si="94"/>
        <v>#DIV/0!</v>
      </c>
    </row>
    <row r="701" spans="2:17" x14ac:dyDescent="0.3">
      <c r="B701" s="333">
        <v>60</v>
      </c>
      <c r="C701" s="333"/>
      <c r="D701" s="333"/>
      <c r="E701" s="333"/>
      <c r="F701" s="333"/>
      <c r="G701" s="333"/>
      <c r="H701" s="333"/>
      <c r="I701" s="333"/>
      <c r="J701" s="333"/>
      <c r="K701" s="333"/>
      <c r="L701" s="360"/>
      <c r="M701" s="333">
        <f t="shared" si="90"/>
        <v>30</v>
      </c>
      <c r="N701" s="333" t="e">
        <f t="shared" si="91"/>
        <v>#DIV/0!</v>
      </c>
      <c r="O701" s="333" t="e">
        <f t="shared" si="92"/>
        <v>#DIV/0!</v>
      </c>
      <c r="P701" s="334" t="e">
        <f t="shared" si="93"/>
        <v>#DIV/0!</v>
      </c>
      <c r="Q701" s="334" t="e">
        <f t="shared" si="94"/>
        <v>#DIV/0!</v>
      </c>
    </row>
    <row r="702" spans="2:17" x14ac:dyDescent="0.3">
      <c r="B702" s="333">
        <v>60</v>
      </c>
      <c r="C702" s="333"/>
      <c r="D702" s="333"/>
      <c r="E702" s="333"/>
      <c r="F702" s="333"/>
      <c r="G702" s="333"/>
      <c r="H702" s="333"/>
      <c r="I702" s="333"/>
      <c r="J702" s="333"/>
      <c r="K702" s="333"/>
      <c r="L702" s="360"/>
      <c r="M702" s="333">
        <f t="shared" si="90"/>
        <v>30</v>
      </c>
      <c r="N702" s="333" t="e">
        <f t="shared" si="91"/>
        <v>#DIV/0!</v>
      </c>
      <c r="O702" s="333" t="e">
        <f t="shared" si="92"/>
        <v>#DIV/0!</v>
      </c>
      <c r="P702" s="334" t="e">
        <f t="shared" si="93"/>
        <v>#DIV/0!</v>
      </c>
      <c r="Q702" s="334" t="e">
        <f t="shared" si="94"/>
        <v>#DIV/0!</v>
      </c>
    </row>
    <row r="703" spans="2:17" x14ac:dyDescent="0.3">
      <c r="B703" s="333">
        <v>60</v>
      </c>
      <c r="C703" s="333"/>
      <c r="D703" s="333"/>
      <c r="E703" s="333"/>
      <c r="F703" s="333"/>
      <c r="G703" s="333"/>
      <c r="H703" s="333"/>
      <c r="I703" s="333"/>
      <c r="J703" s="333"/>
      <c r="K703" s="333"/>
      <c r="L703" s="360"/>
      <c r="M703" s="333">
        <f t="shared" si="90"/>
        <v>30</v>
      </c>
      <c r="N703" s="333" t="e">
        <f t="shared" si="91"/>
        <v>#DIV/0!</v>
      </c>
      <c r="O703" s="333" t="e">
        <f t="shared" si="92"/>
        <v>#DIV/0!</v>
      </c>
      <c r="P703" s="334" t="e">
        <f t="shared" si="93"/>
        <v>#DIV/0!</v>
      </c>
      <c r="Q703" s="334" t="e">
        <f t="shared" si="94"/>
        <v>#DIV/0!</v>
      </c>
    </row>
    <row r="704" spans="2:17" x14ac:dyDescent="0.3">
      <c r="B704" s="333">
        <v>60</v>
      </c>
      <c r="C704" s="333"/>
      <c r="D704" s="333"/>
      <c r="E704" s="333"/>
      <c r="F704" s="333"/>
      <c r="G704" s="333"/>
      <c r="H704" s="333"/>
      <c r="I704" s="333"/>
      <c r="J704" s="333"/>
      <c r="K704" s="333"/>
      <c r="L704" s="360"/>
      <c r="M704" s="333">
        <f t="shared" si="90"/>
        <v>30</v>
      </c>
      <c r="N704" s="333" t="e">
        <f t="shared" si="91"/>
        <v>#DIV/0!</v>
      </c>
      <c r="O704" s="333" t="e">
        <f t="shared" si="92"/>
        <v>#DIV/0!</v>
      </c>
      <c r="P704" s="334" t="e">
        <f t="shared" si="93"/>
        <v>#DIV/0!</v>
      </c>
      <c r="Q704" s="334" t="e">
        <f t="shared" si="94"/>
        <v>#DIV/0!</v>
      </c>
    </row>
    <row r="705" spans="2:17" x14ac:dyDescent="0.3">
      <c r="B705" s="333">
        <v>60</v>
      </c>
      <c r="C705" s="333"/>
      <c r="D705" s="333"/>
      <c r="E705" s="333"/>
      <c r="F705" s="333"/>
      <c r="G705" s="333"/>
      <c r="H705" s="333"/>
      <c r="I705" s="333"/>
      <c r="J705" s="333"/>
      <c r="K705" s="333"/>
      <c r="L705" s="360"/>
      <c r="M705" s="333">
        <f t="shared" si="90"/>
        <v>30</v>
      </c>
      <c r="N705" s="333" t="e">
        <f t="shared" si="91"/>
        <v>#DIV/0!</v>
      </c>
      <c r="O705" s="333" t="e">
        <f t="shared" si="92"/>
        <v>#DIV/0!</v>
      </c>
      <c r="P705" s="334" t="e">
        <f t="shared" si="93"/>
        <v>#DIV/0!</v>
      </c>
      <c r="Q705" s="334" t="e">
        <f t="shared" si="94"/>
        <v>#DIV/0!</v>
      </c>
    </row>
    <row r="706" spans="2:17" x14ac:dyDescent="0.3">
      <c r="B706" s="333">
        <v>60</v>
      </c>
      <c r="C706" s="333"/>
      <c r="D706" s="333"/>
      <c r="E706" s="333"/>
      <c r="F706" s="333"/>
      <c r="G706" s="333"/>
      <c r="H706" s="333"/>
      <c r="I706" s="333"/>
      <c r="J706" s="333"/>
      <c r="K706" s="333"/>
      <c r="L706" s="360"/>
      <c r="M706" s="333">
        <f t="shared" si="90"/>
        <v>30</v>
      </c>
      <c r="N706" s="333" t="e">
        <f t="shared" si="91"/>
        <v>#DIV/0!</v>
      </c>
      <c r="O706" s="333" t="e">
        <f t="shared" si="92"/>
        <v>#DIV/0!</v>
      </c>
      <c r="P706" s="334" t="e">
        <f t="shared" si="93"/>
        <v>#DIV/0!</v>
      </c>
      <c r="Q706" s="334" t="e">
        <f t="shared" si="94"/>
        <v>#DIV/0!</v>
      </c>
    </row>
    <row r="707" spans="2:17" x14ac:dyDescent="0.3">
      <c r="B707" s="333">
        <v>80</v>
      </c>
      <c r="C707" s="333"/>
      <c r="D707" s="333"/>
      <c r="E707" s="333"/>
      <c r="F707" s="333"/>
      <c r="G707" s="333"/>
      <c r="H707" s="333"/>
      <c r="I707" s="333"/>
      <c r="J707" s="333"/>
      <c r="K707" s="333"/>
      <c r="L707" s="360"/>
      <c r="M707" s="333">
        <f t="shared" si="90"/>
        <v>40</v>
      </c>
      <c r="N707" s="333" t="e">
        <f t="shared" si="91"/>
        <v>#DIV/0!</v>
      </c>
      <c r="O707" s="333" t="e">
        <f t="shared" si="92"/>
        <v>#DIV/0!</v>
      </c>
      <c r="P707" s="334" t="e">
        <f t="shared" si="93"/>
        <v>#DIV/0!</v>
      </c>
      <c r="Q707" s="334" t="e">
        <f t="shared" si="94"/>
        <v>#DIV/0!</v>
      </c>
    </row>
    <row r="708" spans="2:17" x14ac:dyDescent="0.3">
      <c r="B708" s="333">
        <v>80</v>
      </c>
      <c r="C708" s="333"/>
      <c r="D708" s="333"/>
      <c r="E708" s="333"/>
      <c r="F708" s="333"/>
      <c r="G708" s="333"/>
      <c r="H708" s="333"/>
      <c r="I708" s="333"/>
      <c r="J708" s="333"/>
      <c r="K708" s="333"/>
      <c r="L708" s="360"/>
      <c r="M708" s="333">
        <f t="shared" si="90"/>
        <v>40</v>
      </c>
      <c r="N708" s="333" t="e">
        <f t="shared" si="91"/>
        <v>#DIV/0!</v>
      </c>
      <c r="O708" s="333" t="e">
        <f t="shared" si="92"/>
        <v>#DIV/0!</v>
      </c>
      <c r="P708" s="334" t="e">
        <f t="shared" si="93"/>
        <v>#DIV/0!</v>
      </c>
      <c r="Q708" s="334" t="e">
        <f t="shared" si="94"/>
        <v>#DIV/0!</v>
      </c>
    </row>
    <row r="709" spans="2:17" x14ac:dyDescent="0.3">
      <c r="B709" s="333">
        <v>80</v>
      </c>
      <c r="C709" s="333"/>
      <c r="D709" s="333"/>
      <c r="E709" s="333"/>
      <c r="F709" s="333"/>
      <c r="G709" s="333"/>
      <c r="H709" s="333"/>
      <c r="I709" s="333"/>
      <c r="J709" s="333"/>
      <c r="K709" s="333"/>
      <c r="L709" s="360"/>
      <c r="M709" s="333">
        <f t="shared" si="90"/>
        <v>40</v>
      </c>
      <c r="N709" s="333" t="e">
        <f t="shared" si="91"/>
        <v>#DIV/0!</v>
      </c>
      <c r="O709" s="333" t="e">
        <f t="shared" si="92"/>
        <v>#DIV/0!</v>
      </c>
      <c r="P709" s="334" t="e">
        <f t="shared" si="93"/>
        <v>#DIV/0!</v>
      </c>
      <c r="Q709" s="334" t="e">
        <f t="shared" si="94"/>
        <v>#DIV/0!</v>
      </c>
    </row>
    <row r="710" spans="2:17" x14ac:dyDescent="0.3">
      <c r="B710" s="333">
        <v>80</v>
      </c>
      <c r="C710" s="333"/>
      <c r="D710" s="333"/>
      <c r="E710" s="333"/>
      <c r="F710" s="333"/>
      <c r="G710" s="333"/>
      <c r="H710" s="333"/>
      <c r="I710" s="333"/>
      <c r="J710" s="333"/>
      <c r="K710" s="333"/>
      <c r="L710" s="360"/>
      <c r="M710" s="333">
        <f t="shared" si="90"/>
        <v>40</v>
      </c>
      <c r="N710" s="333" t="e">
        <f t="shared" si="91"/>
        <v>#DIV/0!</v>
      </c>
      <c r="O710" s="333" t="e">
        <f t="shared" si="92"/>
        <v>#DIV/0!</v>
      </c>
      <c r="P710" s="334" t="e">
        <f t="shared" si="93"/>
        <v>#DIV/0!</v>
      </c>
      <c r="Q710" s="334" t="e">
        <f t="shared" si="94"/>
        <v>#DIV/0!</v>
      </c>
    </row>
    <row r="711" spans="2:17" x14ac:dyDescent="0.3">
      <c r="B711" s="333">
        <v>80</v>
      </c>
      <c r="C711" s="333"/>
      <c r="D711" s="333"/>
      <c r="E711" s="333"/>
      <c r="F711" s="333"/>
      <c r="G711" s="333"/>
      <c r="H711" s="333"/>
      <c r="I711" s="333"/>
      <c r="J711" s="333"/>
      <c r="K711" s="333"/>
      <c r="L711" s="360"/>
      <c r="M711" s="333">
        <f t="shared" si="90"/>
        <v>40</v>
      </c>
      <c r="N711" s="333" t="e">
        <f t="shared" si="91"/>
        <v>#DIV/0!</v>
      </c>
      <c r="O711" s="333" t="e">
        <f t="shared" si="92"/>
        <v>#DIV/0!</v>
      </c>
      <c r="P711" s="334" t="e">
        <f t="shared" si="93"/>
        <v>#DIV/0!</v>
      </c>
      <c r="Q711" s="334" t="e">
        <f t="shared" si="94"/>
        <v>#DIV/0!</v>
      </c>
    </row>
    <row r="712" spans="2:17" x14ac:dyDescent="0.3">
      <c r="B712" s="333">
        <v>80</v>
      </c>
      <c r="C712" s="333"/>
      <c r="D712" s="333"/>
      <c r="E712" s="333"/>
      <c r="F712" s="333"/>
      <c r="G712" s="333"/>
      <c r="H712" s="333"/>
      <c r="I712" s="333"/>
      <c r="J712" s="333"/>
      <c r="K712" s="333"/>
      <c r="L712" s="360"/>
      <c r="M712" s="333">
        <f t="shared" si="90"/>
        <v>40</v>
      </c>
      <c r="N712" s="333" t="e">
        <f t="shared" si="91"/>
        <v>#DIV/0!</v>
      </c>
      <c r="O712" s="333" t="e">
        <f t="shared" si="92"/>
        <v>#DIV/0!</v>
      </c>
      <c r="P712" s="334" t="e">
        <f t="shared" si="93"/>
        <v>#DIV/0!</v>
      </c>
      <c r="Q712" s="334" t="e">
        <f t="shared" si="94"/>
        <v>#DIV/0!</v>
      </c>
    </row>
    <row r="713" spans="2:17" x14ac:dyDescent="0.3">
      <c r="B713" s="333">
        <v>80</v>
      </c>
      <c r="C713" s="333"/>
      <c r="D713" s="333"/>
      <c r="E713" s="333"/>
      <c r="F713" s="333"/>
      <c r="G713" s="333"/>
      <c r="H713" s="333"/>
      <c r="I713" s="333"/>
      <c r="J713" s="333"/>
      <c r="K713" s="333"/>
      <c r="L713" s="360"/>
      <c r="M713" s="333">
        <f t="shared" si="90"/>
        <v>40</v>
      </c>
      <c r="N713" s="333" t="e">
        <f t="shared" si="91"/>
        <v>#DIV/0!</v>
      </c>
      <c r="O713" s="333" t="e">
        <f t="shared" si="92"/>
        <v>#DIV/0!</v>
      </c>
      <c r="P713" s="334" t="e">
        <f t="shared" si="93"/>
        <v>#DIV/0!</v>
      </c>
      <c r="Q713" s="334" t="e">
        <f t="shared" si="94"/>
        <v>#DIV/0!</v>
      </c>
    </row>
    <row r="714" spans="2:17" x14ac:dyDescent="0.3">
      <c r="B714" s="333">
        <v>80</v>
      </c>
      <c r="C714" s="333"/>
      <c r="D714" s="333"/>
      <c r="E714" s="333"/>
      <c r="F714" s="333"/>
      <c r="G714" s="333"/>
      <c r="H714" s="333"/>
      <c r="I714" s="333"/>
      <c r="J714" s="333"/>
      <c r="K714" s="333"/>
      <c r="L714" s="360"/>
      <c r="M714" s="333">
        <f t="shared" si="90"/>
        <v>40</v>
      </c>
      <c r="N714" s="333" t="e">
        <f t="shared" si="91"/>
        <v>#DIV/0!</v>
      </c>
      <c r="O714" s="333" t="e">
        <f t="shared" si="92"/>
        <v>#DIV/0!</v>
      </c>
      <c r="P714" s="334" t="e">
        <f t="shared" si="93"/>
        <v>#DIV/0!</v>
      </c>
      <c r="Q714" s="334" t="e">
        <f t="shared" si="94"/>
        <v>#DIV/0!</v>
      </c>
    </row>
    <row r="715" spans="2:17" x14ac:dyDescent="0.3">
      <c r="B715" s="333">
        <v>80</v>
      </c>
      <c r="C715" s="333"/>
      <c r="D715" s="333"/>
      <c r="E715" s="333"/>
      <c r="F715" s="333"/>
      <c r="G715" s="333"/>
      <c r="H715" s="333"/>
      <c r="I715" s="333"/>
      <c r="J715" s="333"/>
      <c r="K715" s="333"/>
      <c r="L715" s="360"/>
      <c r="M715" s="333">
        <f t="shared" si="90"/>
        <v>40</v>
      </c>
      <c r="N715" s="333" t="e">
        <f t="shared" si="91"/>
        <v>#DIV/0!</v>
      </c>
      <c r="O715" s="333" t="e">
        <f t="shared" si="92"/>
        <v>#DIV/0!</v>
      </c>
      <c r="P715" s="334" t="e">
        <f t="shared" si="93"/>
        <v>#DIV/0!</v>
      </c>
      <c r="Q715" s="334" t="e">
        <f t="shared" si="94"/>
        <v>#DIV/0!</v>
      </c>
    </row>
    <row r="716" spans="2:17" x14ac:dyDescent="0.3">
      <c r="B716" s="333">
        <v>80</v>
      </c>
      <c r="C716" s="333"/>
      <c r="D716" s="333"/>
      <c r="E716" s="333"/>
      <c r="F716" s="333"/>
      <c r="G716" s="333"/>
      <c r="H716" s="333"/>
      <c r="I716" s="333"/>
      <c r="J716" s="333"/>
      <c r="K716" s="333"/>
      <c r="L716" s="360"/>
      <c r="M716" s="333">
        <f t="shared" si="90"/>
        <v>40</v>
      </c>
      <c r="N716" s="333" t="e">
        <f t="shared" si="91"/>
        <v>#DIV/0!</v>
      </c>
      <c r="O716" s="333" t="e">
        <f t="shared" si="92"/>
        <v>#DIV/0!</v>
      </c>
      <c r="P716" s="334" t="e">
        <f t="shared" si="93"/>
        <v>#DIV/0!</v>
      </c>
      <c r="Q716" s="334" t="e">
        <f t="shared" si="94"/>
        <v>#DIV/0!</v>
      </c>
    </row>
    <row r="717" spans="2:17" x14ac:dyDescent="0.3">
      <c r="B717" s="333">
        <v>80</v>
      </c>
      <c r="C717" s="333"/>
      <c r="D717" s="333"/>
      <c r="E717" s="333"/>
      <c r="F717" s="333"/>
      <c r="G717" s="333"/>
      <c r="H717" s="333"/>
      <c r="I717" s="333"/>
      <c r="J717" s="333"/>
      <c r="K717" s="333"/>
      <c r="L717" s="360"/>
      <c r="M717" s="333">
        <f t="shared" si="90"/>
        <v>40</v>
      </c>
      <c r="N717" s="333" t="e">
        <f t="shared" si="91"/>
        <v>#DIV/0!</v>
      </c>
      <c r="O717" s="333" t="e">
        <f t="shared" si="92"/>
        <v>#DIV/0!</v>
      </c>
      <c r="P717" s="334" t="e">
        <f t="shared" si="93"/>
        <v>#DIV/0!</v>
      </c>
      <c r="Q717" s="334" t="e">
        <f t="shared" si="94"/>
        <v>#DIV/0!</v>
      </c>
    </row>
    <row r="718" spans="2:17" x14ac:dyDescent="0.3">
      <c r="B718" s="333">
        <v>80</v>
      </c>
      <c r="C718" s="333"/>
      <c r="D718" s="333"/>
      <c r="E718" s="333"/>
      <c r="F718" s="333"/>
      <c r="G718" s="333"/>
      <c r="H718" s="333"/>
      <c r="I718" s="333"/>
      <c r="J718" s="333"/>
      <c r="K718" s="333"/>
      <c r="L718" s="360"/>
      <c r="M718" s="333">
        <f t="shared" si="90"/>
        <v>40</v>
      </c>
      <c r="N718" s="333" t="e">
        <f t="shared" si="91"/>
        <v>#DIV/0!</v>
      </c>
      <c r="O718" s="333" t="e">
        <f t="shared" si="92"/>
        <v>#DIV/0!</v>
      </c>
      <c r="P718" s="334" t="e">
        <f t="shared" si="93"/>
        <v>#DIV/0!</v>
      </c>
      <c r="Q718" s="334" t="e">
        <f t="shared" si="94"/>
        <v>#DIV/0!</v>
      </c>
    </row>
    <row r="719" spans="2:17" x14ac:dyDescent="0.3">
      <c r="B719" s="333">
        <v>80</v>
      </c>
      <c r="C719" s="333"/>
      <c r="D719" s="333"/>
      <c r="E719" s="333"/>
      <c r="F719" s="333"/>
      <c r="G719" s="333"/>
      <c r="H719" s="333"/>
      <c r="I719" s="333"/>
      <c r="J719" s="333"/>
      <c r="K719" s="333"/>
      <c r="L719" s="360"/>
      <c r="M719" s="333">
        <f t="shared" si="90"/>
        <v>40</v>
      </c>
      <c r="N719" s="333" t="e">
        <f t="shared" si="91"/>
        <v>#DIV/0!</v>
      </c>
      <c r="O719" s="333" t="e">
        <f t="shared" si="92"/>
        <v>#DIV/0!</v>
      </c>
      <c r="P719" s="334" t="e">
        <f t="shared" si="93"/>
        <v>#DIV/0!</v>
      </c>
      <c r="Q719" s="334" t="e">
        <f t="shared" si="94"/>
        <v>#DIV/0!</v>
      </c>
    </row>
    <row r="720" spans="2:17" x14ac:dyDescent="0.3">
      <c r="B720" s="333">
        <v>80</v>
      </c>
      <c r="C720" s="333"/>
      <c r="D720" s="333"/>
      <c r="E720" s="333"/>
      <c r="F720" s="333"/>
      <c r="G720" s="333"/>
      <c r="H720" s="333"/>
      <c r="I720" s="333"/>
      <c r="J720" s="333"/>
      <c r="K720" s="333"/>
      <c r="L720" s="360"/>
      <c r="M720" s="333">
        <f t="shared" si="90"/>
        <v>40</v>
      </c>
      <c r="N720" s="333" t="e">
        <f t="shared" si="91"/>
        <v>#DIV/0!</v>
      </c>
      <c r="O720" s="333" t="e">
        <f t="shared" si="92"/>
        <v>#DIV/0!</v>
      </c>
      <c r="P720" s="334" t="e">
        <f t="shared" si="93"/>
        <v>#DIV/0!</v>
      </c>
      <c r="Q720" s="334" t="e">
        <f t="shared" si="94"/>
        <v>#DIV/0!</v>
      </c>
    </row>
    <row r="721" spans="2:17" x14ac:dyDescent="0.3">
      <c r="B721" s="333">
        <v>80</v>
      </c>
      <c r="C721" s="333"/>
      <c r="D721" s="333"/>
      <c r="E721" s="333"/>
      <c r="F721" s="333"/>
      <c r="G721" s="333"/>
      <c r="H721" s="333"/>
      <c r="I721" s="333"/>
      <c r="J721" s="333"/>
      <c r="K721" s="333"/>
      <c r="L721" s="360"/>
      <c r="M721" s="333">
        <f t="shared" si="90"/>
        <v>40</v>
      </c>
      <c r="N721" s="333" t="e">
        <f t="shared" si="91"/>
        <v>#DIV/0!</v>
      </c>
      <c r="O721" s="333" t="e">
        <f t="shared" si="92"/>
        <v>#DIV/0!</v>
      </c>
      <c r="P721" s="334" t="e">
        <f t="shared" si="93"/>
        <v>#DIV/0!</v>
      </c>
      <c r="Q721" s="334" t="e">
        <f t="shared" si="94"/>
        <v>#DIV/0!</v>
      </c>
    </row>
    <row r="722" spans="2:17" x14ac:dyDescent="0.3">
      <c r="B722" s="333">
        <v>80</v>
      </c>
      <c r="C722" s="333"/>
      <c r="D722" s="333"/>
      <c r="E722" s="333"/>
      <c r="F722" s="333"/>
      <c r="G722" s="333"/>
      <c r="H722" s="333"/>
      <c r="I722" s="333"/>
      <c r="J722" s="333"/>
      <c r="K722" s="333"/>
      <c r="L722" s="360"/>
      <c r="M722" s="333">
        <f t="shared" si="90"/>
        <v>40</v>
      </c>
      <c r="N722" s="333" t="e">
        <f t="shared" si="91"/>
        <v>#DIV/0!</v>
      </c>
      <c r="O722" s="333" t="e">
        <f t="shared" si="92"/>
        <v>#DIV/0!</v>
      </c>
      <c r="P722" s="334" t="e">
        <f t="shared" si="93"/>
        <v>#DIV/0!</v>
      </c>
      <c r="Q722" s="334" t="e">
        <f t="shared" si="94"/>
        <v>#DIV/0!</v>
      </c>
    </row>
    <row r="723" spans="2:17" x14ac:dyDescent="0.3">
      <c r="B723" s="333">
        <v>80</v>
      </c>
      <c r="C723" s="333"/>
      <c r="D723" s="333"/>
      <c r="E723" s="333"/>
      <c r="F723" s="333"/>
      <c r="G723" s="333"/>
      <c r="H723" s="333"/>
      <c r="I723" s="333"/>
      <c r="J723" s="333"/>
      <c r="K723" s="333"/>
      <c r="L723" s="360"/>
      <c r="M723" s="333">
        <f t="shared" si="90"/>
        <v>40</v>
      </c>
      <c r="N723" s="333" t="e">
        <f t="shared" si="91"/>
        <v>#DIV/0!</v>
      </c>
      <c r="O723" s="333" t="e">
        <f t="shared" si="92"/>
        <v>#DIV/0!</v>
      </c>
      <c r="P723" s="334" t="e">
        <f t="shared" si="93"/>
        <v>#DIV/0!</v>
      </c>
      <c r="Q723" s="334" t="e">
        <f t="shared" si="94"/>
        <v>#DIV/0!</v>
      </c>
    </row>
    <row r="724" spans="2:17" x14ac:dyDescent="0.3">
      <c r="B724" s="333">
        <v>80</v>
      </c>
      <c r="C724" s="333"/>
      <c r="D724" s="333"/>
      <c r="E724" s="333"/>
      <c r="F724" s="333"/>
      <c r="G724" s="333"/>
      <c r="H724" s="333"/>
      <c r="I724" s="333"/>
      <c r="J724" s="333"/>
      <c r="K724" s="333"/>
      <c r="L724" s="360"/>
      <c r="M724" s="333">
        <f t="shared" si="90"/>
        <v>40</v>
      </c>
      <c r="N724" s="333" t="e">
        <f t="shared" si="91"/>
        <v>#DIV/0!</v>
      </c>
      <c r="O724" s="333" t="e">
        <f t="shared" si="92"/>
        <v>#DIV/0!</v>
      </c>
      <c r="P724" s="334" t="e">
        <f t="shared" si="93"/>
        <v>#DIV/0!</v>
      </c>
      <c r="Q724" s="334" t="e">
        <f t="shared" si="94"/>
        <v>#DIV/0!</v>
      </c>
    </row>
    <row r="725" spans="2:17" x14ac:dyDescent="0.3">
      <c r="B725" s="333">
        <v>80</v>
      </c>
      <c r="C725" s="333"/>
      <c r="D725" s="333"/>
      <c r="E725" s="333"/>
      <c r="F725" s="333"/>
      <c r="G725" s="333"/>
      <c r="H725" s="333"/>
      <c r="I725" s="333"/>
      <c r="J725" s="333"/>
      <c r="K725" s="333"/>
      <c r="L725" s="360"/>
      <c r="M725" s="333">
        <f t="shared" si="90"/>
        <v>40</v>
      </c>
      <c r="N725" s="333" t="e">
        <f t="shared" si="91"/>
        <v>#DIV/0!</v>
      </c>
      <c r="O725" s="333" t="e">
        <f t="shared" si="92"/>
        <v>#DIV/0!</v>
      </c>
      <c r="P725" s="334" t="e">
        <f t="shared" si="93"/>
        <v>#DIV/0!</v>
      </c>
      <c r="Q725" s="334" t="e">
        <f t="shared" si="94"/>
        <v>#DIV/0!</v>
      </c>
    </row>
    <row r="726" spans="2:17" x14ac:dyDescent="0.3">
      <c r="B726" s="333">
        <v>80</v>
      </c>
      <c r="C726" s="333"/>
      <c r="D726" s="333"/>
      <c r="E726" s="333"/>
      <c r="F726" s="333"/>
      <c r="G726" s="333"/>
      <c r="H726" s="333"/>
      <c r="I726" s="333"/>
      <c r="J726" s="333"/>
      <c r="K726" s="333"/>
      <c r="L726" s="360"/>
      <c r="M726" s="333">
        <f t="shared" si="90"/>
        <v>40</v>
      </c>
      <c r="N726" s="333" t="e">
        <f t="shared" si="91"/>
        <v>#DIV/0!</v>
      </c>
      <c r="O726" s="333" t="e">
        <f t="shared" si="92"/>
        <v>#DIV/0!</v>
      </c>
      <c r="P726" s="334" t="e">
        <f t="shared" si="93"/>
        <v>#DIV/0!</v>
      </c>
      <c r="Q726" s="334" t="e">
        <f t="shared" si="94"/>
        <v>#DIV/0!</v>
      </c>
    </row>
    <row r="730" spans="2:17" x14ac:dyDescent="0.3">
      <c r="B730" s="451" t="s">
        <v>761</v>
      </c>
      <c r="C730" s="452"/>
      <c r="D730" s="452"/>
      <c r="E730" s="452"/>
      <c r="F730" s="452"/>
      <c r="G730" s="452"/>
      <c r="H730" s="452"/>
      <c r="I730" s="452"/>
      <c r="J730" s="452"/>
      <c r="K730" s="452"/>
      <c r="L730" s="360"/>
      <c r="M730" s="451" t="s">
        <v>762</v>
      </c>
      <c r="N730" s="452"/>
      <c r="O730" s="452"/>
      <c r="P730" s="407" t="s">
        <v>763</v>
      </c>
      <c r="Q730" s="409"/>
    </row>
    <row r="731" spans="2:17" x14ac:dyDescent="0.3">
      <c r="B731" s="230" t="s">
        <v>222</v>
      </c>
      <c r="C731" s="230" t="s">
        <v>779</v>
      </c>
      <c r="D731" s="230" t="s">
        <v>223</v>
      </c>
      <c r="E731" s="230" t="s">
        <v>224</v>
      </c>
      <c r="F731" s="230" t="s">
        <v>225</v>
      </c>
      <c r="G731" s="230" t="s">
        <v>226</v>
      </c>
      <c r="H731" s="230" t="s">
        <v>227</v>
      </c>
      <c r="I731" s="230" t="s">
        <v>789</v>
      </c>
      <c r="J731" s="230" t="s">
        <v>790</v>
      </c>
      <c r="K731" s="230" t="s">
        <v>230</v>
      </c>
      <c r="L731" s="360"/>
      <c r="M731" s="230" t="s">
        <v>764</v>
      </c>
      <c r="N731" s="230" t="s">
        <v>437</v>
      </c>
      <c r="O731" s="230" t="s">
        <v>438</v>
      </c>
      <c r="P731" s="226" t="s">
        <v>437</v>
      </c>
      <c r="Q731" s="226" t="s">
        <v>438</v>
      </c>
    </row>
    <row r="732" spans="2:17" x14ac:dyDescent="0.3">
      <c r="B732" s="333">
        <v>0</v>
      </c>
      <c r="C732" s="333"/>
      <c r="D732" s="333"/>
      <c r="E732" s="333"/>
      <c r="F732" s="333"/>
      <c r="G732" s="333"/>
      <c r="H732" s="333"/>
      <c r="I732" s="333"/>
      <c r="J732" s="333"/>
      <c r="K732" s="333"/>
      <c r="L732" s="360"/>
      <c r="M732" s="333">
        <f t="shared" ref="M732:M795" si="95">B732/2</f>
        <v>0</v>
      </c>
      <c r="N732" s="333" t="e">
        <f>(SUM(C732:E732)-SUM($C$193:$E$193))*$F$71</f>
        <v>#DIV/0!</v>
      </c>
      <c r="O732" s="333" t="e">
        <f>(SUM(F732:H732)-SUM($F$193:$H$193))*$G$71</f>
        <v>#DIV/0!</v>
      </c>
      <c r="P732" s="334" t="e">
        <f>N732-M732</f>
        <v>#DIV/0!</v>
      </c>
      <c r="Q732" s="334" t="e">
        <f>O732-M732</f>
        <v>#DIV/0!</v>
      </c>
    </row>
    <row r="733" spans="2:17" x14ac:dyDescent="0.3">
      <c r="B733" s="333">
        <v>0</v>
      </c>
      <c r="C733" s="333"/>
      <c r="D733" s="333"/>
      <c r="E733" s="333"/>
      <c r="F733" s="333"/>
      <c r="G733" s="333"/>
      <c r="H733" s="333"/>
      <c r="I733" s="333"/>
      <c r="J733" s="333"/>
      <c r="K733" s="333"/>
      <c r="L733" s="360"/>
      <c r="M733" s="333">
        <f t="shared" si="95"/>
        <v>0</v>
      </c>
      <c r="N733" s="333" t="e">
        <f>(SUM(C733:E733)-SUM($C$193:$E$193))*$F$71</f>
        <v>#DIV/0!</v>
      </c>
      <c r="O733" s="333" t="e">
        <f>(SUM(F733:H733)-SUM($F$193:$H$193))*$G$71</f>
        <v>#DIV/0!</v>
      </c>
      <c r="P733" s="334" t="e">
        <f>N733-M733</f>
        <v>#DIV/0!</v>
      </c>
      <c r="Q733" s="334" t="e">
        <f>O733-M733</f>
        <v>#DIV/0!</v>
      </c>
    </row>
    <row r="734" spans="2:17" x14ac:dyDescent="0.3">
      <c r="B734" s="333">
        <v>0</v>
      </c>
      <c r="C734" s="333"/>
      <c r="D734" s="333"/>
      <c r="E734" s="333"/>
      <c r="F734" s="333"/>
      <c r="G734" s="333"/>
      <c r="H734" s="333"/>
      <c r="I734" s="333"/>
      <c r="J734" s="333"/>
      <c r="K734" s="333"/>
      <c r="L734" s="360"/>
      <c r="M734" s="333">
        <f t="shared" si="95"/>
        <v>0</v>
      </c>
      <c r="N734" s="333" t="e">
        <f t="shared" ref="N734:N797" si="96">(SUM(C734:E734)-SUM($C$193:$E$193))*$F$71</f>
        <v>#DIV/0!</v>
      </c>
      <c r="O734" s="333" t="e">
        <f t="shared" ref="O734:O797" si="97">(SUM(F734:H734)-SUM($F$193:$H$193))*$G$71</f>
        <v>#DIV/0!</v>
      </c>
      <c r="P734" s="334" t="e">
        <f t="shared" ref="P734:P797" si="98">N734-M734</f>
        <v>#DIV/0!</v>
      </c>
      <c r="Q734" s="334" t="e">
        <f t="shared" ref="Q734:Q797" si="99">O734-M734</f>
        <v>#DIV/0!</v>
      </c>
    </row>
    <row r="735" spans="2:17" x14ac:dyDescent="0.3">
      <c r="B735" s="333">
        <v>0</v>
      </c>
      <c r="C735" s="333"/>
      <c r="D735" s="333"/>
      <c r="E735" s="333"/>
      <c r="F735" s="333"/>
      <c r="G735" s="333"/>
      <c r="H735" s="333"/>
      <c r="I735" s="333"/>
      <c r="J735" s="333"/>
      <c r="K735" s="333"/>
      <c r="L735" s="360"/>
      <c r="M735" s="333">
        <f t="shared" si="95"/>
        <v>0</v>
      </c>
      <c r="N735" s="333" t="e">
        <f t="shared" si="96"/>
        <v>#DIV/0!</v>
      </c>
      <c r="O735" s="333" t="e">
        <f t="shared" si="97"/>
        <v>#DIV/0!</v>
      </c>
      <c r="P735" s="334" t="e">
        <f t="shared" si="98"/>
        <v>#DIV/0!</v>
      </c>
      <c r="Q735" s="334" t="e">
        <f t="shared" si="99"/>
        <v>#DIV/0!</v>
      </c>
    </row>
    <row r="736" spans="2:17" x14ac:dyDescent="0.3">
      <c r="B736" s="333">
        <v>0</v>
      </c>
      <c r="C736" s="333"/>
      <c r="D736" s="333"/>
      <c r="E736" s="333"/>
      <c r="F736" s="333"/>
      <c r="G736" s="333"/>
      <c r="H736" s="333"/>
      <c r="I736" s="333"/>
      <c r="J736" s="333"/>
      <c r="K736" s="333"/>
      <c r="L736" s="360"/>
      <c r="M736" s="333">
        <f t="shared" si="95"/>
        <v>0</v>
      </c>
      <c r="N736" s="333" t="e">
        <f t="shared" si="96"/>
        <v>#DIV/0!</v>
      </c>
      <c r="O736" s="333" t="e">
        <f t="shared" si="97"/>
        <v>#DIV/0!</v>
      </c>
      <c r="P736" s="334" t="e">
        <f t="shared" si="98"/>
        <v>#DIV/0!</v>
      </c>
      <c r="Q736" s="334" t="e">
        <f t="shared" si="99"/>
        <v>#DIV/0!</v>
      </c>
    </row>
    <row r="737" spans="2:17" x14ac:dyDescent="0.3">
      <c r="B737" s="333">
        <v>0</v>
      </c>
      <c r="C737" s="333"/>
      <c r="D737" s="333"/>
      <c r="E737" s="333"/>
      <c r="F737" s="333"/>
      <c r="G737" s="333"/>
      <c r="H737" s="333"/>
      <c r="I737" s="333"/>
      <c r="J737" s="333"/>
      <c r="K737" s="333"/>
      <c r="L737" s="360"/>
      <c r="M737" s="333">
        <f t="shared" si="95"/>
        <v>0</v>
      </c>
      <c r="N737" s="333" t="e">
        <f t="shared" si="96"/>
        <v>#DIV/0!</v>
      </c>
      <c r="O737" s="333" t="e">
        <f t="shared" si="97"/>
        <v>#DIV/0!</v>
      </c>
      <c r="P737" s="334" t="e">
        <f t="shared" si="98"/>
        <v>#DIV/0!</v>
      </c>
      <c r="Q737" s="334" t="e">
        <f t="shared" si="99"/>
        <v>#DIV/0!</v>
      </c>
    </row>
    <row r="738" spans="2:17" x14ac:dyDescent="0.3">
      <c r="B738" s="333">
        <v>0</v>
      </c>
      <c r="C738" s="333"/>
      <c r="D738" s="333"/>
      <c r="E738" s="333"/>
      <c r="F738" s="333"/>
      <c r="G738" s="333"/>
      <c r="H738" s="333"/>
      <c r="I738" s="333"/>
      <c r="J738" s="333"/>
      <c r="K738" s="333"/>
      <c r="L738" s="360"/>
      <c r="M738" s="333">
        <f t="shared" si="95"/>
        <v>0</v>
      </c>
      <c r="N738" s="333" t="e">
        <f t="shared" si="96"/>
        <v>#DIV/0!</v>
      </c>
      <c r="O738" s="333" t="e">
        <f t="shared" si="97"/>
        <v>#DIV/0!</v>
      </c>
      <c r="P738" s="334" t="e">
        <f t="shared" si="98"/>
        <v>#DIV/0!</v>
      </c>
      <c r="Q738" s="334" t="e">
        <f t="shared" si="99"/>
        <v>#DIV/0!</v>
      </c>
    </row>
    <row r="739" spans="2:17" x14ac:dyDescent="0.3">
      <c r="B739" s="333">
        <v>0</v>
      </c>
      <c r="C739" s="333"/>
      <c r="D739" s="333"/>
      <c r="E739" s="333"/>
      <c r="F739" s="333"/>
      <c r="G739" s="333"/>
      <c r="H739" s="333"/>
      <c r="I739" s="333"/>
      <c r="J739" s="333"/>
      <c r="K739" s="333"/>
      <c r="L739" s="360"/>
      <c r="M739" s="333">
        <f t="shared" si="95"/>
        <v>0</v>
      </c>
      <c r="N739" s="333" t="e">
        <f t="shared" si="96"/>
        <v>#DIV/0!</v>
      </c>
      <c r="O739" s="333" t="e">
        <f t="shared" si="97"/>
        <v>#DIV/0!</v>
      </c>
      <c r="P739" s="334" t="e">
        <f t="shared" si="98"/>
        <v>#DIV/0!</v>
      </c>
      <c r="Q739" s="334" t="e">
        <f t="shared" si="99"/>
        <v>#DIV/0!</v>
      </c>
    </row>
    <row r="740" spans="2:17" x14ac:dyDescent="0.3">
      <c r="B740" s="333">
        <v>0</v>
      </c>
      <c r="C740" s="333"/>
      <c r="D740" s="333"/>
      <c r="E740" s="333"/>
      <c r="F740" s="333"/>
      <c r="G740" s="333"/>
      <c r="H740" s="333"/>
      <c r="I740" s="333"/>
      <c r="J740" s="333"/>
      <c r="K740" s="333"/>
      <c r="L740" s="360"/>
      <c r="M740" s="333">
        <f t="shared" si="95"/>
        <v>0</v>
      </c>
      <c r="N740" s="333" t="e">
        <f t="shared" si="96"/>
        <v>#DIV/0!</v>
      </c>
      <c r="O740" s="333" t="e">
        <f t="shared" si="97"/>
        <v>#DIV/0!</v>
      </c>
      <c r="P740" s="334" t="e">
        <f t="shared" si="98"/>
        <v>#DIV/0!</v>
      </c>
      <c r="Q740" s="334" t="e">
        <f t="shared" si="99"/>
        <v>#DIV/0!</v>
      </c>
    </row>
    <row r="741" spans="2:17" x14ac:dyDescent="0.3">
      <c r="B741" s="333">
        <v>0</v>
      </c>
      <c r="C741" s="333"/>
      <c r="D741" s="333"/>
      <c r="E741" s="333"/>
      <c r="F741" s="333"/>
      <c r="G741" s="333"/>
      <c r="H741" s="333"/>
      <c r="I741" s="333"/>
      <c r="J741" s="333"/>
      <c r="K741" s="333"/>
      <c r="L741" s="360"/>
      <c r="M741" s="333">
        <f t="shared" si="95"/>
        <v>0</v>
      </c>
      <c r="N741" s="333" t="e">
        <f t="shared" si="96"/>
        <v>#DIV/0!</v>
      </c>
      <c r="O741" s="333" t="e">
        <f t="shared" si="97"/>
        <v>#DIV/0!</v>
      </c>
      <c r="P741" s="334" t="e">
        <f t="shared" si="98"/>
        <v>#DIV/0!</v>
      </c>
      <c r="Q741" s="334" t="e">
        <f t="shared" si="99"/>
        <v>#DIV/0!</v>
      </c>
    </row>
    <row r="742" spans="2:17" x14ac:dyDescent="0.3">
      <c r="B742" s="333">
        <v>0</v>
      </c>
      <c r="C742" s="333"/>
      <c r="D742" s="333"/>
      <c r="E742" s="333"/>
      <c r="F742" s="333"/>
      <c r="G742" s="333"/>
      <c r="H742" s="333"/>
      <c r="I742" s="333"/>
      <c r="J742" s="333"/>
      <c r="K742" s="333"/>
      <c r="L742" s="360"/>
      <c r="M742" s="333">
        <f t="shared" si="95"/>
        <v>0</v>
      </c>
      <c r="N742" s="333" t="e">
        <f t="shared" si="96"/>
        <v>#DIV/0!</v>
      </c>
      <c r="O742" s="333" t="e">
        <f t="shared" si="97"/>
        <v>#DIV/0!</v>
      </c>
      <c r="P742" s="334" t="e">
        <f t="shared" si="98"/>
        <v>#DIV/0!</v>
      </c>
      <c r="Q742" s="334" t="e">
        <f t="shared" si="99"/>
        <v>#DIV/0!</v>
      </c>
    </row>
    <row r="743" spans="2:17" x14ac:dyDescent="0.3">
      <c r="B743" s="333">
        <v>0</v>
      </c>
      <c r="C743" s="333"/>
      <c r="D743" s="333"/>
      <c r="E743" s="333"/>
      <c r="F743" s="333"/>
      <c r="G743" s="333"/>
      <c r="H743" s="333"/>
      <c r="I743" s="333"/>
      <c r="J743" s="333"/>
      <c r="K743" s="333"/>
      <c r="L743" s="360"/>
      <c r="M743" s="333">
        <f t="shared" si="95"/>
        <v>0</v>
      </c>
      <c r="N743" s="333" t="e">
        <f t="shared" si="96"/>
        <v>#DIV/0!</v>
      </c>
      <c r="O743" s="333" t="e">
        <f t="shared" si="97"/>
        <v>#DIV/0!</v>
      </c>
      <c r="P743" s="334" t="e">
        <f t="shared" si="98"/>
        <v>#DIV/0!</v>
      </c>
      <c r="Q743" s="334" t="e">
        <f t="shared" si="99"/>
        <v>#DIV/0!</v>
      </c>
    </row>
    <row r="744" spans="2:17" x14ac:dyDescent="0.3">
      <c r="B744" s="333">
        <v>0</v>
      </c>
      <c r="C744" s="333"/>
      <c r="D744" s="333"/>
      <c r="E744" s="333"/>
      <c r="F744" s="333"/>
      <c r="G744" s="333"/>
      <c r="H744" s="333"/>
      <c r="I744" s="333"/>
      <c r="J744" s="333"/>
      <c r="K744" s="333"/>
      <c r="L744" s="360"/>
      <c r="M744" s="333">
        <f t="shared" si="95"/>
        <v>0</v>
      </c>
      <c r="N744" s="333" t="e">
        <f t="shared" si="96"/>
        <v>#DIV/0!</v>
      </c>
      <c r="O744" s="333" t="e">
        <f t="shared" si="97"/>
        <v>#DIV/0!</v>
      </c>
      <c r="P744" s="334" t="e">
        <f t="shared" si="98"/>
        <v>#DIV/0!</v>
      </c>
      <c r="Q744" s="334" t="e">
        <f t="shared" si="99"/>
        <v>#DIV/0!</v>
      </c>
    </row>
    <row r="745" spans="2:17" x14ac:dyDescent="0.3">
      <c r="B745" s="333">
        <v>0</v>
      </c>
      <c r="C745" s="333"/>
      <c r="D745" s="333"/>
      <c r="E745" s="333"/>
      <c r="F745" s="333"/>
      <c r="G745" s="333"/>
      <c r="H745" s="333"/>
      <c r="I745" s="333"/>
      <c r="J745" s="333"/>
      <c r="K745" s="333"/>
      <c r="L745" s="360"/>
      <c r="M745" s="333">
        <f t="shared" si="95"/>
        <v>0</v>
      </c>
      <c r="N745" s="333" t="e">
        <f t="shared" si="96"/>
        <v>#DIV/0!</v>
      </c>
      <c r="O745" s="333" t="e">
        <f t="shared" si="97"/>
        <v>#DIV/0!</v>
      </c>
      <c r="P745" s="334" t="e">
        <f t="shared" si="98"/>
        <v>#DIV/0!</v>
      </c>
      <c r="Q745" s="334" t="e">
        <f t="shared" si="99"/>
        <v>#DIV/0!</v>
      </c>
    </row>
    <row r="746" spans="2:17" x14ac:dyDescent="0.3">
      <c r="B746" s="333">
        <v>0</v>
      </c>
      <c r="C746" s="333"/>
      <c r="D746" s="333"/>
      <c r="E746" s="333"/>
      <c r="F746" s="333"/>
      <c r="G746" s="333"/>
      <c r="H746" s="333"/>
      <c r="I746" s="333"/>
      <c r="J746" s="333"/>
      <c r="K746" s="333"/>
      <c r="L746" s="360"/>
      <c r="M746" s="333">
        <f t="shared" si="95"/>
        <v>0</v>
      </c>
      <c r="N746" s="333" t="e">
        <f t="shared" si="96"/>
        <v>#DIV/0!</v>
      </c>
      <c r="O746" s="333" t="e">
        <f t="shared" si="97"/>
        <v>#DIV/0!</v>
      </c>
      <c r="P746" s="334" t="e">
        <f t="shared" si="98"/>
        <v>#DIV/0!</v>
      </c>
      <c r="Q746" s="334" t="e">
        <f t="shared" si="99"/>
        <v>#DIV/0!</v>
      </c>
    </row>
    <row r="747" spans="2:17" x14ac:dyDescent="0.3">
      <c r="B747" s="333">
        <v>0</v>
      </c>
      <c r="C747" s="333"/>
      <c r="D747" s="333"/>
      <c r="E747" s="333"/>
      <c r="F747" s="333"/>
      <c r="G747" s="333"/>
      <c r="H747" s="333"/>
      <c r="I747" s="333"/>
      <c r="J747" s="333"/>
      <c r="K747" s="333"/>
      <c r="L747" s="360"/>
      <c r="M747" s="333">
        <f t="shared" si="95"/>
        <v>0</v>
      </c>
      <c r="N747" s="333" t="e">
        <f t="shared" si="96"/>
        <v>#DIV/0!</v>
      </c>
      <c r="O747" s="333" t="e">
        <f t="shared" si="97"/>
        <v>#DIV/0!</v>
      </c>
      <c r="P747" s="334" t="e">
        <f t="shared" si="98"/>
        <v>#DIV/0!</v>
      </c>
      <c r="Q747" s="334" t="e">
        <f t="shared" si="99"/>
        <v>#DIV/0!</v>
      </c>
    </row>
    <row r="748" spans="2:17" x14ac:dyDescent="0.3">
      <c r="B748" s="333">
        <v>0</v>
      </c>
      <c r="C748" s="333"/>
      <c r="D748" s="333"/>
      <c r="E748" s="333"/>
      <c r="F748" s="333"/>
      <c r="G748" s="333"/>
      <c r="H748" s="333"/>
      <c r="I748" s="333"/>
      <c r="J748" s="333"/>
      <c r="K748" s="333"/>
      <c r="L748" s="360"/>
      <c r="M748" s="333">
        <f t="shared" si="95"/>
        <v>0</v>
      </c>
      <c r="N748" s="333" t="e">
        <f t="shared" si="96"/>
        <v>#DIV/0!</v>
      </c>
      <c r="O748" s="333" t="e">
        <f t="shared" si="97"/>
        <v>#DIV/0!</v>
      </c>
      <c r="P748" s="334" t="e">
        <f t="shared" si="98"/>
        <v>#DIV/0!</v>
      </c>
      <c r="Q748" s="334" t="e">
        <f t="shared" si="99"/>
        <v>#DIV/0!</v>
      </c>
    </row>
    <row r="749" spans="2:17" x14ac:dyDescent="0.3">
      <c r="B749" s="333">
        <v>0</v>
      </c>
      <c r="C749" s="333"/>
      <c r="D749" s="333"/>
      <c r="E749" s="333"/>
      <c r="F749" s="333"/>
      <c r="G749" s="333"/>
      <c r="H749" s="333"/>
      <c r="I749" s="333"/>
      <c r="J749" s="333"/>
      <c r="K749" s="333"/>
      <c r="L749" s="360"/>
      <c r="M749" s="333">
        <f t="shared" si="95"/>
        <v>0</v>
      </c>
      <c r="N749" s="333" t="e">
        <f t="shared" si="96"/>
        <v>#DIV/0!</v>
      </c>
      <c r="O749" s="333" t="e">
        <f t="shared" si="97"/>
        <v>#DIV/0!</v>
      </c>
      <c r="P749" s="334" t="e">
        <f t="shared" si="98"/>
        <v>#DIV/0!</v>
      </c>
      <c r="Q749" s="334" t="e">
        <f t="shared" si="99"/>
        <v>#DIV/0!</v>
      </c>
    </row>
    <row r="750" spans="2:17" x14ac:dyDescent="0.3">
      <c r="B750" s="333">
        <v>0</v>
      </c>
      <c r="C750" s="333"/>
      <c r="D750" s="333"/>
      <c r="E750" s="333"/>
      <c r="F750" s="333"/>
      <c r="G750" s="333"/>
      <c r="H750" s="333"/>
      <c r="I750" s="333"/>
      <c r="J750" s="333"/>
      <c r="K750" s="333"/>
      <c r="L750" s="360"/>
      <c r="M750" s="333">
        <f t="shared" si="95"/>
        <v>0</v>
      </c>
      <c r="N750" s="333" t="e">
        <f t="shared" si="96"/>
        <v>#DIV/0!</v>
      </c>
      <c r="O750" s="333" t="e">
        <f t="shared" si="97"/>
        <v>#DIV/0!</v>
      </c>
      <c r="P750" s="334" t="e">
        <f t="shared" si="98"/>
        <v>#DIV/0!</v>
      </c>
      <c r="Q750" s="334" t="e">
        <f t="shared" si="99"/>
        <v>#DIV/0!</v>
      </c>
    </row>
    <row r="751" spans="2:17" x14ac:dyDescent="0.3">
      <c r="B751" s="333">
        <v>0</v>
      </c>
      <c r="C751" s="333"/>
      <c r="D751" s="333"/>
      <c r="E751" s="333"/>
      <c r="F751" s="333"/>
      <c r="G751" s="333"/>
      <c r="H751" s="333"/>
      <c r="I751" s="333"/>
      <c r="J751" s="333"/>
      <c r="K751" s="333"/>
      <c r="L751" s="360"/>
      <c r="M751" s="333">
        <f t="shared" si="95"/>
        <v>0</v>
      </c>
      <c r="N751" s="333" t="e">
        <f t="shared" si="96"/>
        <v>#DIV/0!</v>
      </c>
      <c r="O751" s="333" t="e">
        <f t="shared" si="97"/>
        <v>#DIV/0!</v>
      </c>
      <c r="P751" s="334" t="e">
        <f t="shared" si="98"/>
        <v>#DIV/0!</v>
      </c>
      <c r="Q751" s="334" t="e">
        <f t="shared" si="99"/>
        <v>#DIV/0!</v>
      </c>
    </row>
    <row r="752" spans="2:17" x14ac:dyDescent="0.3">
      <c r="B752" s="333">
        <v>10</v>
      </c>
      <c r="C752" s="333"/>
      <c r="D752" s="333"/>
      <c r="E752" s="333"/>
      <c r="F752" s="333"/>
      <c r="G752" s="333"/>
      <c r="H752" s="333"/>
      <c r="I752" s="333"/>
      <c r="J752" s="333"/>
      <c r="K752" s="333"/>
      <c r="L752" s="360"/>
      <c r="M752" s="333">
        <f t="shared" si="95"/>
        <v>5</v>
      </c>
      <c r="N752" s="333" t="e">
        <f t="shared" si="96"/>
        <v>#DIV/0!</v>
      </c>
      <c r="O752" s="333" t="e">
        <f t="shared" si="97"/>
        <v>#DIV/0!</v>
      </c>
      <c r="P752" s="334" t="e">
        <f t="shared" si="98"/>
        <v>#DIV/0!</v>
      </c>
      <c r="Q752" s="334" t="e">
        <f t="shared" si="99"/>
        <v>#DIV/0!</v>
      </c>
    </row>
    <row r="753" spans="2:17" x14ac:dyDescent="0.3">
      <c r="B753" s="333">
        <v>10</v>
      </c>
      <c r="C753" s="333"/>
      <c r="D753" s="333"/>
      <c r="E753" s="333"/>
      <c r="F753" s="333"/>
      <c r="G753" s="333"/>
      <c r="H753" s="333"/>
      <c r="I753" s="333"/>
      <c r="J753" s="333"/>
      <c r="K753" s="333"/>
      <c r="L753" s="360"/>
      <c r="M753" s="333">
        <f t="shared" si="95"/>
        <v>5</v>
      </c>
      <c r="N753" s="333" t="e">
        <f t="shared" si="96"/>
        <v>#DIV/0!</v>
      </c>
      <c r="O753" s="333" t="e">
        <f t="shared" si="97"/>
        <v>#DIV/0!</v>
      </c>
      <c r="P753" s="334" t="e">
        <f t="shared" si="98"/>
        <v>#DIV/0!</v>
      </c>
      <c r="Q753" s="334" t="e">
        <f t="shared" si="99"/>
        <v>#DIV/0!</v>
      </c>
    </row>
    <row r="754" spans="2:17" x14ac:dyDescent="0.3">
      <c r="B754" s="333">
        <v>10</v>
      </c>
      <c r="C754" s="333"/>
      <c r="D754" s="333"/>
      <c r="E754" s="333"/>
      <c r="F754" s="333"/>
      <c r="G754" s="333"/>
      <c r="H754" s="333"/>
      <c r="I754" s="333"/>
      <c r="J754" s="333"/>
      <c r="K754" s="333"/>
      <c r="L754" s="360"/>
      <c r="M754" s="333">
        <f t="shared" si="95"/>
        <v>5</v>
      </c>
      <c r="N754" s="333" t="e">
        <f t="shared" si="96"/>
        <v>#DIV/0!</v>
      </c>
      <c r="O754" s="333" t="e">
        <f t="shared" si="97"/>
        <v>#DIV/0!</v>
      </c>
      <c r="P754" s="334" t="e">
        <f t="shared" si="98"/>
        <v>#DIV/0!</v>
      </c>
      <c r="Q754" s="334" t="e">
        <f t="shared" si="99"/>
        <v>#DIV/0!</v>
      </c>
    </row>
    <row r="755" spans="2:17" x14ac:dyDescent="0.3">
      <c r="B755" s="333">
        <v>10</v>
      </c>
      <c r="C755" s="333"/>
      <c r="D755" s="333"/>
      <c r="E755" s="333"/>
      <c r="F755" s="333"/>
      <c r="G755" s="333"/>
      <c r="H755" s="333"/>
      <c r="I755" s="333"/>
      <c r="J755" s="333"/>
      <c r="K755" s="333"/>
      <c r="L755" s="360"/>
      <c r="M755" s="333">
        <f t="shared" si="95"/>
        <v>5</v>
      </c>
      <c r="N755" s="333" t="e">
        <f t="shared" si="96"/>
        <v>#DIV/0!</v>
      </c>
      <c r="O755" s="333" t="e">
        <f t="shared" si="97"/>
        <v>#DIV/0!</v>
      </c>
      <c r="P755" s="334" t="e">
        <f t="shared" si="98"/>
        <v>#DIV/0!</v>
      </c>
      <c r="Q755" s="334" t="e">
        <f t="shared" si="99"/>
        <v>#DIV/0!</v>
      </c>
    </row>
    <row r="756" spans="2:17" x14ac:dyDescent="0.3">
      <c r="B756" s="333">
        <v>10</v>
      </c>
      <c r="C756" s="333"/>
      <c r="D756" s="333"/>
      <c r="E756" s="333"/>
      <c r="F756" s="333"/>
      <c r="G756" s="333"/>
      <c r="H756" s="333"/>
      <c r="I756" s="333"/>
      <c r="J756" s="333"/>
      <c r="K756" s="333"/>
      <c r="L756" s="360"/>
      <c r="M756" s="333">
        <f t="shared" si="95"/>
        <v>5</v>
      </c>
      <c r="N756" s="333" t="e">
        <f t="shared" si="96"/>
        <v>#DIV/0!</v>
      </c>
      <c r="O756" s="333" t="e">
        <f t="shared" si="97"/>
        <v>#DIV/0!</v>
      </c>
      <c r="P756" s="334" t="e">
        <f t="shared" si="98"/>
        <v>#DIV/0!</v>
      </c>
      <c r="Q756" s="334" t="e">
        <f t="shared" si="99"/>
        <v>#DIV/0!</v>
      </c>
    </row>
    <row r="757" spans="2:17" x14ac:dyDescent="0.3">
      <c r="B757" s="333">
        <v>10</v>
      </c>
      <c r="C757" s="333"/>
      <c r="D757" s="333"/>
      <c r="E757" s="333"/>
      <c r="F757" s="333"/>
      <c r="G757" s="333"/>
      <c r="H757" s="333"/>
      <c r="I757" s="333"/>
      <c r="J757" s="333"/>
      <c r="K757" s="333"/>
      <c r="L757" s="360"/>
      <c r="M757" s="333">
        <f t="shared" si="95"/>
        <v>5</v>
      </c>
      <c r="N757" s="333" t="e">
        <f t="shared" si="96"/>
        <v>#DIV/0!</v>
      </c>
      <c r="O757" s="333" t="e">
        <f t="shared" si="97"/>
        <v>#DIV/0!</v>
      </c>
      <c r="P757" s="334" t="e">
        <f t="shared" si="98"/>
        <v>#DIV/0!</v>
      </c>
      <c r="Q757" s="334" t="e">
        <f t="shared" si="99"/>
        <v>#DIV/0!</v>
      </c>
    </row>
    <row r="758" spans="2:17" x14ac:dyDescent="0.3">
      <c r="B758" s="333">
        <v>10</v>
      </c>
      <c r="C758" s="333"/>
      <c r="D758" s="333"/>
      <c r="E758" s="333"/>
      <c r="F758" s="333"/>
      <c r="G758" s="333"/>
      <c r="H758" s="333"/>
      <c r="I758" s="333"/>
      <c r="J758" s="333"/>
      <c r="K758" s="333"/>
      <c r="L758" s="360"/>
      <c r="M758" s="333">
        <f t="shared" si="95"/>
        <v>5</v>
      </c>
      <c r="N758" s="333" t="e">
        <f t="shared" si="96"/>
        <v>#DIV/0!</v>
      </c>
      <c r="O758" s="333" t="e">
        <f t="shared" si="97"/>
        <v>#DIV/0!</v>
      </c>
      <c r="P758" s="334" t="e">
        <f t="shared" si="98"/>
        <v>#DIV/0!</v>
      </c>
      <c r="Q758" s="334" t="e">
        <f t="shared" si="99"/>
        <v>#DIV/0!</v>
      </c>
    </row>
    <row r="759" spans="2:17" x14ac:dyDescent="0.3">
      <c r="B759" s="333">
        <v>10</v>
      </c>
      <c r="C759" s="333"/>
      <c r="D759" s="333"/>
      <c r="E759" s="333"/>
      <c r="F759" s="333"/>
      <c r="G759" s="333"/>
      <c r="H759" s="333"/>
      <c r="I759" s="333"/>
      <c r="J759" s="333"/>
      <c r="K759" s="333"/>
      <c r="L759" s="360"/>
      <c r="M759" s="333">
        <f t="shared" si="95"/>
        <v>5</v>
      </c>
      <c r="N759" s="333" t="e">
        <f t="shared" si="96"/>
        <v>#DIV/0!</v>
      </c>
      <c r="O759" s="333" t="e">
        <f t="shared" si="97"/>
        <v>#DIV/0!</v>
      </c>
      <c r="P759" s="334" t="e">
        <f t="shared" si="98"/>
        <v>#DIV/0!</v>
      </c>
      <c r="Q759" s="334" t="e">
        <f t="shared" si="99"/>
        <v>#DIV/0!</v>
      </c>
    </row>
    <row r="760" spans="2:17" x14ac:dyDescent="0.3">
      <c r="B760" s="333">
        <v>10</v>
      </c>
      <c r="C760" s="333"/>
      <c r="D760" s="333"/>
      <c r="E760" s="333"/>
      <c r="F760" s="333"/>
      <c r="G760" s="333"/>
      <c r="H760" s="333"/>
      <c r="I760" s="333"/>
      <c r="J760" s="333"/>
      <c r="K760" s="333"/>
      <c r="L760" s="360"/>
      <c r="M760" s="333">
        <f t="shared" si="95"/>
        <v>5</v>
      </c>
      <c r="N760" s="333" t="e">
        <f t="shared" si="96"/>
        <v>#DIV/0!</v>
      </c>
      <c r="O760" s="333" t="e">
        <f t="shared" si="97"/>
        <v>#DIV/0!</v>
      </c>
      <c r="P760" s="334" t="e">
        <f t="shared" si="98"/>
        <v>#DIV/0!</v>
      </c>
      <c r="Q760" s="334" t="e">
        <f t="shared" si="99"/>
        <v>#DIV/0!</v>
      </c>
    </row>
    <row r="761" spans="2:17" x14ac:dyDescent="0.3">
      <c r="B761" s="333">
        <v>10</v>
      </c>
      <c r="C761" s="333"/>
      <c r="D761" s="333"/>
      <c r="E761" s="333"/>
      <c r="F761" s="333"/>
      <c r="G761" s="333"/>
      <c r="H761" s="333"/>
      <c r="I761" s="333"/>
      <c r="J761" s="333"/>
      <c r="K761" s="333"/>
      <c r="L761" s="360"/>
      <c r="M761" s="333">
        <f t="shared" si="95"/>
        <v>5</v>
      </c>
      <c r="N761" s="333" t="e">
        <f t="shared" si="96"/>
        <v>#DIV/0!</v>
      </c>
      <c r="O761" s="333" t="e">
        <f t="shared" si="97"/>
        <v>#DIV/0!</v>
      </c>
      <c r="P761" s="334" t="e">
        <f t="shared" si="98"/>
        <v>#DIV/0!</v>
      </c>
      <c r="Q761" s="334" t="e">
        <f t="shared" si="99"/>
        <v>#DIV/0!</v>
      </c>
    </row>
    <row r="762" spans="2:17" x14ac:dyDescent="0.3">
      <c r="B762" s="333">
        <v>10</v>
      </c>
      <c r="C762" s="333"/>
      <c r="D762" s="333"/>
      <c r="E762" s="333"/>
      <c r="F762" s="333"/>
      <c r="G762" s="333"/>
      <c r="H762" s="333"/>
      <c r="I762" s="333"/>
      <c r="J762" s="333"/>
      <c r="K762" s="333"/>
      <c r="L762" s="360"/>
      <c r="M762" s="333">
        <f t="shared" si="95"/>
        <v>5</v>
      </c>
      <c r="N762" s="333" t="e">
        <f t="shared" si="96"/>
        <v>#DIV/0!</v>
      </c>
      <c r="O762" s="333" t="e">
        <f t="shared" si="97"/>
        <v>#DIV/0!</v>
      </c>
      <c r="P762" s="334" t="e">
        <f t="shared" si="98"/>
        <v>#DIV/0!</v>
      </c>
      <c r="Q762" s="334" t="e">
        <f t="shared" si="99"/>
        <v>#DIV/0!</v>
      </c>
    </row>
    <row r="763" spans="2:17" x14ac:dyDescent="0.3">
      <c r="B763" s="333">
        <v>10</v>
      </c>
      <c r="C763" s="333"/>
      <c r="D763" s="333"/>
      <c r="E763" s="333"/>
      <c r="F763" s="333"/>
      <c r="G763" s="333"/>
      <c r="H763" s="333"/>
      <c r="I763" s="333"/>
      <c r="J763" s="333"/>
      <c r="K763" s="333"/>
      <c r="L763" s="360"/>
      <c r="M763" s="333">
        <f t="shared" si="95"/>
        <v>5</v>
      </c>
      <c r="N763" s="333" t="e">
        <f t="shared" si="96"/>
        <v>#DIV/0!</v>
      </c>
      <c r="O763" s="333" t="e">
        <f t="shared" si="97"/>
        <v>#DIV/0!</v>
      </c>
      <c r="P763" s="334" t="e">
        <f t="shared" si="98"/>
        <v>#DIV/0!</v>
      </c>
      <c r="Q763" s="334" t="e">
        <f t="shared" si="99"/>
        <v>#DIV/0!</v>
      </c>
    </row>
    <row r="764" spans="2:17" x14ac:dyDescent="0.3">
      <c r="B764" s="333">
        <v>10</v>
      </c>
      <c r="C764" s="333"/>
      <c r="D764" s="333"/>
      <c r="E764" s="333"/>
      <c r="F764" s="333"/>
      <c r="G764" s="333"/>
      <c r="H764" s="333"/>
      <c r="I764" s="333"/>
      <c r="J764" s="333"/>
      <c r="K764" s="333"/>
      <c r="L764" s="360"/>
      <c r="M764" s="333">
        <f t="shared" si="95"/>
        <v>5</v>
      </c>
      <c r="N764" s="333" t="e">
        <f t="shared" si="96"/>
        <v>#DIV/0!</v>
      </c>
      <c r="O764" s="333" t="e">
        <f t="shared" si="97"/>
        <v>#DIV/0!</v>
      </c>
      <c r="P764" s="334" t="e">
        <f t="shared" si="98"/>
        <v>#DIV/0!</v>
      </c>
      <c r="Q764" s="334" t="e">
        <f t="shared" si="99"/>
        <v>#DIV/0!</v>
      </c>
    </row>
    <row r="765" spans="2:17" x14ac:dyDescent="0.3">
      <c r="B765" s="333">
        <v>10</v>
      </c>
      <c r="C765" s="333"/>
      <c r="D765" s="333"/>
      <c r="E765" s="333"/>
      <c r="F765" s="333"/>
      <c r="G765" s="333"/>
      <c r="H765" s="333"/>
      <c r="I765" s="333"/>
      <c r="J765" s="333"/>
      <c r="K765" s="333"/>
      <c r="L765" s="360"/>
      <c r="M765" s="333">
        <f t="shared" si="95"/>
        <v>5</v>
      </c>
      <c r="N765" s="333" t="e">
        <f t="shared" si="96"/>
        <v>#DIV/0!</v>
      </c>
      <c r="O765" s="333" t="e">
        <f t="shared" si="97"/>
        <v>#DIV/0!</v>
      </c>
      <c r="P765" s="334" t="e">
        <f t="shared" si="98"/>
        <v>#DIV/0!</v>
      </c>
      <c r="Q765" s="334" t="e">
        <f t="shared" si="99"/>
        <v>#DIV/0!</v>
      </c>
    </row>
    <row r="766" spans="2:17" x14ac:dyDescent="0.3">
      <c r="B766" s="333">
        <v>10</v>
      </c>
      <c r="C766" s="333"/>
      <c r="D766" s="333"/>
      <c r="E766" s="333"/>
      <c r="F766" s="333"/>
      <c r="G766" s="333"/>
      <c r="H766" s="333"/>
      <c r="I766" s="333"/>
      <c r="J766" s="333"/>
      <c r="K766" s="333"/>
      <c r="L766" s="360"/>
      <c r="M766" s="333">
        <f t="shared" si="95"/>
        <v>5</v>
      </c>
      <c r="N766" s="333" t="e">
        <f t="shared" si="96"/>
        <v>#DIV/0!</v>
      </c>
      <c r="O766" s="333" t="e">
        <f t="shared" si="97"/>
        <v>#DIV/0!</v>
      </c>
      <c r="P766" s="334" t="e">
        <f t="shared" si="98"/>
        <v>#DIV/0!</v>
      </c>
      <c r="Q766" s="334" t="e">
        <f t="shared" si="99"/>
        <v>#DIV/0!</v>
      </c>
    </row>
    <row r="767" spans="2:17" x14ac:dyDescent="0.3">
      <c r="B767" s="333">
        <v>10</v>
      </c>
      <c r="C767" s="333"/>
      <c r="D767" s="333"/>
      <c r="E767" s="333"/>
      <c r="F767" s="333"/>
      <c r="G767" s="333"/>
      <c r="H767" s="333"/>
      <c r="I767" s="333"/>
      <c r="J767" s="333"/>
      <c r="K767" s="333"/>
      <c r="L767" s="360"/>
      <c r="M767" s="333">
        <f t="shared" si="95"/>
        <v>5</v>
      </c>
      <c r="N767" s="333" t="e">
        <f t="shared" si="96"/>
        <v>#DIV/0!</v>
      </c>
      <c r="O767" s="333" t="e">
        <f t="shared" si="97"/>
        <v>#DIV/0!</v>
      </c>
      <c r="P767" s="334" t="e">
        <f t="shared" si="98"/>
        <v>#DIV/0!</v>
      </c>
      <c r="Q767" s="334" t="e">
        <f t="shared" si="99"/>
        <v>#DIV/0!</v>
      </c>
    </row>
    <row r="768" spans="2:17" x14ac:dyDescent="0.3">
      <c r="B768" s="333">
        <v>10</v>
      </c>
      <c r="C768" s="333"/>
      <c r="D768" s="333"/>
      <c r="E768" s="333"/>
      <c r="F768" s="333"/>
      <c r="G768" s="333"/>
      <c r="H768" s="333"/>
      <c r="I768" s="333"/>
      <c r="J768" s="333"/>
      <c r="K768" s="333"/>
      <c r="L768" s="360"/>
      <c r="M768" s="333">
        <f t="shared" si="95"/>
        <v>5</v>
      </c>
      <c r="N768" s="333" t="e">
        <f t="shared" si="96"/>
        <v>#DIV/0!</v>
      </c>
      <c r="O768" s="333" t="e">
        <f t="shared" si="97"/>
        <v>#DIV/0!</v>
      </c>
      <c r="P768" s="334" t="e">
        <f t="shared" si="98"/>
        <v>#DIV/0!</v>
      </c>
      <c r="Q768" s="334" t="e">
        <f t="shared" si="99"/>
        <v>#DIV/0!</v>
      </c>
    </row>
    <row r="769" spans="2:17" x14ac:dyDescent="0.3">
      <c r="B769" s="333">
        <v>10</v>
      </c>
      <c r="C769" s="333"/>
      <c r="D769" s="333"/>
      <c r="E769" s="333"/>
      <c r="F769" s="333"/>
      <c r="G769" s="333"/>
      <c r="H769" s="333"/>
      <c r="I769" s="333"/>
      <c r="J769" s="333"/>
      <c r="K769" s="333"/>
      <c r="L769" s="360"/>
      <c r="M769" s="333">
        <f t="shared" si="95"/>
        <v>5</v>
      </c>
      <c r="N769" s="333" t="e">
        <f t="shared" si="96"/>
        <v>#DIV/0!</v>
      </c>
      <c r="O769" s="333" t="e">
        <f t="shared" si="97"/>
        <v>#DIV/0!</v>
      </c>
      <c r="P769" s="334" t="e">
        <f t="shared" si="98"/>
        <v>#DIV/0!</v>
      </c>
      <c r="Q769" s="334" t="e">
        <f t="shared" si="99"/>
        <v>#DIV/0!</v>
      </c>
    </row>
    <row r="770" spans="2:17" x14ac:dyDescent="0.3">
      <c r="B770" s="333">
        <v>10</v>
      </c>
      <c r="C770" s="333"/>
      <c r="D770" s="333"/>
      <c r="E770" s="333"/>
      <c r="F770" s="333"/>
      <c r="G770" s="333"/>
      <c r="H770" s="333"/>
      <c r="I770" s="333"/>
      <c r="J770" s="333"/>
      <c r="K770" s="333"/>
      <c r="L770" s="360"/>
      <c r="M770" s="333">
        <f t="shared" si="95"/>
        <v>5</v>
      </c>
      <c r="N770" s="333" t="e">
        <f t="shared" si="96"/>
        <v>#DIV/0!</v>
      </c>
      <c r="O770" s="333" t="e">
        <f t="shared" si="97"/>
        <v>#DIV/0!</v>
      </c>
      <c r="P770" s="334" t="e">
        <f t="shared" si="98"/>
        <v>#DIV/0!</v>
      </c>
      <c r="Q770" s="334" t="e">
        <f t="shared" si="99"/>
        <v>#DIV/0!</v>
      </c>
    </row>
    <row r="771" spans="2:17" x14ac:dyDescent="0.3">
      <c r="B771" s="333">
        <v>10</v>
      </c>
      <c r="C771" s="333"/>
      <c r="D771" s="333"/>
      <c r="E771" s="333"/>
      <c r="F771" s="333"/>
      <c r="G771" s="333"/>
      <c r="H771" s="333"/>
      <c r="I771" s="333"/>
      <c r="J771" s="333"/>
      <c r="K771" s="333"/>
      <c r="L771" s="360"/>
      <c r="M771" s="333">
        <f t="shared" si="95"/>
        <v>5</v>
      </c>
      <c r="N771" s="333" t="e">
        <f t="shared" si="96"/>
        <v>#DIV/0!</v>
      </c>
      <c r="O771" s="333" t="e">
        <f t="shared" si="97"/>
        <v>#DIV/0!</v>
      </c>
      <c r="P771" s="334" t="e">
        <f t="shared" si="98"/>
        <v>#DIV/0!</v>
      </c>
      <c r="Q771" s="334" t="e">
        <f t="shared" si="99"/>
        <v>#DIV/0!</v>
      </c>
    </row>
    <row r="772" spans="2:17" x14ac:dyDescent="0.3">
      <c r="B772" s="333">
        <v>20</v>
      </c>
      <c r="C772" s="333"/>
      <c r="D772" s="333"/>
      <c r="E772" s="333"/>
      <c r="F772" s="333"/>
      <c r="G772" s="333"/>
      <c r="H772" s="333"/>
      <c r="I772" s="333"/>
      <c r="J772" s="333"/>
      <c r="K772" s="333"/>
      <c r="L772" s="360"/>
      <c r="M772" s="333">
        <f t="shared" si="95"/>
        <v>10</v>
      </c>
      <c r="N772" s="333" t="e">
        <f t="shared" si="96"/>
        <v>#DIV/0!</v>
      </c>
      <c r="O772" s="333" t="e">
        <f t="shared" si="97"/>
        <v>#DIV/0!</v>
      </c>
      <c r="P772" s="334" t="e">
        <f t="shared" si="98"/>
        <v>#DIV/0!</v>
      </c>
      <c r="Q772" s="334" t="e">
        <f t="shared" si="99"/>
        <v>#DIV/0!</v>
      </c>
    </row>
    <row r="773" spans="2:17" x14ac:dyDescent="0.3">
      <c r="B773" s="333">
        <v>20</v>
      </c>
      <c r="C773" s="333"/>
      <c r="D773" s="333"/>
      <c r="E773" s="333"/>
      <c r="F773" s="333"/>
      <c r="G773" s="333"/>
      <c r="H773" s="333"/>
      <c r="I773" s="333"/>
      <c r="J773" s="333"/>
      <c r="K773" s="333"/>
      <c r="L773" s="360"/>
      <c r="M773" s="333">
        <f t="shared" si="95"/>
        <v>10</v>
      </c>
      <c r="N773" s="333" t="e">
        <f t="shared" si="96"/>
        <v>#DIV/0!</v>
      </c>
      <c r="O773" s="333" t="e">
        <f t="shared" si="97"/>
        <v>#DIV/0!</v>
      </c>
      <c r="P773" s="334" t="e">
        <f t="shared" si="98"/>
        <v>#DIV/0!</v>
      </c>
      <c r="Q773" s="334" t="e">
        <f t="shared" si="99"/>
        <v>#DIV/0!</v>
      </c>
    </row>
    <row r="774" spans="2:17" x14ac:dyDescent="0.3">
      <c r="B774" s="333">
        <v>20</v>
      </c>
      <c r="C774" s="333"/>
      <c r="D774" s="333"/>
      <c r="E774" s="333"/>
      <c r="F774" s="333"/>
      <c r="G774" s="333"/>
      <c r="H774" s="333"/>
      <c r="I774" s="333"/>
      <c r="J774" s="333"/>
      <c r="K774" s="333"/>
      <c r="L774" s="360"/>
      <c r="M774" s="333">
        <f t="shared" si="95"/>
        <v>10</v>
      </c>
      <c r="N774" s="333" t="e">
        <f t="shared" si="96"/>
        <v>#DIV/0!</v>
      </c>
      <c r="O774" s="333" t="e">
        <f t="shared" si="97"/>
        <v>#DIV/0!</v>
      </c>
      <c r="P774" s="334" t="e">
        <f t="shared" si="98"/>
        <v>#DIV/0!</v>
      </c>
      <c r="Q774" s="334" t="e">
        <f t="shared" si="99"/>
        <v>#DIV/0!</v>
      </c>
    </row>
    <row r="775" spans="2:17" x14ac:dyDescent="0.3">
      <c r="B775" s="333">
        <v>20</v>
      </c>
      <c r="C775" s="333"/>
      <c r="D775" s="333"/>
      <c r="E775" s="333"/>
      <c r="F775" s="333"/>
      <c r="G775" s="333"/>
      <c r="H775" s="333"/>
      <c r="I775" s="333"/>
      <c r="J775" s="333"/>
      <c r="K775" s="333"/>
      <c r="L775" s="360"/>
      <c r="M775" s="333">
        <f t="shared" si="95"/>
        <v>10</v>
      </c>
      <c r="N775" s="333" t="e">
        <f t="shared" si="96"/>
        <v>#DIV/0!</v>
      </c>
      <c r="O775" s="333" t="e">
        <f t="shared" si="97"/>
        <v>#DIV/0!</v>
      </c>
      <c r="P775" s="334" t="e">
        <f t="shared" si="98"/>
        <v>#DIV/0!</v>
      </c>
      <c r="Q775" s="334" t="e">
        <f t="shared" si="99"/>
        <v>#DIV/0!</v>
      </c>
    </row>
    <row r="776" spans="2:17" x14ac:dyDescent="0.3">
      <c r="B776" s="333">
        <v>20</v>
      </c>
      <c r="C776" s="333"/>
      <c r="D776" s="333"/>
      <c r="E776" s="333"/>
      <c r="F776" s="333"/>
      <c r="G776" s="333"/>
      <c r="H776" s="333"/>
      <c r="I776" s="333"/>
      <c r="J776" s="333"/>
      <c r="K776" s="333"/>
      <c r="L776" s="360"/>
      <c r="M776" s="333">
        <f t="shared" si="95"/>
        <v>10</v>
      </c>
      <c r="N776" s="333" t="e">
        <f t="shared" si="96"/>
        <v>#DIV/0!</v>
      </c>
      <c r="O776" s="333" t="e">
        <f t="shared" si="97"/>
        <v>#DIV/0!</v>
      </c>
      <c r="P776" s="334" t="e">
        <f t="shared" si="98"/>
        <v>#DIV/0!</v>
      </c>
      <c r="Q776" s="334" t="e">
        <f t="shared" si="99"/>
        <v>#DIV/0!</v>
      </c>
    </row>
    <row r="777" spans="2:17" x14ac:dyDescent="0.3">
      <c r="B777" s="333">
        <v>20</v>
      </c>
      <c r="C777" s="333"/>
      <c r="D777" s="333"/>
      <c r="E777" s="333"/>
      <c r="F777" s="333"/>
      <c r="G777" s="333"/>
      <c r="H777" s="333"/>
      <c r="I777" s="333"/>
      <c r="J777" s="333"/>
      <c r="K777" s="333"/>
      <c r="L777" s="360"/>
      <c r="M777" s="333">
        <f t="shared" si="95"/>
        <v>10</v>
      </c>
      <c r="N777" s="333" t="e">
        <f t="shared" si="96"/>
        <v>#DIV/0!</v>
      </c>
      <c r="O777" s="333" t="e">
        <f t="shared" si="97"/>
        <v>#DIV/0!</v>
      </c>
      <c r="P777" s="334" t="e">
        <f t="shared" si="98"/>
        <v>#DIV/0!</v>
      </c>
      <c r="Q777" s="334" t="e">
        <f t="shared" si="99"/>
        <v>#DIV/0!</v>
      </c>
    </row>
    <row r="778" spans="2:17" x14ac:dyDescent="0.3">
      <c r="B778" s="333">
        <v>20</v>
      </c>
      <c r="C778" s="333"/>
      <c r="D778" s="333"/>
      <c r="E778" s="333"/>
      <c r="F778" s="333"/>
      <c r="G778" s="333"/>
      <c r="H778" s="333"/>
      <c r="I778" s="333"/>
      <c r="J778" s="333"/>
      <c r="K778" s="333"/>
      <c r="L778" s="360"/>
      <c r="M778" s="333">
        <f t="shared" si="95"/>
        <v>10</v>
      </c>
      <c r="N778" s="333" t="e">
        <f t="shared" si="96"/>
        <v>#DIV/0!</v>
      </c>
      <c r="O778" s="333" t="e">
        <f t="shared" si="97"/>
        <v>#DIV/0!</v>
      </c>
      <c r="P778" s="334" t="e">
        <f t="shared" si="98"/>
        <v>#DIV/0!</v>
      </c>
      <c r="Q778" s="334" t="e">
        <f t="shared" si="99"/>
        <v>#DIV/0!</v>
      </c>
    </row>
    <row r="779" spans="2:17" x14ac:dyDescent="0.3">
      <c r="B779" s="333">
        <v>20</v>
      </c>
      <c r="C779" s="333"/>
      <c r="D779" s="333"/>
      <c r="E779" s="333"/>
      <c r="F779" s="333"/>
      <c r="G779" s="333"/>
      <c r="H779" s="333"/>
      <c r="I779" s="333"/>
      <c r="J779" s="333"/>
      <c r="K779" s="333"/>
      <c r="L779" s="360"/>
      <c r="M779" s="333">
        <f t="shared" si="95"/>
        <v>10</v>
      </c>
      <c r="N779" s="333" t="e">
        <f t="shared" si="96"/>
        <v>#DIV/0!</v>
      </c>
      <c r="O779" s="333" t="e">
        <f t="shared" si="97"/>
        <v>#DIV/0!</v>
      </c>
      <c r="P779" s="334" t="e">
        <f t="shared" si="98"/>
        <v>#DIV/0!</v>
      </c>
      <c r="Q779" s="334" t="e">
        <f t="shared" si="99"/>
        <v>#DIV/0!</v>
      </c>
    </row>
    <row r="780" spans="2:17" x14ac:dyDescent="0.3">
      <c r="B780" s="333">
        <v>20</v>
      </c>
      <c r="C780" s="333"/>
      <c r="D780" s="333"/>
      <c r="E780" s="333"/>
      <c r="F780" s="333"/>
      <c r="G780" s="333"/>
      <c r="H780" s="333"/>
      <c r="I780" s="333"/>
      <c r="J780" s="333"/>
      <c r="K780" s="333"/>
      <c r="L780" s="360"/>
      <c r="M780" s="333">
        <f t="shared" si="95"/>
        <v>10</v>
      </c>
      <c r="N780" s="333" t="e">
        <f t="shared" si="96"/>
        <v>#DIV/0!</v>
      </c>
      <c r="O780" s="333" t="e">
        <f t="shared" si="97"/>
        <v>#DIV/0!</v>
      </c>
      <c r="P780" s="334" t="e">
        <f t="shared" si="98"/>
        <v>#DIV/0!</v>
      </c>
      <c r="Q780" s="334" t="e">
        <f t="shared" si="99"/>
        <v>#DIV/0!</v>
      </c>
    </row>
    <row r="781" spans="2:17" x14ac:dyDescent="0.3">
      <c r="B781" s="333">
        <v>20</v>
      </c>
      <c r="C781" s="333"/>
      <c r="D781" s="333"/>
      <c r="E781" s="333"/>
      <c r="F781" s="333"/>
      <c r="G781" s="333"/>
      <c r="H781" s="333"/>
      <c r="I781" s="333"/>
      <c r="J781" s="333"/>
      <c r="K781" s="333"/>
      <c r="L781" s="360"/>
      <c r="M781" s="333">
        <f t="shared" si="95"/>
        <v>10</v>
      </c>
      <c r="N781" s="333" t="e">
        <f t="shared" si="96"/>
        <v>#DIV/0!</v>
      </c>
      <c r="O781" s="333" t="e">
        <f t="shared" si="97"/>
        <v>#DIV/0!</v>
      </c>
      <c r="P781" s="334" t="e">
        <f t="shared" si="98"/>
        <v>#DIV/0!</v>
      </c>
      <c r="Q781" s="334" t="e">
        <f t="shared" si="99"/>
        <v>#DIV/0!</v>
      </c>
    </row>
    <row r="782" spans="2:17" x14ac:dyDescent="0.3">
      <c r="B782" s="333">
        <v>20</v>
      </c>
      <c r="C782" s="333"/>
      <c r="D782" s="333"/>
      <c r="E782" s="333"/>
      <c r="F782" s="333"/>
      <c r="G782" s="333"/>
      <c r="H782" s="333"/>
      <c r="I782" s="333"/>
      <c r="J782" s="333"/>
      <c r="K782" s="333"/>
      <c r="L782" s="360"/>
      <c r="M782" s="333">
        <f t="shared" si="95"/>
        <v>10</v>
      </c>
      <c r="N782" s="333" t="e">
        <f t="shared" si="96"/>
        <v>#DIV/0!</v>
      </c>
      <c r="O782" s="333" t="e">
        <f t="shared" si="97"/>
        <v>#DIV/0!</v>
      </c>
      <c r="P782" s="334" t="e">
        <f t="shared" si="98"/>
        <v>#DIV/0!</v>
      </c>
      <c r="Q782" s="334" t="e">
        <f t="shared" si="99"/>
        <v>#DIV/0!</v>
      </c>
    </row>
    <row r="783" spans="2:17" x14ac:dyDescent="0.3">
      <c r="B783" s="333">
        <v>20</v>
      </c>
      <c r="C783" s="333"/>
      <c r="D783" s="333"/>
      <c r="E783" s="333"/>
      <c r="F783" s="333"/>
      <c r="G783" s="333"/>
      <c r="H783" s="333"/>
      <c r="I783" s="333"/>
      <c r="J783" s="333"/>
      <c r="K783" s="333"/>
      <c r="L783" s="360"/>
      <c r="M783" s="333">
        <f t="shared" si="95"/>
        <v>10</v>
      </c>
      <c r="N783" s="333" t="e">
        <f t="shared" si="96"/>
        <v>#DIV/0!</v>
      </c>
      <c r="O783" s="333" t="e">
        <f t="shared" si="97"/>
        <v>#DIV/0!</v>
      </c>
      <c r="P783" s="334" t="e">
        <f t="shared" si="98"/>
        <v>#DIV/0!</v>
      </c>
      <c r="Q783" s="334" t="e">
        <f t="shared" si="99"/>
        <v>#DIV/0!</v>
      </c>
    </row>
    <row r="784" spans="2:17" x14ac:dyDescent="0.3">
      <c r="B784" s="333">
        <v>20</v>
      </c>
      <c r="C784" s="333"/>
      <c r="D784" s="333"/>
      <c r="E784" s="333"/>
      <c r="F784" s="333"/>
      <c r="G784" s="333"/>
      <c r="H784" s="333"/>
      <c r="I784" s="333"/>
      <c r="J784" s="333"/>
      <c r="K784" s="333"/>
      <c r="L784" s="360"/>
      <c r="M784" s="333">
        <f t="shared" si="95"/>
        <v>10</v>
      </c>
      <c r="N784" s="333" t="e">
        <f t="shared" si="96"/>
        <v>#DIV/0!</v>
      </c>
      <c r="O784" s="333" t="e">
        <f t="shared" si="97"/>
        <v>#DIV/0!</v>
      </c>
      <c r="P784" s="334" t="e">
        <f t="shared" si="98"/>
        <v>#DIV/0!</v>
      </c>
      <c r="Q784" s="334" t="e">
        <f t="shared" si="99"/>
        <v>#DIV/0!</v>
      </c>
    </row>
    <row r="785" spans="2:17" x14ac:dyDescent="0.3">
      <c r="B785" s="333">
        <v>20</v>
      </c>
      <c r="C785" s="333"/>
      <c r="D785" s="333"/>
      <c r="E785" s="333"/>
      <c r="F785" s="333"/>
      <c r="G785" s="333"/>
      <c r="H785" s="333"/>
      <c r="I785" s="333"/>
      <c r="J785" s="333"/>
      <c r="K785" s="333"/>
      <c r="L785" s="360"/>
      <c r="M785" s="333">
        <f t="shared" si="95"/>
        <v>10</v>
      </c>
      <c r="N785" s="333" t="e">
        <f t="shared" si="96"/>
        <v>#DIV/0!</v>
      </c>
      <c r="O785" s="333" t="e">
        <f t="shared" si="97"/>
        <v>#DIV/0!</v>
      </c>
      <c r="P785" s="334" t="e">
        <f t="shared" si="98"/>
        <v>#DIV/0!</v>
      </c>
      <c r="Q785" s="334" t="e">
        <f t="shared" si="99"/>
        <v>#DIV/0!</v>
      </c>
    </row>
    <row r="786" spans="2:17" x14ac:dyDescent="0.3">
      <c r="B786" s="333">
        <v>20</v>
      </c>
      <c r="C786" s="333"/>
      <c r="D786" s="333"/>
      <c r="E786" s="333"/>
      <c r="F786" s="333"/>
      <c r="G786" s="333"/>
      <c r="H786" s="333"/>
      <c r="I786" s="333"/>
      <c r="J786" s="333"/>
      <c r="K786" s="333"/>
      <c r="L786" s="360"/>
      <c r="M786" s="333">
        <f t="shared" si="95"/>
        <v>10</v>
      </c>
      <c r="N786" s="333" t="e">
        <f t="shared" si="96"/>
        <v>#DIV/0!</v>
      </c>
      <c r="O786" s="333" t="e">
        <f t="shared" si="97"/>
        <v>#DIV/0!</v>
      </c>
      <c r="P786" s="334" t="e">
        <f t="shared" si="98"/>
        <v>#DIV/0!</v>
      </c>
      <c r="Q786" s="334" t="e">
        <f t="shared" si="99"/>
        <v>#DIV/0!</v>
      </c>
    </row>
    <row r="787" spans="2:17" x14ac:dyDescent="0.3">
      <c r="B787" s="333">
        <v>20</v>
      </c>
      <c r="C787" s="333"/>
      <c r="D787" s="333"/>
      <c r="E787" s="333"/>
      <c r="F787" s="333"/>
      <c r="G787" s="333"/>
      <c r="H787" s="333"/>
      <c r="I787" s="333"/>
      <c r="J787" s="333"/>
      <c r="K787" s="333"/>
      <c r="L787" s="360"/>
      <c r="M787" s="333">
        <f t="shared" si="95"/>
        <v>10</v>
      </c>
      <c r="N787" s="333" t="e">
        <f t="shared" si="96"/>
        <v>#DIV/0!</v>
      </c>
      <c r="O787" s="333" t="e">
        <f t="shared" si="97"/>
        <v>#DIV/0!</v>
      </c>
      <c r="P787" s="334" t="e">
        <f t="shared" si="98"/>
        <v>#DIV/0!</v>
      </c>
      <c r="Q787" s="334" t="e">
        <f t="shared" si="99"/>
        <v>#DIV/0!</v>
      </c>
    </row>
    <row r="788" spans="2:17" x14ac:dyDescent="0.3">
      <c r="B788" s="333">
        <v>20</v>
      </c>
      <c r="C788" s="333"/>
      <c r="D788" s="333"/>
      <c r="E788" s="333"/>
      <c r="F788" s="333"/>
      <c r="G788" s="333"/>
      <c r="H788" s="333"/>
      <c r="I788" s="333"/>
      <c r="J788" s="333"/>
      <c r="K788" s="333"/>
      <c r="L788" s="360"/>
      <c r="M788" s="333">
        <f t="shared" si="95"/>
        <v>10</v>
      </c>
      <c r="N788" s="333" t="e">
        <f t="shared" si="96"/>
        <v>#DIV/0!</v>
      </c>
      <c r="O788" s="333" t="e">
        <f t="shared" si="97"/>
        <v>#DIV/0!</v>
      </c>
      <c r="P788" s="334" t="e">
        <f t="shared" si="98"/>
        <v>#DIV/0!</v>
      </c>
      <c r="Q788" s="334" t="e">
        <f t="shared" si="99"/>
        <v>#DIV/0!</v>
      </c>
    </row>
    <row r="789" spans="2:17" x14ac:dyDescent="0.3">
      <c r="B789" s="333">
        <v>20</v>
      </c>
      <c r="C789" s="333"/>
      <c r="D789" s="333"/>
      <c r="E789" s="333"/>
      <c r="F789" s="333"/>
      <c r="G789" s="333"/>
      <c r="H789" s="333"/>
      <c r="I789" s="333"/>
      <c r="J789" s="333"/>
      <c r="K789" s="333"/>
      <c r="L789" s="360"/>
      <c r="M789" s="333">
        <f t="shared" si="95"/>
        <v>10</v>
      </c>
      <c r="N789" s="333" t="e">
        <f t="shared" si="96"/>
        <v>#DIV/0!</v>
      </c>
      <c r="O789" s="333" t="e">
        <f t="shared" si="97"/>
        <v>#DIV/0!</v>
      </c>
      <c r="P789" s="334" t="e">
        <f t="shared" si="98"/>
        <v>#DIV/0!</v>
      </c>
      <c r="Q789" s="334" t="e">
        <f t="shared" si="99"/>
        <v>#DIV/0!</v>
      </c>
    </row>
    <row r="790" spans="2:17" x14ac:dyDescent="0.3">
      <c r="B790" s="333">
        <v>20</v>
      </c>
      <c r="C790" s="333"/>
      <c r="D790" s="333"/>
      <c r="E790" s="333"/>
      <c r="F790" s="333"/>
      <c r="G790" s="333"/>
      <c r="H790" s="333"/>
      <c r="I790" s="333"/>
      <c r="J790" s="333"/>
      <c r="K790" s="333"/>
      <c r="L790" s="360"/>
      <c r="M790" s="333">
        <f t="shared" si="95"/>
        <v>10</v>
      </c>
      <c r="N790" s="333" t="e">
        <f t="shared" si="96"/>
        <v>#DIV/0!</v>
      </c>
      <c r="O790" s="333" t="e">
        <f t="shared" si="97"/>
        <v>#DIV/0!</v>
      </c>
      <c r="P790" s="334" t="e">
        <f t="shared" si="98"/>
        <v>#DIV/0!</v>
      </c>
      <c r="Q790" s="334" t="e">
        <f t="shared" si="99"/>
        <v>#DIV/0!</v>
      </c>
    </row>
    <row r="791" spans="2:17" x14ac:dyDescent="0.3">
      <c r="B791" s="333">
        <v>20</v>
      </c>
      <c r="C791" s="333"/>
      <c r="D791" s="333"/>
      <c r="E791" s="333"/>
      <c r="F791" s="333"/>
      <c r="G791" s="333"/>
      <c r="H791" s="333"/>
      <c r="I791" s="333"/>
      <c r="J791" s="333"/>
      <c r="K791" s="333"/>
      <c r="L791" s="360"/>
      <c r="M791" s="333">
        <f t="shared" si="95"/>
        <v>10</v>
      </c>
      <c r="N791" s="333" t="e">
        <f t="shared" si="96"/>
        <v>#DIV/0!</v>
      </c>
      <c r="O791" s="333" t="e">
        <f t="shared" si="97"/>
        <v>#DIV/0!</v>
      </c>
      <c r="P791" s="334" t="e">
        <f t="shared" si="98"/>
        <v>#DIV/0!</v>
      </c>
      <c r="Q791" s="334" t="e">
        <f t="shared" si="99"/>
        <v>#DIV/0!</v>
      </c>
    </row>
    <row r="792" spans="2:17" x14ac:dyDescent="0.3">
      <c r="B792" s="333">
        <v>40</v>
      </c>
      <c r="C792" s="333"/>
      <c r="D792" s="333"/>
      <c r="E792" s="333"/>
      <c r="F792" s="333"/>
      <c r="G792" s="333"/>
      <c r="H792" s="333"/>
      <c r="I792" s="333"/>
      <c r="J792" s="333"/>
      <c r="K792" s="333"/>
      <c r="L792" s="360"/>
      <c r="M792" s="333">
        <f t="shared" si="95"/>
        <v>20</v>
      </c>
      <c r="N792" s="333" t="e">
        <f t="shared" si="96"/>
        <v>#DIV/0!</v>
      </c>
      <c r="O792" s="333" t="e">
        <f t="shared" si="97"/>
        <v>#DIV/0!</v>
      </c>
      <c r="P792" s="334" t="e">
        <f t="shared" si="98"/>
        <v>#DIV/0!</v>
      </c>
      <c r="Q792" s="334" t="e">
        <f t="shared" si="99"/>
        <v>#DIV/0!</v>
      </c>
    </row>
    <row r="793" spans="2:17" x14ac:dyDescent="0.3">
      <c r="B793" s="333">
        <v>40</v>
      </c>
      <c r="C793" s="333"/>
      <c r="D793" s="333"/>
      <c r="E793" s="333"/>
      <c r="F793" s="333"/>
      <c r="G793" s="333"/>
      <c r="H793" s="333"/>
      <c r="I793" s="333"/>
      <c r="J793" s="333"/>
      <c r="K793" s="333"/>
      <c r="L793" s="360"/>
      <c r="M793" s="333">
        <f t="shared" si="95"/>
        <v>20</v>
      </c>
      <c r="N793" s="333" t="e">
        <f t="shared" si="96"/>
        <v>#DIV/0!</v>
      </c>
      <c r="O793" s="333" t="e">
        <f t="shared" si="97"/>
        <v>#DIV/0!</v>
      </c>
      <c r="P793" s="334" t="e">
        <f t="shared" si="98"/>
        <v>#DIV/0!</v>
      </c>
      <c r="Q793" s="334" t="e">
        <f t="shared" si="99"/>
        <v>#DIV/0!</v>
      </c>
    </row>
    <row r="794" spans="2:17" x14ac:dyDescent="0.3">
      <c r="B794" s="333">
        <v>40</v>
      </c>
      <c r="C794" s="333"/>
      <c r="D794" s="333"/>
      <c r="E794" s="333"/>
      <c r="F794" s="333"/>
      <c r="G794" s="333"/>
      <c r="H794" s="333"/>
      <c r="I794" s="333"/>
      <c r="J794" s="333"/>
      <c r="K794" s="333"/>
      <c r="L794" s="360"/>
      <c r="M794" s="333">
        <f t="shared" si="95"/>
        <v>20</v>
      </c>
      <c r="N794" s="333" t="e">
        <f t="shared" si="96"/>
        <v>#DIV/0!</v>
      </c>
      <c r="O794" s="333" t="e">
        <f t="shared" si="97"/>
        <v>#DIV/0!</v>
      </c>
      <c r="P794" s="334" t="e">
        <f t="shared" si="98"/>
        <v>#DIV/0!</v>
      </c>
      <c r="Q794" s="334" t="e">
        <f t="shared" si="99"/>
        <v>#DIV/0!</v>
      </c>
    </row>
    <row r="795" spans="2:17" x14ac:dyDescent="0.3">
      <c r="B795" s="333">
        <v>40</v>
      </c>
      <c r="C795" s="333"/>
      <c r="D795" s="333"/>
      <c r="E795" s="333"/>
      <c r="F795" s="333"/>
      <c r="G795" s="333"/>
      <c r="H795" s="333"/>
      <c r="I795" s="333"/>
      <c r="J795" s="333"/>
      <c r="K795" s="333"/>
      <c r="L795" s="360"/>
      <c r="M795" s="333">
        <f t="shared" si="95"/>
        <v>20</v>
      </c>
      <c r="N795" s="333" t="e">
        <f t="shared" si="96"/>
        <v>#DIV/0!</v>
      </c>
      <c r="O795" s="333" t="e">
        <f t="shared" si="97"/>
        <v>#DIV/0!</v>
      </c>
      <c r="P795" s="334" t="e">
        <f t="shared" si="98"/>
        <v>#DIV/0!</v>
      </c>
      <c r="Q795" s="334" t="e">
        <f t="shared" si="99"/>
        <v>#DIV/0!</v>
      </c>
    </row>
    <row r="796" spans="2:17" x14ac:dyDescent="0.3">
      <c r="B796" s="333">
        <v>40</v>
      </c>
      <c r="C796" s="333"/>
      <c r="D796" s="333"/>
      <c r="E796" s="333"/>
      <c r="F796" s="333"/>
      <c r="G796" s="333"/>
      <c r="H796" s="333"/>
      <c r="I796" s="333"/>
      <c r="J796" s="333"/>
      <c r="K796" s="333"/>
      <c r="L796" s="360"/>
      <c r="M796" s="333">
        <f t="shared" ref="M796:M851" si="100">B796/2</f>
        <v>20</v>
      </c>
      <c r="N796" s="333" t="e">
        <f t="shared" si="96"/>
        <v>#DIV/0!</v>
      </c>
      <c r="O796" s="333" t="e">
        <f t="shared" si="97"/>
        <v>#DIV/0!</v>
      </c>
      <c r="P796" s="334" t="e">
        <f t="shared" si="98"/>
        <v>#DIV/0!</v>
      </c>
      <c r="Q796" s="334" t="e">
        <f t="shared" si="99"/>
        <v>#DIV/0!</v>
      </c>
    </row>
    <row r="797" spans="2:17" x14ac:dyDescent="0.3">
      <c r="B797" s="333">
        <v>40</v>
      </c>
      <c r="C797" s="333"/>
      <c r="D797" s="333"/>
      <c r="E797" s="333"/>
      <c r="F797" s="333"/>
      <c r="G797" s="333"/>
      <c r="H797" s="333"/>
      <c r="I797" s="333"/>
      <c r="J797" s="333"/>
      <c r="K797" s="333"/>
      <c r="L797" s="360"/>
      <c r="M797" s="333">
        <f t="shared" si="100"/>
        <v>20</v>
      </c>
      <c r="N797" s="333" t="e">
        <f t="shared" si="96"/>
        <v>#DIV/0!</v>
      </c>
      <c r="O797" s="333" t="e">
        <f t="shared" si="97"/>
        <v>#DIV/0!</v>
      </c>
      <c r="P797" s="334" t="e">
        <f t="shared" si="98"/>
        <v>#DIV/0!</v>
      </c>
      <c r="Q797" s="334" t="e">
        <f t="shared" si="99"/>
        <v>#DIV/0!</v>
      </c>
    </row>
    <row r="798" spans="2:17" x14ac:dyDescent="0.3">
      <c r="B798" s="333">
        <v>40</v>
      </c>
      <c r="C798" s="333"/>
      <c r="D798" s="333"/>
      <c r="E798" s="333"/>
      <c r="F798" s="333"/>
      <c r="G798" s="333"/>
      <c r="H798" s="333"/>
      <c r="I798" s="333"/>
      <c r="J798" s="333"/>
      <c r="K798" s="333"/>
      <c r="L798" s="360"/>
      <c r="M798" s="333">
        <f t="shared" si="100"/>
        <v>20</v>
      </c>
      <c r="N798" s="333" t="e">
        <f t="shared" ref="N798:N851" si="101">(SUM(C798:E798)-SUM($C$193:$E$193))*$F$71</f>
        <v>#DIV/0!</v>
      </c>
      <c r="O798" s="333" t="e">
        <f t="shared" ref="O798:O851" si="102">(SUM(F798:H798)-SUM($F$193:$H$193))*$G$71</f>
        <v>#DIV/0!</v>
      </c>
      <c r="P798" s="334" t="e">
        <f t="shared" ref="P798:P851" si="103">N798-M798</f>
        <v>#DIV/0!</v>
      </c>
      <c r="Q798" s="334" t="e">
        <f t="shared" ref="Q798:Q851" si="104">O798-M798</f>
        <v>#DIV/0!</v>
      </c>
    </row>
    <row r="799" spans="2:17" x14ac:dyDescent="0.3">
      <c r="B799" s="333">
        <v>40</v>
      </c>
      <c r="C799" s="333"/>
      <c r="D799" s="333"/>
      <c r="E799" s="333"/>
      <c r="F799" s="333"/>
      <c r="G799" s="333"/>
      <c r="H799" s="333"/>
      <c r="I799" s="333"/>
      <c r="J799" s="333"/>
      <c r="K799" s="333"/>
      <c r="L799" s="360"/>
      <c r="M799" s="333">
        <f t="shared" si="100"/>
        <v>20</v>
      </c>
      <c r="N799" s="333" t="e">
        <f t="shared" si="101"/>
        <v>#DIV/0!</v>
      </c>
      <c r="O799" s="333" t="e">
        <f t="shared" si="102"/>
        <v>#DIV/0!</v>
      </c>
      <c r="P799" s="334" t="e">
        <f t="shared" si="103"/>
        <v>#DIV/0!</v>
      </c>
      <c r="Q799" s="334" t="e">
        <f t="shared" si="104"/>
        <v>#DIV/0!</v>
      </c>
    </row>
    <row r="800" spans="2:17" x14ac:dyDescent="0.3">
      <c r="B800" s="333">
        <v>40</v>
      </c>
      <c r="C800" s="333"/>
      <c r="D800" s="333"/>
      <c r="E800" s="333"/>
      <c r="F800" s="333"/>
      <c r="G800" s="333"/>
      <c r="H800" s="333"/>
      <c r="I800" s="333"/>
      <c r="J800" s="333"/>
      <c r="K800" s="333"/>
      <c r="L800" s="360"/>
      <c r="M800" s="333">
        <f t="shared" si="100"/>
        <v>20</v>
      </c>
      <c r="N800" s="333" t="e">
        <f t="shared" si="101"/>
        <v>#DIV/0!</v>
      </c>
      <c r="O800" s="333" t="e">
        <f t="shared" si="102"/>
        <v>#DIV/0!</v>
      </c>
      <c r="P800" s="334" t="e">
        <f t="shared" si="103"/>
        <v>#DIV/0!</v>
      </c>
      <c r="Q800" s="334" t="e">
        <f t="shared" si="104"/>
        <v>#DIV/0!</v>
      </c>
    </row>
    <row r="801" spans="2:17" x14ac:dyDescent="0.3">
      <c r="B801" s="333">
        <v>40</v>
      </c>
      <c r="C801" s="333"/>
      <c r="D801" s="333"/>
      <c r="E801" s="333"/>
      <c r="F801" s="333"/>
      <c r="G801" s="333"/>
      <c r="H801" s="333"/>
      <c r="I801" s="333"/>
      <c r="J801" s="333"/>
      <c r="K801" s="333"/>
      <c r="L801" s="360"/>
      <c r="M801" s="333">
        <f t="shared" si="100"/>
        <v>20</v>
      </c>
      <c r="N801" s="333" t="e">
        <f t="shared" si="101"/>
        <v>#DIV/0!</v>
      </c>
      <c r="O801" s="333" t="e">
        <f t="shared" si="102"/>
        <v>#DIV/0!</v>
      </c>
      <c r="P801" s="334" t="e">
        <f t="shared" si="103"/>
        <v>#DIV/0!</v>
      </c>
      <c r="Q801" s="334" t="e">
        <f t="shared" si="104"/>
        <v>#DIV/0!</v>
      </c>
    </row>
    <row r="802" spans="2:17" x14ac:dyDescent="0.3">
      <c r="B802" s="333">
        <v>40</v>
      </c>
      <c r="C802" s="333"/>
      <c r="D802" s="333"/>
      <c r="E802" s="333"/>
      <c r="F802" s="333"/>
      <c r="G802" s="333"/>
      <c r="H802" s="333"/>
      <c r="I802" s="333"/>
      <c r="J802" s="333"/>
      <c r="K802" s="333"/>
      <c r="L802" s="360"/>
      <c r="M802" s="333">
        <f t="shared" si="100"/>
        <v>20</v>
      </c>
      <c r="N802" s="333" t="e">
        <f t="shared" si="101"/>
        <v>#DIV/0!</v>
      </c>
      <c r="O802" s="333" t="e">
        <f t="shared" si="102"/>
        <v>#DIV/0!</v>
      </c>
      <c r="P802" s="334" t="e">
        <f t="shared" si="103"/>
        <v>#DIV/0!</v>
      </c>
      <c r="Q802" s="334" t="e">
        <f t="shared" si="104"/>
        <v>#DIV/0!</v>
      </c>
    </row>
    <row r="803" spans="2:17" x14ac:dyDescent="0.3">
      <c r="B803" s="333">
        <v>40</v>
      </c>
      <c r="C803" s="333"/>
      <c r="D803" s="333"/>
      <c r="E803" s="333"/>
      <c r="F803" s="333"/>
      <c r="G803" s="333"/>
      <c r="H803" s="333"/>
      <c r="I803" s="333"/>
      <c r="J803" s="333"/>
      <c r="K803" s="333"/>
      <c r="L803" s="360"/>
      <c r="M803" s="333">
        <f t="shared" si="100"/>
        <v>20</v>
      </c>
      <c r="N803" s="333" t="e">
        <f t="shared" si="101"/>
        <v>#DIV/0!</v>
      </c>
      <c r="O803" s="333" t="e">
        <f t="shared" si="102"/>
        <v>#DIV/0!</v>
      </c>
      <c r="P803" s="334" t="e">
        <f t="shared" si="103"/>
        <v>#DIV/0!</v>
      </c>
      <c r="Q803" s="334" t="e">
        <f t="shared" si="104"/>
        <v>#DIV/0!</v>
      </c>
    </row>
    <row r="804" spans="2:17" x14ac:dyDescent="0.3">
      <c r="B804" s="333">
        <v>40</v>
      </c>
      <c r="C804" s="333"/>
      <c r="D804" s="333"/>
      <c r="E804" s="333"/>
      <c r="F804" s="333"/>
      <c r="G804" s="333"/>
      <c r="H804" s="333"/>
      <c r="I804" s="333"/>
      <c r="J804" s="333"/>
      <c r="K804" s="333"/>
      <c r="L804" s="360"/>
      <c r="M804" s="333">
        <f t="shared" si="100"/>
        <v>20</v>
      </c>
      <c r="N804" s="333" t="e">
        <f t="shared" si="101"/>
        <v>#DIV/0!</v>
      </c>
      <c r="O804" s="333" t="e">
        <f t="shared" si="102"/>
        <v>#DIV/0!</v>
      </c>
      <c r="P804" s="334" t="e">
        <f t="shared" si="103"/>
        <v>#DIV/0!</v>
      </c>
      <c r="Q804" s="334" t="e">
        <f t="shared" si="104"/>
        <v>#DIV/0!</v>
      </c>
    </row>
    <row r="805" spans="2:17" x14ac:dyDescent="0.3">
      <c r="B805" s="333">
        <v>40</v>
      </c>
      <c r="C805" s="333"/>
      <c r="D805" s="333"/>
      <c r="E805" s="333"/>
      <c r="F805" s="333"/>
      <c r="G805" s="333"/>
      <c r="H805" s="333"/>
      <c r="I805" s="333"/>
      <c r="J805" s="333"/>
      <c r="K805" s="333"/>
      <c r="L805" s="360"/>
      <c r="M805" s="333">
        <f t="shared" si="100"/>
        <v>20</v>
      </c>
      <c r="N805" s="333" t="e">
        <f t="shared" si="101"/>
        <v>#DIV/0!</v>
      </c>
      <c r="O805" s="333" t="e">
        <f t="shared" si="102"/>
        <v>#DIV/0!</v>
      </c>
      <c r="P805" s="334" t="e">
        <f t="shared" si="103"/>
        <v>#DIV/0!</v>
      </c>
      <c r="Q805" s="334" t="e">
        <f t="shared" si="104"/>
        <v>#DIV/0!</v>
      </c>
    </row>
    <row r="806" spans="2:17" x14ac:dyDescent="0.3">
      <c r="B806" s="333">
        <v>40</v>
      </c>
      <c r="C806" s="333"/>
      <c r="D806" s="333"/>
      <c r="E806" s="333"/>
      <c r="F806" s="333"/>
      <c r="G806" s="333"/>
      <c r="H806" s="333"/>
      <c r="I806" s="333"/>
      <c r="J806" s="333"/>
      <c r="K806" s="333"/>
      <c r="L806" s="360"/>
      <c r="M806" s="333">
        <f t="shared" si="100"/>
        <v>20</v>
      </c>
      <c r="N806" s="333" t="e">
        <f t="shared" si="101"/>
        <v>#DIV/0!</v>
      </c>
      <c r="O806" s="333" t="e">
        <f t="shared" si="102"/>
        <v>#DIV/0!</v>
      </c>
      <c r="P806" s="334" t="e">
        <f t="shared" si="103"/>
        <v>#DIV/0!</v>
      </c>
      <c r="Q806" s="334" t="e">
        <f t="shared" si="104"/>
        <v>#DIV/0!</v>
      </c>
    </row>
    <row r="807" spans="2:17" x14ac:dyDescent="0.3">
      <c r="B807" s="333">
        <v>40</v>
      </c>
      <c r="C807" s="333"/>
      <c r="D807" s="333"/>
      <c r="E807" s="333"/>
      <c r="F807" s="333"/>
      <c r="G807" s="333"/>
      <c r="H807" s="333"/>
      <c r="I807" s="333"/>
      <c r="J807" s="333"/>
      <c r="K807" s="333"/>
      <c r="L807" s="360"/>
      <c r="M807" s="333">
        <f t="shared" si="100"/>
        <v>20</v>
      </c>
      <c r="N807" s="333" t="e">
        <f t="shared" si="101"/>
        <v>#DIV/0!</v>
      </c>
      <c r="O807" s="333" t="e">
        <f t="shared" si="102"/>
        <v>#DIV/0!</v>
      </c>
      <c r="P807" s="334" t="e">
        <f t="shared" si="103"/>
        <v>#DIV/0!</v>
      </c>
      <c r="Q807" s="334" t="e">
        <f t="shared" si="104"/>
        <v>#DIV/0!</v>
      </c>
    </row>
    <row r="808" spans="2:17" x14ac:dyDescent="0.3">
      <c r="B808" s="333">
        <v>40</v>
      </c>
      <c r="C808" s="333"/>
      <c r="D808" s="333"/>
      <c r="E808" s="333"/>
      <c r="F808" s="333"/>
      <c r="G808" s="333"/>
      <c r="H808" s="333"/>
      <c r="I808" s="333"/>
      <c r="J808" s="333"/>
      <c r="K808" s="333"/>
      <c r="L808" s="360"/>
      <c r="M808" s="333">
        <f t="shared" si="100"/>
        <v>20</v>
      </c>
      <c r="N808" s="333" t="e">
        <f t="shared" si="101"/>
        <v>#DIV/0!</v>
      </c>
      <c r="O808" s="333" t="e">
        <f t="shared" si="102"/>
        <v>#DIV/0!</v>
      </c>
      <c r="P808" s="334" t="e">
        <f t="shared" si="103"/>
        <v>#DIV/0!</v>
      </c>
      <c r="Q808" s="334" t="e">
        <f t="shared" si="104"/>
        <v>#DIV/0!</v>
      </c>
    </row>
    <row r="809" spans="2:17" x14ac:dyDescent="0.3">
      <c r="B809" s="333">
        <v>40</v>
      </c>
      <c r="C809" s="333"/>
      <c r="D809" s="333"/>
      <c r="E809" s="333"/>
      <c r="F809" s="333"/>
      <c r="G809" s="333"/>
      <c r="H809" s="333"/>
      <c r="I809" s="333"/>
      <c r="J809" s="333"/>
      <c r="K809" s="333"/>
      <c r="L809" s="360"/>
      <c r="M809" s="333">
        <f t="shared" si="100"/>
        <v>20</v>
      </c>
      <c r="N809" s="333" t="e">
        <f t="shared" si="101"/>
        <v>#DIV/0!</v>
      </c>
      <c r="O809" s="333" t="e">
        <f t="shared" si="102"/>
        <v>#DIV/0!</v>
      </c>
      <c r="P809" s="334" t="e">
        <f t="shared" si="103"/>
        <v>#DIV/0!</v>
      </c>
      <c r="Q809" s="334" t="e">
        <f t="shared" si="104"/>
        <v>#DIV/0!</v>
      </c>
    </row>
    <row r="810" spans="2:17" x14ac:dyDescent="0.3">
      <c r="B810" s="333">
        <v>40</v>
      </c>
      <c r="C810" s="333"/>
      <c r="D810" s="333"/>
      <c r="E810" s="333"/>
      <c r="F810" s="333"/>
      <c r="G810" s="333"/>
      <c r="H810" s="333"/>
      <c r="I810" s="333"/>
      <c r="J810" s="333"/>
      <c r="K810" s="333"/>
      <c r="L810" s="360"/>
      <c r="M810" s="333">
        <f t="shared" si="100"/>
        <v>20</v>
      </c>
      <c r="N810" s="333" t="e">
        <f t="shared" si="101"/>
        <v>#DIV/0!</v>
      </c>
      <c r="O810" s="333" t="e">
        <f t="shared" si="102"/>
        <v>#DIV/0!</v>
      </c>
      <c r="P810" s="334" t="e">
        <f t="shared" si="103"/>
        <v>#DIV/0!</v>
      </c>
      <c r="Q810" s="334" t="e">
        <f t="shared" si="104"/>
        <v>#DIV/0!</v>
      </c>
    </row>
    <row r="811" spans="2:17" x14ac:dyDescent="0.3">
      <c r="B811" s="333">
        <v>40</v>
      </c>
      <c r="C811" s="333"/>
      <c r="D811" s="333"/>
      <c r="E811" s="333"/>
      <c r="F811" s="333"/>
      <c r="G811" s="333"/>
      <c r="H811" s="333"/>
      <c r="I811" s="333"/>
      <c r="J811" s="333"/>
      <c r="K811" s="333"/>
      <c r="L811" s="360"/>
      <c r="M811" s="333">
        <f t="shared" si="100"/>
        <v>20</v>
      </c>
      <c r="N811" s="333" t="e">
        <f t="shared" si="101"/>
        <v>#DIV/0!</v>
      </c>
      <c r="O811" s="333" t="e">
        <f t="shared" si="102"/>
        <v>#DIV/0!</v>
      </c>
      <c r="P811" s="334" t="e">
        <f t="shared" si="103"/>
        <v>#DIV/0!</v>
      </c>
      <c r="Q811" s="334" t="e">
        <f t="shared" si="104"/>
        <v>#DIV/0!</v>
      </c>
    </row>
    <row r="812" spans="2:17" x14ac:dyDescent="0.3">
      <c r="B812" s="333">
        <v>60</v>
      </c>
      <c r="C812" s="333"/>
      <c r="D812" s="333"/>
      <c r="E812" s="333"/>
      <c r="F812" s="333"/>
      <c r="G812" s="333"/>
      <c r="H812" s="333"/>
      <c r="I812" s="333"/>
      <c r="J812" s="333"/>
      <c r="K812" s="333"/>
      <c r="L812" s="360"/>
      <c r="M812" s="333">
        <f t="shared" si="100"/>
        <v>30</v>
      </c>
      <c r="N812" s="333" t="e">
        <f t="shared" si="101"/>
        <v>#DIV/0!</v>
      </c>
      <c r="O812" s="333" t="e">
        <f t="shared" si="102"/>
        <v>#DIV/0!</v>
      </c>
      <c r="P812" s="334" t="e">
        <f t="shared" si="103"/>
        <v>#DIV/0!</v>
      </c>
      <c r="Q812" s="334" t="e">
        <f t="shared" si="104"/>
        <v>#DIV/0!</v>
      </c>
    </row>
    <row r="813" spans="2:17" x14ac:dyDescent="0.3">
      <c r="B813" s="333">
        <v>60</v>
      </c>
      <c r="C813" s="333"/>
      <c r="D813" s="333"/>
      <c r="E813" s="333"/>
      <c r="F813" s="333"/>
      <c r="G813" s="333"/>
      <c r="H813" s="333"/>
      <c r="I813" s="333"/>
      <c r="J813" s="333"/>
      <c r="K813" s="333"/>
      <c r="L813" s="360"/>
      <c r="M813" s="333">
        <f t="shared" si="100"/>
        <v>30</v>
      </c>
      <c r="N813" s="333" t="e">
        <f t="shared" si="101"/>
        <v>#DIV/0!</v>
      </c>
      <c r="O813" s="333" t="e">
        <f t="shared" si="102"/>
        <v>#DIV/0!</v>
      </c>
      <c r="P813" s="334" t="e">
        <f t="shared" si="103"/>
        <v>#DIV/0!</v>
      </c>
      <c r="Q813" s="334" t="e">
        <f t="shared" si="104"/>
        <v>#DIV/0!</v>
      </c>
    </row>
    <row r="814" spans="2:17" x14ac:dyDescent="0.3">
      <c r="B814" s="333">
        <v>60</v>
      </c>
      <c r="C814" s="333"/>
      <c r="D814" s="333"/>
      <c r="E814" s="333"/>
      <c r="F814" s="333"/>
      <c r="G814" s="333"/>
      <c r="H814" s="333"/>
      <c r="I814" s="333"/>
      <c r="J814" s="333"/>
      <c r="K814" s="333"/>
      <c r="L814" s="360"/>
      <c r="M814" s="333">
        <f t="shared" si="100"/>
        <v>30</v>
      </c>
      <c r="N814" s="333" t="e">
        <f t="shared" si="101"/>
        <v>#DIV/0!</v>
      </c>
      <c r="O814" s="333" t="e">
        <f t="shared" si="102"/>
        <v>#DIV/0!</v>
      </c>
      <c r="P814" s="334" t="e">
        <f t="shared" si="103"/>
        <v>#DIV/0!</v>
      </c>
      <c r="Q814" s="334" t="e">
        <f t="shared" si="104"/>
        <v>#DIV/0!</v>
      </c>
    </row>
    <row r="815" spans="2:17" x14ac:dyDescent="0.3">
      <c r="B815" s="333">
        <v>60</v>
      </c>
      <c r="C815" s="333"/>
      <c r="D815" s="333"/>
      <c r="E815" s="333"/>
      <c r="F815" s="333"/>
      <c r="G815" s="333"/>
      <c r="H815" s="333"/>
      <c r="I815" s="333"/>
      <c r="J815" s="333"/>
      <c r="K815" s="333"/>
      <c r="L815" s="360"/>
      <c r="M815" s="333">
        <f t="shared" si="100"/>
        <v>30</v>
      </c>
      <c r="N815" s="333" t="e">
        <f t="shared" si="101"/>
        <v>#DIV/0!</v>
      </c>
      <c r="O815" s="333" t="e">
        <f t="shared" si="102"/>
        <v>#DIV/0!</v>
      </c>
      <c r="P815" s="334" t="e">
        <f t="shared" si="103"/>
        <v>#DIV/0!</v>
      </c>
      <c r="Q815" s="334" t="e">
        <f t="shared" si="104"/>
        <v>#DIV/0!</v>
      </c>
    </row>
    <row r="816" spans="2:17" x14ac:dyDescent="0.3">
      <c r="B816" s="333">
        <v>60</v>
      </c>
      <c r="C816" s="333"/>
      <c r="D816" s="333"/>
      <c r="E816" s="333"/>
      <c r="F816" s="333"/>
      <c r="G816" s="333"/>
      <c r="H816" s="333"/>
      <c r="I816" s="333"/>
      <c r="J816" s="333"/>
      <c r="K816" s="333"/>
      <c r="L816" s="360"/>
      <c r="M816" s="333">
        <f t="shared" si="100"/>
        <v>30</v>
      </c>
      <c r="N816" s="333" t="e">
        <f t="shared" si="101"/>
        <v>#DIV/0!</v>
      </c>
      <c r="O816" s="333" t="e">
        <f t="shared" si="102"/>
        <v>#DIV/0!</v>
      </c>
      <c r="P816" s="334" t="e">
        <f t="shared" si="103"/>
        <v>#DIV/0!</v>
      </c>
      <c r="Q816" s="334" t="e">
        <f t="shared" si="104"/>
        <v>#DIV/0!</v>
      </c>
    </row>
    <row r="817" spans="2:17" x14ac:dyDescent="0.3">
      <c r="B817" s="333">
        <v>60</v>
      </c>
      <c r="C817" s="333"/>
      <c r="D817" s="333"/>
      <c r="E817" s="333"/>
      <c r="F817" s="333"/>
      <c r="G817" s="333"/>
      <c r="H817" s="333"/>
      <c r="I817" s="333"/>
      <c r="J817" s="333"/>
      <c r="K817" s="333"/>
      <c r="L817" s="360"/>
      <c r="M817" s="333">
        <f t="shared" si="100"/>
        <v>30</v>
      </c>
      <c r="N817" s="333" t="e">
        <f t="shared" si="101"/>
        <v>#DIV/0!</v>
      </c>
      <c r="O817" s="333" t="e">
        <f t="shared" si="102"/>
        <v>#DIV/0!</v>
      </c>
      <c r="P817" s="334" t="e">
        <f t="shared" si="103"/>
        <v>#DIV/0!</v>
      </c>
      <c r="Q817" s="334" t="e">
        <f t="shared" si="104"/>
        <v>#DIV/0!</v>
      </c>
    </row>
    <row r="818" spans="2:17" x14ac:dyDescent="0.3">
      <c r="B818" s="333">
        <v>60</v>
      </c>
      <c r="C818" s="333"/>
      <c r="D818" s="333"/>
      <c r="E818" s="333"/>
      <c r="F818" s="333"/>
      <c r="G818" s="333"/>
      <c r="H818" s="333"/>
      <c r="I818" s="333"/>
      <c r="J818" s="333"/>
      <c r="K818" s="333"/>
      <c r="L818" s="360"/>
      <c r="M818" s="333">
        <f t="shared" si="100"/>
        <v>30</v>
      </c>
      <c r="N818" s="333" t="e">
        <f t="shared" si="101"/>
        <v>#DIV/0!</v>
      </c>
      <c r="O818" s="333" t="e">
        <f t="shared" si="102"/>
        <v>#DIV/0!</v>
      </c>
      <c r="P818" s="334" t="e">
        <f t="shared" si="103"/>
        <v>#DIV/0!</v>
      </c>
      <c r="Q818" s="334" t="e">
        <f t="shared" si="104"/>
        <v>#DIV/0!</v>
      </c>
    </row>
    <row r="819" spans="2:17" x14ac:dyDescent="0.3">
      <c r="B819" s="333">
        <v>60</v>
      </c>
      <c r="C819" s="333"/>
      <c r="D819" s="333"/>
      <c r="E819" s="333"/>
      <c r="F819" s="333"/>
      <c r="G819" s="333"/>
      <c r="H819" s="333"/>
      <c r="I819" s="333"/>
      <c r="J819" s="333"/>
      <c r="K819" s="333"/>
      <c r="L819" s="360"/>
      <c r="M819" s="333">
        <f t="shared" si="100"/>
        <v>30</v>
      </c>
      <c r="N819" s="333" t="e">
        <f t="shared" si="101"/>
        <v>#DIV/0!</v>
      </c>
      <c r="O819" s="333" t="e">
        <f t="shared" si="102"/>
        <v>#DIV/0!</v>
      </c>
      <c r="P819" s="334" t="e">
        <f t="shared" si="103"/>
        <v>#DIV/0!</v>
      </c>
      <c r="Q819" s="334" t="e">
        <f t="shared" si="104"/>
        <v>#DIV/0!</v>
      </c>
    </row>
    <row r="820" spans="2:17" x14ac:dyDescent="0.3">
      <c r="B820" s="333">
        <v>60</v>
      </c>
      <c r="C820" s="333"/>
      <c r="D820" s="333"/>
      <c r="E820" s="333"/>
      <c r="F820" s="333"/>
      <c r="G820" s="333"/>
      <c r="H820" s="333"/>
      <c r="I820" s="333"/>
      <c r="J820" s="333"/>
      <c r="K820" s="333"/>
      <c r="L820" s="360"/>
      <c r="M820" s="333">
        <f t="shared" si="100"/>
        <v>30</v>
      </c>
      <c r="N820" s="333" t="e">
        <f t="shared" si="101"/>
        <v>#DIV/0!</v>
      </c>
      <c r="O820" s="333" t="e">
        <f t="shared" si="102"/>
        <v>#DIV/0!</v>
      </c>
      <c r="P820" s="334" t="e">
        <f t="shared" si="103"/>
        <v>#DIV/0!</v>
      </c>
      <c r="Q820" s="334" t="e">
        <f t="shared" si="104"/>
        <v>#DIV/0!</v>
      </c>
    </row>
    <row r="821" spans="2:17" x14ac:dyDescent="0.3">
      <c r="B821" s="333">
        <v>60</v>
      </c>
      <c r="C821" s="333"/>
      <c r="D821" s="333"/>
      <c r="E821" s="333"/>
      <c r="F821" s="333"/>
      <c r="G821" s="333"/>
      <c r="H821" s="333"/>
      <c r="I821" s="333"/>
      <c r="J821" s="333"/>
      <c r="K821" s="333"/>
      <c r="L821" s="360"/>
      <c r="M821" s="333">
        <f t="shared" si="100"/>
        <v>30</v>
      </c>
      <c r="N821" s="333" t="e">
        <f t="shared" si="101"/>
        <v>#DIV/0!</v>
      </c>
      <c r="O821" s="333" t="e">
        <f t="shared" si="102"/>
        <v>#DIV/0!</v>
      </c>
      <c r="P821" s="334" t="e">
        <f t="shared" si="103"/>
        <v>#DIV/0!</v>
      </c>
      <c r="Q821" s="334" t="e">
        <f t="shared" si="104"/>
        <v>#DIV/0!</v>
      </c>
    </row>
    <row r="822" spans="2:17" x14ac:dyDescent="0.3">
      <c r="B822" s="333">
        <v>60</v>
      </c>
      <c r="C822" s="333"/>
      <c r="D822" s="333"/>
      <c r="E822" s="333"/>
      <c r="F822" s="333"/>
      <c r="G822" s="333"/>
      <c r="H822" s="333"/>
      <c r="I822" s="333"/>
      <c r="J822" s="333"/>
      <c r="K822" s="333"/>
      <c r="L822" s="360"/>
      <c r="M822" s="333">
        <f t="shared" si="100"/>
        <v>30</v>
      </c>
      <c r="N822" s="333" t="e">
        <f t="shared" si="101"/>
        <v>#DIV/0!</v>
      </c>
      <c r="O822" s="333" t="e">
        <f t="shared" si="102"/>
        <v>#DIV/0!</v>
      </c>
      <c r="P822" s="334" t="e">
        <f t="shared" si="103"/>
        <v>#DIV/0!</v>
      </c>
      <c r="Q822" s="334" t="e">
        <f t="shared" si="104"/>
        <v>#DIV/0!</v>
      </c>
    </row>
    <row r="823" spans="2:17" x14ac:dyDescent="0.3">
      <c r="B823" s="333">
        <v>60</v>
      </c>
      <c r="C823" s="333"/>
      <c r="D823" s="333"/>
      <c r="E823" s="333"/>
      <c r="F823" s="333"/>
      <c r="G823" s="333"/>
      <c r="H823" s="333"/>
      <c r="I823" s="333"/>
      <c r="J823" s="333"/>
      <c r="K823" s="333"/>
      <c r="L823" s="360"/>
      <c r="M823" s="333">
        <f t="shared" si="100"/>
        <v>30</v>
      </c>
      <c r="N823" s="333" t="e">
        <f t="shared" si="101"/>
        <v>#DIV/0!</v>
      </c>
      <c r="O823" s="333" t="e">
        <f t="shared" si="102"/>
        <v>#DIV/0!</v>
      </c>
      <c r="P823" s="334" t="e">
        <f t="shared" si="103"/>
        <v>#DIV/0!</v>
      </c>
      <c r="Q823" s="334" t="e">
        <f t="shared" si="104"/>
        <v>#DIV/0!</v>
      </c>
    </row>
    <row r="824" spans="2:17" x14ac:dyDescent="0.3">
      <c r="B824" s="333">
        <v>60</v>
      </c>
      <c r="C824" s="333"/>
      <c r="D824" s="333"/>
      <c r="E824" s="333"/>
      <c r="F824" s="333"/>
      <c r="G824" s="333"/>
      <c r="H824" s="333"/>
      <c r="I824" s="333"/>
      <c r="J824" s="333"/>
      <c r="K824" s="333"/>
      <c r="L824" s="360"/>
      <c r="M824" s="333">
        <f t="shared" si="100"/>
        <v>30</v>
      </c>
      <c r="N824" s="333" t="e">
        <f t="shared" si="101"/>
        <v>#DIV/0!</v>
      </c>
      <c r="O824" s="333" t="e">
        <f t="shared" si="102"/>
        <v>#DIV/0!</v>
      </c>
      <c r="P824" s="334" t="e">
        <f t="shared" si="103"/>
        <v>#DIV/0!</v>
      </c>
      <c r="Q824" s="334" t="e">
        <f t="shared" si="104"/>
        <v>#DIV/0!</v>
      </c>
    </row>
    <row r="825" spans="2:17" x14ac:dyDescent="0.3">
      <c r="B825" s="333">
        <v>60</v>
      </c>
      <c r="C825" s="333"/>
      <c r="D825" s="333"/>
      <c r="E825" s="333"/>
      <c r="F825" s="333"/>
      <c r="G825" s="333"/>
      <c r="H825" s="333"/>
      <c r="I825" s="333"/>
      <c r="J825" s="333"/>
      <c r="K825" s="333"/>
      <c r="L825" s="360"/>
      <c r="M825" s="333">
        <f t="shared" si="100"/>
        <v>30</v>
      </c>
      <c r="N825" s="333" t="e">
        <f t="shared" si="101"/>
        <v>#DIV/0!</v>
      </c>
      <c r="O825" s="333" t="e">
        <f t="shared" si="102"/>
        <v>#DIV/0!</v>
      </c>
      <c r="P825" s="334" t="e">
        <f t="shared" si="103"/>
        <v>#DIV/0!</v>
      </c>
      <c r="Q825" s="334" t="e">
        <f t="shared" si="104"/>
        <v>#DIV/0!</v>
      </c>
    </row>
    <row r="826" spans="2:17" x14ac:dyDescent="0.3">
      <c r="B826" s="333">
        <v>60</v>
      </c>
      <c r="C826" s="333"/>
      <c r="D826" s="333"/>
      <c r="E826" s="333"/>
      <c r="F826" s="333"/>
      <c r="G826" s="333"/>
      <c r="H826" s="333"/>
      <c r="I826" s="333"/>
      <c r="J826" s="333"/>
      <c r="K826" s="333"/>
      <c r="L826" s="360"/>
      <c r="M826" s="333">
        <f t="shared" si="100"/>
        <v>30</v>
      </c>
      <c r="N826" s="333" t="e">
        <f t="shared" si="101"/>
        <v>#DIV/0!</v>
      </c>
      <c r="O826" s="333" t="e">
        <f t="shared" si="102"/>
        <v>#DIV/0!</v>
      </c>
      <c r="P826" s="334" t="e">
        <f t="shared" si="103"/>
        <v>#DIV/0!</v>
      </c>
      <c r="Q826" s="334" t="e">
        <f t="shared" si="104"/>
        <v>#DIV/0!</v>
      </c>
    </row>
    <row r="827" spans="2:17" x14ac:dyDescent="0.3">
      <c r="B827" s="333">
        <v>60</v>
      </c>
      <c r="C827" s="333"/>
      <c r="D827" s="333"/>
      <c r="E827" s="333"/>
      <c r="F827" s="333"/>
      <c r="G827" s="333"/>
      <c r="H827" s="333"/>
      <c r="I827" s="333"/>
      <c r="J827" s="333"/>
      <c r="K827" s="333"/>
      <c r="L827" s="360"/>
      <c r="M827" s="333">
        <f t="shared" si="100"/>
        <v>30</v>
      </c>
      <c r="N827" s="333" t="e">
        <f t="shared" si="101"/>
        <v>#DIV/0!</v>
      </c>
      <c r="O827" s="333" t="e">
        <f t="shared" si="102"/>
        <v>#DIV/0!</v>
      </c>
      <c r="P827" s="334" t="e">
        <f t="shared" si="103"/>
        <v>#DIV/0!</v>
      </c>
      <c r="Q827" s="334" t="e">
        <f t="shared" si="104"/>
        <v>#DIV/0!</v>
      </c>
    </row>
    <row r="828" spans="2:17" x14ac:dyDescent="0.3">
      <c r="B828" s="333">
        <v>60</v>
      </c>
      <c r="C828" s="333"/>
      <c r="D828" s="333"/>
      <c r="E828" s="333"/>
      <c r="F828" s="333"/>
      <c r="G828" s="333"/>
      <c r="H828" s="333"/>
      <c r="I828" s="333"/>
      <c r="J828" s="333"/>
      <c r="K828" s="333"/>
      <c r="L828" s="360"/>
      <c r="M828" s="333">
        <f t="shared" si="100"/>
        <v>30</v>
      </c>
      <c r="N828" s="333" t="e">
        <f t="shared" si="101"/>
        <v>#DIV/0!</v>
      </c>
      <c r="O828" s="333" t="e">
        <f t="shared" si="102"/>
        <v>#DIV/0!</v>
      </c>
      <c r="P828" s="334" t="e">
        <f t="shared" si="103"/>
        <v>#DIV/0!</v>
      </c>
      <c r="Q828" s="334" t="e">
        <f t="shared" si="104"/>
        <v>#DIV/0!</v>
      </c>
    </row>
    <row r="829" spans="2:17" x14ac:dyDescent="0.3">
      <c r="B829" s="333">
        <v>60</v>
      </c>
      <c r="C829" s="333"/>
      <c r="D829" s="333"/>
      <c r="E829" s="333"/>
      <c r="F829" s="333"/>
      <c r="G829" s="333"/>
      <c r="H829" s="333"/>
      <c r="I829" s="333"/>
      <c r="J829" s="333"/>
      <c r="K829" s="333"/>
      <c r="L829" s="360"/>
      <c r="M829" s="333">
        <f t="shared" si="100"/>
        <v>30</v>
      </c>
      <c r="N829" s="333" t="e">
        <f t="shared" si="101"/>
        <v>#DIV/0!</v>
      </c>
      <c r="O829" s="333" t="e">
        <f t="shared" si="102"/>
        <v>#DIV/0!</v>
      </c>
      <c r="P829" s="334" t="e">
        <f t="shared" si="103"/>
        <v>#DIV/0!</v>
      </c>
      <c r="Q829" s="334" t="e">
        <f t="shared" si="104"/>
        <v>#DIV/0!</v>
      </c>
    </row>
    <row r="830" spans="2:17" x14ac:dyDescent="0.3">
      <c r="B830" s="333">
        <v>60</v>
      </c>
      <c r="C830" s="333"/>
      <c r="D830" s="333"/>
      <c r="E830" s="333"/>
      <c r="F830" s="333"/>
      <c r="G830" s="333"/>
      <c r="H830" s="333"/>
      <c r="I830" s="333"/>
      <c r="J830" s="333"/>
      <c r="K830" s="333"/>
      <c r="L830" s="360"/>
      <c r="M830" s="333">
        <f t="shared" si="100"/>
        <v>30</v>
      </c>
      <c r="N830" s="333" t="e">
        <f t="shared" si="101"/>
        <v>#DIV/0!</v>
      </c>
      <c r="O830" s="333" t="e">
        <f t="shared" si="102"/>
        <v>#DIV/0!</v>
      </c>
      <c r="P830" s="334" t="e">
        <f t="shared" si="103"/>
        <v>#DIV/0!</v>
      </c>
      <c r="Q830" s="334" t="e">
        <f t="shared" si="104"/>
        <v>#DIV/0!</v>
      </c>
    </row>
    <row r="831" spans="2:17" x14ac:dyDescent="0.3">
      <c r="B831" s="333">
        <v>60</v>
      </c>
      <c r="C831" s="333"/>
      <c r="D831" s="333"/>
      <c r="E831" s="333"/>
      <c r="F831" s="333"/>
      <c r="G831" s="333"/>
      <c r="H831" s="333"/>
      <c r="I831" s="333"/>
      <c r="J831" s="333"/>
      <c r="K831" s="333"/>
      <c r="L831" s="360"/>
      <c r="M831" s="333">
        <f t="shared" si="100"/>
        <v>30</v>
      </c>
      <c r="N831" s="333" t="e">
        <f t="shared" si="101"/>
        <v>#DIV/0!</v>
      </c>
      <c r="O831" s="333" t="e">
        <f t="shared" si="102"/>
        <v>#DIV/0!</v>
      </c>
      <c r="P831" s="334" t="e">
        <f t="shared" si="103"/>
        <v>#DIV/0!</v>
      </c>
      <c r="Q831" s="334" t="e">
        <f t="shared" si="104"/>
        <v>#DIV/0!</v>
      </c>
    </row>
    <row r="832" spans="2:17" x14ac:dyDescent="0.3">
      <c r="B832" s="333">
        <v>80</v>
      </c>
      <c r="C832" s="333"/>
      <c r="D832" s="333"/>
      <c r="E832" s="333"/>
      <c r="F832" s="333"/>
      <c r="G832" s="333"/>
      <c r="H832" s="333"/>
      <c r="I832" s="333"/>
      <c r="J832" s="333"/>
      <c r="K832" s="333"/>
      <c r="L832" s="360"/>
      <c r="M832" s="333">
        <f t="shared" si="100"/>
        <v>40</v>
      </c>
      <c r="N832" s="333" t="e">
        <f t="shared" si="101"/>
        <v>#DIV/0!</v>
      </c>
      <c r="O832" s="333" t="e">
        <f t="shared" si="102"/>
        <v>#DIV/0!</v>
      </c>
      <c r="P832" s="334" t="e">
        <f t="shared" si="103"/>
        <v>#DIV/0!</v>
      </c>
      <c r="Q832" s="334" t="e">
        <f t="shared" si="104"/>
        <v>#DIV/0!</v>
      </c>
    </row>
    <row r="833" spans="2:17" x14ac:dyDescent="0.3">
      <c r="B833" s="333">
        <v>80</v>
      </c>
      <c r="C833" s="333"/>
      <c r="D833" s="333"/>
      <c r="E833" s="333"/>
      <c r="F833" s="333"/>
      <c r="G833" s="333"/>
      <c r="H833" s="333"/>
      <c r="I833" s="333"/>
      <c r="J833" s="333"/>
      <c r="K833" s="333"/>
      <c r="L833" s="360"/>
      <c r="M833" s="333">
        <f t="shared" si="100"/>
        <v>40</v>
      </c>
      <c r="N833" s="333" t="e">
        <f t="shared" si="101"/>
        <v>#DIV/0!</v>
      </c>
      <c r="O833" s="333" t="e">
        <f t="shared" si="102"/>
        <v>#DIV/0!</v>
      </c>
      <c r="P833" s="334" t="e">
        <f t="shared" si="103"/>
        <v>#DIV/0!</v>
      </c>
      <c r="Q833" s="334" t="e">
        <f t="shared" si="104"/>
        <v>#DIV/0!</v>
      </c>
    </row>
    <row r="834" spans="2:17" x14ac:dyDescent="0.3">
      <c r="B834" s="333">
        <v>80</v>
      </c>
      <c r="C834" s="333"/>
      <c r="D834" s="333"/>
      <c r="E834" s="333"/>
      <c r="F834" s="333"/>
      <c r="G834" s="333"/>
      <c r="H834" s="333"/>
      <c r="I834" s="333"/>
      <c r="J834" s="333"/>
      <c r="K834" s="333"/>
      <c r="L834" s="360"/>
      <c r="M834" s="333">
        <f t="shared" si="100"/>
        <v>40</v>
      </c>
      <c r="N834" s="333" t="e">
        <f t="shared" si="101"/>
        <v>#DIV/0!</v>
      </c>
      <c r="O834" s="333" t="e">
        <f t="shared" si="102"/>
        <v>#DIV/0!</v>
      </c>
      <c r="P834" s="334" t="e">
        <f t="shared" si="103"/>
        <v>#DIV/0!</v>
      </c>
      <c r="Q834" s="334" t="e">
        <f t="shared" si="104"/>
        <v>#DIV/0!</v>
      </c>
    </row>
    <row r="835" spans="2:17" x14ac:dyDescent="0.3">
      <c r="B835" s="333">
        <v>80</v>
      </c>
      <c r="C835" s="333"/>
      <c r="D835" s="333"/>
      <c r="E835" s="333"/>
      <c r="F835" s="333"/>
      <c r="G835" s="333"/>
      <c r="H835" s="333"/>
      <c r="I835" s="333"/>
      <c r="J835" s="333"/>
      <c r="K835" s="333"/>
      <c r="L835" s="360"/>
      <c r="M835" s="333">
        <f t="shared" si="100"/>
        <v>40</v>
      </c>
      <c r="N835" s="333" t="e">
        <f t="shared" si="101"/>
        <v>#DIV/0!</v>
      </c>
      <c r="O835" s="333" t="e">
        <f t="shared" si="102"/>
        <v>#DIV/0!</v>
      </c>
      <c r="P835" s="334" t="e">
        <f t="shared" si="103"/>
        <v>#DIV/0!</v>
      </c>
      <c r="Q835" s="334" t="e">
        <f t="shared" si="104"/>
        <v>#DIV/0!</v>
      </c>
    </row>
    <row r="836" spans="2:17" x14ac:dyDescent="0.3">
      <c r="B836" s="333">
        <v>80</v>
      </c>
      <c r="C836" s="333"/>
      <c r="D836" s="333"/>
      <c r="E836" s="333"/>
      <c r="F836" s="333"/>
      <c r="G836" s="333"/>
      <c r="H836" s="333"/>
      <c r="I836" s="333"/>
      <c r="J836" s="333"/>
      <c r="K836" s="333"/>
      <c r="L836" s="360"/>
      <c r="M836" s="333">
        <f t="shared" si="100"/>
        <v>40</v>
      </c>
      <c r="N836" s="333" t="e">
        <f t="shared" si="101"/>
        <v>#DIV/0!</v>
      </c>
      <c r="O836" s="333" t="e">
        <f t="shared" si="102"/>
        <v>#DIV/0!</v>
      </c>
      <c r="P836" s="334" t="e">
        <f t="shared" si="103"/>
        <v>#DIV/0!</v>
      </c>
      <c r="Q836" s="334" t="e">
        <f t="shared" si="104"/>
        <v>#DIV/0!</v>
      </c>
    </row>
    <row r="837" spans="2:17" x14ac:dyDescent="0.3">
      <c r="B837" s="333">
        <v>80</v>
      </c>
      <c r="C837" s="333"/>
      <c r="D837" s="333"/>
      <c r="E837" s="333"/>
      <c r="F837" s="333"/>
      <c r="G837" s="333"/>
      <c r="H837" s="333"/>
      <c r="I837" s="333"/>
      <c r="J837" s="333"/>
      <c r="K837" s="333"/>
      <c r="L837" s="360"/>
      <c r="M837" s="333">
        <f t="shared" si="100"/>
        <v>40</v>
      </c>
      <c r="N837" s="333" t="e">
        <f t="shared" si="101"/>
        <v>#DIV/0!</v>
      </c>
      <c r="O837" s="333" t="e">
        <f t="shared" si="102"/>
        <v>#DIV/0!</v>
      </c>
      <c r="P837" s="334" t="e">
        <f t="shared" si="103"/>
        <v>#DIV/0!</v>
      </c>
      <c r="Q837" s="334" t="e">
        <f t="shared" si="104"/>
        <v>#DIV/0!</v>
      </c>
    </row>
    <row r="838" spans="2:17" x14ac:dyDescent="0.3">
      <c r="B838" s="333">
        <v>80</v>
      </c>
      <c r="C838" s="333"/>
      <c r="D838" s="333"/>
      <c r="E838" s="333"/>
      <c r="F838" s="333"/>
      <c r="G838" s="333"/>
      <c r="H838" s="333"/>
      <c r="I838" s="333"/>
      <c r="J838" s="333"/>
      <c r="K838" s="333"/>
      <c r="L838" s="360"/>
      <c r="M838" s="333">
        <f t="shared" si="100"/>
        <v>40</v>
      </c>
      <c r="N838" s="333" t="e">
        <f t="shared" si="101"/>
        <v>#DIV/0!</v>
      </c>
      <c r="O838" s="333" t="e">
        <f t="shared" si="102"/>
        <v>#DIV/0!</v>
      </c>
      <c r="P838" s="334" t="e">
        <f t="shared" si="103"/>
        <v>#DIV/0!</v>
      </c>
      <c r="Q838" s="334" t="e">
        <f t="shared" si="104"/>
        <v>#DIV/0!</v>
      </c>
    </row>
    <row r="839" spans="2:17" x14ac:dyDescent="0.3">
      <c r="B839" s="333">
        <v>80</v>
      </c>
      <c r="C839" s="333"/>
      <c r="D839" s="333"/>
      <c r="E839" s="333"/>
      <c r="F839" s="333"/>
      <c r="G839" s="333"/>
      <c r="H839" s="333"/>
      <c r="I839" s="333"/>
      <c r="J839" s="333"/>
      <c r="K839" s="333"/>
      <c r="L839" s="360"/>
      <c r="M839" s="333">
        <f t="shared" si="100"/>
        <v>40</v>
      </c>
      <c r="N839" s="333" t="e">
        <f t="shared" si="101"/>
        <v>#DIV/0!</v>
      </c>
      <c r="O839" s="333" t="e">
        <f t="shared" si="102"/>
        <v>#DIV/0!</v>
      </c>
      <c r="P839" s="334" t="e">
        <f t="shared" si="103"/>
        <v>#DIV/0!</v>
      </c>
      <c r="Q839" s="334" t="e">
        <f t="shared" si="104"/>
        <v>#DIV/0!</v>
      </c>
    </row>
    <row r="840" spans="2:17" x14ac:dyDescent="0.3">
      <c r="B840" s="333">
        <v>80</v>
      </c>
      <c r="C840" s="333"/>
      <c r="D840" s="333"/>
      <c r="E840" s="333"/>
      <c r="F840" s="333"/>
      <c r="G840" s="333"/>
      <c r="H840" s="333"/>
      <c r="I840" s="333"/>
      <c r="J840" s="333"/>
      <c r="K840" s="333"/>
      <c r="L840" s="360"/>
      <c r="M840" s="333">
        <f t="shared" si="100"/>
        <v>40</v>
      </c>
      <c r="N840" s="333" t="e">
        <f t="shared" si="101"/>
        <v>#DIV/0!</v>
      </c>
      <c r="O840" s="333" t="e">
        <f t="shared" si="102"/>
        <v>#DIV/0!</v>
      </c>
      <c r="P840" s="334" t="e">
        <f t="shared" si="103"/>
        <v>#DIV/0!</v>
      </c>
      <c r="Q840" s="334" t="e">
        <f t="shared" si="104"/>
        <v>#DIV/0!</v>
      </c>
    </row>
    <row r="841" spans="2:17" x14ac:dyDescent="0.3">
      <c r="B841" s="333">
        <v>80</v>
      </c>
      <c r="C841" s="333"/>
      <c r="D841" s="333"/>
      <c r="E841" s="333"/>
      <c r="F841" s="333"/>
      <c r="G841" s="333"/>
      <c r="H841" s="333"/>
      <c r="I841" s="333"/>
      <c r="J841" s="333"/>
      <c r="K841" s="333"/>
      <c r="L841" s="360"/>
      <c r="M841" s="333">
        <f t="shared" si="100"/>
        <v>40</v>
      </c>
      <c r="N841" s="333" t="e">
        <f t="shared" si="101"/>
        <v>#DIV/0!</v>
      </c>
      <c r="O841" s="333" t="e">
        <f t="shared" si="102"/>
        <v>#DIV/0!</v>
      </c>
      <c r="P841" s="334" t="e">
        <f t="shared" si="103"/>
        <v>#DIV/0!</v>
      </c>
      <c r="Q841" s="334" t="e">
        <f t="shared" si="104"/>
        <v>#DIV/0!</v>
      </c>
    </row>
    <row r="842" spans="2:17" x14ac:dyDescent="0.3">
      <c r="B842" s="333">
        <v>80</v>
      </c>
      <c r="C842" s="333"/>
      <c r="D842" s="333"/>
      <c r="E842" s="333"/>
      <c r="F842" s="333"/>
      <c r="G842" s="333"/>
      <c r="H842" s="333"/>
      <c r="I842" s="333"/>
      <c r="J842" s="333"/>
      <c r="K842" s="333"/>
      <c r="L842" s="360"/>
      <c r="M842" s="333">
        <f t="shared" si="100"/>
        <v>40</v>
      </c>
      <c r="N842" s="333" t="e">
        <f t="shared" si="101"/>
        <v>#DIV/0!</v>
      </c>
      <c r="O842" s="333" t="e">
        <f t="shared" si="102"/>
        <v>#DIV/0!</v>
      </c>
      <c r="P842" s="334" t="e">
        <f t="shared" si="103"/>
        <v>#DIV/0!</v>
      </c>
      <c r="Q842" s="334" t="e">
        <f t="shared" si="104"/>
        <v>#DIV/0!</v>
      </c>
    </row>
    <row r="843" spans="2:17" x14ac:dyDescent="0.3">
      <c r="B843" s="333">
        <v>80</v>
      </c>
      <c r="C843" s="333"/>
      <c r="D843" s="333"/>
      <c r="E843" s="333"/>
      <c r="F843" s="333"/>
      <c r="G843" s="333"/>
      <c r="H843" s="333"/>
      <c r="I843" s="333"/>
      <c r="J843" s="333"/>
      <c r="K843" s="333"/>
      <c r="L843" s="360"/>
      <c r="M843" s="333">
        <f t="shared" si="100"/>
        <v>40</v>
      </c>
      <c r="N843" s="333" t="e">
        <f t="shared" si="101"/>
        <v>#DIV/0!</v>
      </c>
      <c r="O843" s="333" t="e">
        <f t="shared" si="102"/>
        <v>#DIV/0!</v>
      </c>
      <c r="P843" s="334" t="e">
        <f t="shared" si="103"/>
        <v>#DIV/0!</v>
      </c>
      <c r="Q843" s="334" t="e">
        <f t="shared" si="104"/>
        <v>#DIV/0!</v>
      </c>
    </row>
    <row r="844" spans="2:17" x14ac:dyDescent="0.3">
      <c r="B844" s="333">
        <v>80</v>
      </c>
      <c r="C844" s="333"/>
      <c r="D844" s="333"/>
      <c r="E844" s="333"/>
      <c r="F844" s="333"/>
      <c r="G844" s="333"/>
      <c r="H844" s="333"/>
      <c r="I844" s="333"/>
      <c r="J844" s="333"/>
      <c r="K844" s="333"/>
      <c r="L844" s="360"/>
      <c r="M844" s="333">
        <f t="shared" si="100"/>
        <v>40</v>
      </c>
      <c r="N844" s="333" t="e">
        <f t="shared" si="101"/>
        <v>#DIV/0!</v>
      </c>
      <c r="O844" s="333" t="e">
        <f t="shared" si="102"/>
        <v>#DIV/0!</v>
      </c>
      <c r="P844" s="334" t="e">
        <f t="shared" si="103"/>
        <v>#DIV/0!</v>
      </c>
      <c r="Q844" s="334" t="e">
        <f t="shared" si="104"/>
        <v>#DIV/0!</v>
      </c>
    </row>
    <row r="845" spans="2:17" x14ac:dyDescent="0.3">
      <c r="B845" s="333">
        <v>80</v>
      </c>
      <c r="C845" s="333"/>
      <c r="D845" s="333"/>
      <c r="E845" s="333"/>
      <c r="F845" s="333"/>
      <c r="G845" s="333"/>
      <c r="H845" s="333"/>
      <c r="I845" s="333"/>
      <c r="J845" s="333"/>
      <c r="K845" s="333"/>
      <c r="L845" s="360"/>
      <c r="M845" s="333">
        <f t="shared" si="100"/>
        <v>40</v>
      </c>
      <c r="N845" s="333" t="e">
        <f t="shared" si="101"/>
        <v>#DIV/0!</v>
      </c>
      <c r="O845" s="333" t="e">
        <f t="shared" si="102"/>
        <v>#DIV/0!</v>
      </c>
      <c r="P845" s="334" t="e">
        <f t="shared" si="103"/>
        <v>#DIV/0!</v>
      </c>
      <c r="Q845" s="334" t="e">
        <f t="shared" si="104"/>
        <v>#DIV/0!</v>
      </c>
    </row>
    <row r="846" spans="2:17" x14ac:dyDescent="0.3">
      <c r="B846" s="333">
        <v>80</v>
      </c>
      <c r="C846" s="333"/>
      <c r="D846" s="333"/>
      <c r="E846" s="333"/>
      <c r="F846" s="333"/>
      <c r="G846" s="333"/>
      <c r="H846" s="333"/>
      <c r="I846" s="333"/>
      <c r="J846" s="333"/>
      <c r="K846" s="333"/>
      <c r="L846" s="360"/>
      <c r="M846" s="333">
        <f t="shared" si="100"/>
        <v>40</v>
      </c>
      <c r="N846" s="333" t="e">
        <f t="shared" si="101"/>
        <v>#DIV/0!</v>
      </c>
      <c r="O846" s="333" t="e">
        <f t="shared" si="102"/>
        <v>#DIV/0!</v>
      </c>
      <c r="P846" s="334" t="e">
        <f t="shared" si="103"/>
        <v>#DIV/0!</v>
      </c>
      <c r="Q846" s="334" t="e">
        <f t="shared" si="104"/>
        <v>#DIV/0!</v>
      </c>
    </row>
    <row r="847" spans="2:17" x14ac:dyDescent="0.3">
      <c r="B847" s="333">
        <v>80</v>
      </c>
      <c r="C847" s="333"/>
      <c r="D847" s="333"/>
      <c r="E847" s="333"/>
      <c r="F847" s="333"/>
      <c r="G847" s="333"/>
      <c r="H847" s="333"/>
      <c r="I847" s="333"/>
      <c r="J847" s="333"/>
      <c r="K847" s="333"/>
      <c r="L847" s="360"/>
      <c r="M847" s="333">
        <f t="shared" si="100"/>
        <v>40</v>
      </c>
      <c r="N847" s="333" t="e">
        <f t="shared" si="101"/>
        <v>#DIV/0!</v>
      </c>
      <c r="O847" s="333" t="e">
        <f t="shared" si="102"/>
        <v>#DIV/0!</v>
      </c>
      <c r="P847" s="334" t="e">
        <f t="shared" si="103"/>
        <v>#DIV/0!</v>
      </c>
      <c r="Q847" s="334" t="e">
        <f t="shared" si="104"/>
        <v>#DIV/0!</v>
      </c>
    </row>
    <row r="848" spans="2:17" x14ac:dyDescent="0.3">
      <c r="B848" s="333">
        <v>80</v>
      </c>
      <c r="C848" s="333"/>
      <c r="D848" s="333"/>
      <c r="E848" s="333"/>
      <c r="F848" s="333"/>
      <c r="G848" s="333"/>
      <c r="H848" s="333"/>
      <c r="I848" s="333"/>
      <c r="J848" s="333"/>
      <c r="K848" s="333"/>
      <c r="L848" s="360"/>
      <c r="M848" s="333">
        <f t="shared" si="100"/>
        <v>40</v>
      </c>
      <c r="N848" s="333" t="e">
        <f t="shared" si="101"/>
        <v>#DIV/0!</v>
      </c>
      <c r="O848" s="333" t="e">
        <f t="shared" si="102"/>
        <v>#DIV/0!</v>
      </c>
      <c r="P848" s="334" t="e">
        <f t="shared" si="103"/>
        <v>#DIV/0!</v>
      </c>
      <c r="Q848" s="334" t="e">
        <f t="shared" si="104"/>
        <v>#DIV/0!</v>
      </c>
    </row>
    <row r="849" spans="2:17" x14ac:dyDescent="0.3">
      <c r="B849" s="333">
        <v>80</v>
      </c>
      <c r="C849" s="333"/>
      <c r="D849" s="333"/>
      <c r="E849" s="333"/>
      <c r="F849" s="333"/>
      <c r="G849" s="333"/>
      <c r="H849" s="333"/>
      <c r="I849" s="333"/>
      <c r="J849" s="333"/>
      <c r="K849" s="333"/>
      <c r="L849" s="360"/>
      <c r="M849" s="333">
        <f t="shared" si="100"/>
        <v>40</v>
      </c>
      <c r="N849" s="333" t="e">
        <f t="shared" si="101"/>
        <v>#DIV/0!</v>
      </c>
      <c r="O849" s="333" t="e">
        <f t="shared" si="102"/>
        <v>#DIV/0!</v>
      </c>
      <c r="P849" s="334" t="e">
        <f t="shared" si="103"/>
        <v>#DIV/0!</v>
      </c>
      <c r="Q849" s="334" t="e">
        <f t="shared" si="104"/>
        <v>#DIV/0!</v>
      </c>
    </row>
    <row r="850" spans="2:17" x14ac:dyDescent="0.3">
      <c r="B850" s="333">
        <v>80</v>
      </c>
      <c r="C850" s="333"/>
      <c r="D850" s="333"/>
      <c r="E850" s="333"/>
      <c r="F850" s="333"/>
      <c r="G850" s="333"/>
      <c r="H850" s="333"/>
      <c r="I850" s="333"/>
      <c r="J850" s="333"/>
      <c r="K850" s="333"/>
      <c r="L850" s="360"/>
      <c r="M850" s="333">
        <f t="shared" si="100"/>
        <v>40</v>
      </c>
      <c r="N850" s="333" t="e">
        <f t="shared" si="101"/>
        <v>#DIV/0!</v>
      </c>
      <c r="O850" s="333" t="e">
        <f t="shared" si="102"/>
        <v>#DIV/0!</v>
      </c>
      <c r="P850" s="334" t="e">
        <f t="shared" si="103"/>
        <v>#DIV/0!</v>
      </c>
      <c r="Q850" s="334" t="e">
        <f t="shared" si="104"/>
        <v>#DIV/0!</v>
      </c>
    </row>
    <row r="851" spans="2:17" x14ac:dyDescent="0.3">
      <c r="B851" s="333">
        <v>80</v>
      </c>
      <c r="C851" s="333"/>
      <c r="D851" s="333"/>
      <c r="E851" s="333"/>
      <c r="F851" s="333"/>
      <c r="G851" s="333"/>
      <c r="H851" s="333"/>
      <c r="I851" s="333"/>
      <c r="J851" s="333"/>
      <c r="K851" s="333"/>
      <c r="L851" s="360"/>
      <c r="M851" s="333">
        <f t="shared" si="100"/>
        <v>40</v>
      </c>
      <c r="N851" s="333" t="e">
        <f t="shared" si="101"/>
        <v>#DIV/0!</v>
      </c>
      <c r="O851" s="333" t="e">
        <f t="shared" si="102"/>
        <v>#DIV/0!</v>
      </c>
      <c r="P851" s="334" t="e">
        <f t="shared" si="103"/>
        <v>#DIV/0!</v>
      </c>
      <c r="Q851" s="334" t="e">
        <f t="shared" si="104"/>
        <v>#DIV/0!</v>
      </c>
    </row>
  </sheetData>
  <mergeCells count="83">
    <mergeCell ref="B355:K355"/>
    <mergeCell ref="M355:O355"/>
    <mergeCell ref="P355:Q355"/>
    <mergeCell ref="B480:K480"/>
    <mergeCell ref="M480:O480"/>
    <mergeCell ref="P480:Q480"/>
    <mergeCell ref="S249:U249"/>
    <mergeCell ref="W249:Y249"/>
    <mergeCell ref="B187:K187"/>
    <mergeCell ref="B195:K195"/>
    <mergeCell ref="M195:O195"/>
    <mergeCell ref="B205:J205"/>
    <mergeCell ref="B214:H214"/>
    <mergeCell ref="B231:K231"/>
    <mergeCell ref="M231:O231"/>
    <mergeCell ref="P231:Q231"/>
    <mergeCell ref="S231:U231"/>
    <mergeCell ref="W231:Y231"/>
    <mergeCell ref="S240:U240"/>
    <mergeCell ref="W240:Y240"/>
    <mergeCell ref="B177:J177"/>
    <mergeCell ref="P90:P95"/>
    <mergeCell ref="B94:H94"/>
    <mergeCell ref="B105:K105"/>
    <mergeCell ref="M105:S105"/>
    <mergeCell ref="B121:J121"/>
    <mergeCell ref="B136:G136"/>
    <mergeCell ref="B139:L139"/>
    <mergeCell ref="B148:J148"/>
    <mergeCell ref="B154:H154"/>
    <mergeCell ref="B168:J168"/>
    <mergeCell ref="Q168:Q169"/>
    <mergeCell ref="B72:J72"/>
    <mergeCell ref="B81:F81"/>
    <mergeCell ref="B85:J85"/>
    <mergeCell ref="P88:T88"/>
    <mergeCell ref="Q89:R89"/>
    <mergeCell ref="S89:T89"/>
    <mergeCell ref="B71:E71"/>
    <mergeCell ref="T59:T62"/>
    <mergeCell ref="V59:Y59"/>
    <mergeCell ref="V60:Y60"/>
    <mergeCell ref="V61:Y61"/>
    <mergeCell ref="V62:Y62"/>
    <mergeCell ref="B63:F63"/>
    <mergeCell ref="V63:Y63"/>
    <mergeCell ref="V64:Y64"/>
    <mergeCell ref="V65:Y65"/>
    <mergeCell ref="B66:F66"/>
    <mergeCell ref="V66:Y66"/>
    <mergeCell ref="B70:E70"/>
    <mergeCell ref="T55:T58"/>
    <mergeCell ref="V55:Y55"/>
    <mergeCell ref="AB55:AD55"/>
    <mergeCell ref="V56:Y56"/>
    <mergeCell ref="V57:Y57"/>
    <mergeCell ref="V58:Y58"/>
    <mergeCell ref="T51:T54"/>
    <mergeCell ref="V51:Y51"/>
    <mergeCell ref="AB51:AD51"/>
    <mergeCell ref="AE51:AF51"/>
    <mergeCell ref="V52:Y52"/>
    <mergeCell ref="AB52:AD52"/>
    <mergeCell ref="V53:Y53"/>
    <mergeCell ref="AB53:AD53"/>
    <mergeCell ref="V54:Y54"/>
    <mergeCell ref="AB54:AD54"/>
    <mergeCell ref="B2:L2"/>
    <mergeCell ref="V45:Y45"/>
    <mergeCell ref="AC45:AE45"/>
    <mergeCell ref="V46:Y46"/>
    <mergeCell ref="T47:T50"/>
    <mergeCell ref="V47:Y47"/>
    <mergeCell ref="V48:Y48"/>
    <mergeCell ref="B49:K49"/>
    <mergeCell ref="V49:Y49"/>
    <mergeCell ref="V50:Y50"/>
    <mergeCell ref="B605:K605"/>
    <mergeCell ref="M605:O605"/>
    <mergeCell ref="P605:Q605"/>
    <mergeCell ref="B730:K730"/>
    <mergeCell ref="M730:O730"/>
    <mergeCell ref="P730:Q73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Cover-Page</vt:lpstr>
      <vt:lpstr>Presentation</vt:lpstr>
      <vt:lpstr>FTS-Initialization</vt:lpstr>
      <vt:lpstr>EEPROM-Contents</vt:lpstr>
      <vt:lpstr>1010-Initial</vt:lpstr>
      <vt:lpstr>1010-GAINC</vt:lpstr>
      <vt:lpstr>1010-Scales</vt:lpstr>
      <vt:lpstr>1204-Initial</vt:lpstr>
      <vt:lpstr>1204-GAINC</vt:lpstr>
      <vt:lpstr>1204-Scale-Volt-Accel</vt:lpstr>
      <vt:lpstr>1204-Scale-Volt-Accel-16mm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whazin</dc:creator>
  <cp:lastModifiedBy>Guillermo Rodriquez</cp:lastModifiedBy>
  <dcterms:created xsi:type="dcterms:W3CDTF">2006-09-16T00:00:00Z</dcterms:created>
  <dcterms:modified xsi:type="dcterms:W3CDTF">2017-01-03T19:54:59Z</dcterms:modified>
</cp:coreProperties>
</file>